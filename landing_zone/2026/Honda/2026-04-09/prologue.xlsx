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HCDSSRV1\sh$all\Parts Marketing\ACCESSORY INFO\26MY ACCY LISTING\Honda\Prologue\"/>
    </mc:Choice>
  </mc:AlternateContent>
  <xr:revisionPtr revIDLastSave="0" documentId="13_ncr:1_{33311921-36EC-40FA-BCEF-2DED79F20460}" xr6:coauthVersionLast="47" xr6:coauthVersionMax="47" xr10:uidLastSave="{00000000-0000-0000-0000-000000000000}"/>
  <bookViews>
    <workbookView xWindow="-120" yWindow="-120" windowWidth="29040" windowHeight="15720" activeTab="2" xr2:uid="{EFDCBC6E-31EB-4D88-BDF4-7F9C850FF949}"/>
  </bookViews>
  <sheets>
    <sheet name="SELECT PROVINCE" sheetId="1" r:id="rId1"/>
    <sheet name="26MY_Prologue_APP_EN" sheetId="2" r:id="rId2"/>
    <sheet name="26MY_Prologue_APP_FR" sheetId="3" r:id="rId3"/>
  </sheets>
  <externalReferences>
    <externalReference r:id="rId4"/>
  </externalReferences>
  <definedNames>
    <definedName name="_xlnm.Print_Area" localSheetId="1">'26MY_Prologue_APP_EN'!$C$2:$Q$128</definedName>
    <definedName name="_xlnm.Print_Area" localSheetId="2">'26MY_Prologue_APP_FR'!$C$2:$Q$124</definedName>
    <definedName name="_xlnm.Print_Area" localSheetId="0">'SELECT PROVINCE'!$A$1:$M$34</definedName>
    <definedName name="_xlnm.Print_Titles" localSheetId="1">'26MY_Prologue_APP_EN'!$12:$13</definedName>
    <definedName name="_xlnm.Print_Titles" localSheetId="2">'26MY_Prologue_APP_FR'!$12:$13</definedName>
    <definedName name="prov_cd">'SELECT PROVINCE'!$B$1</definedName>
    <definedName name="province_codes">'SELECT PROVINCE'!$B$6:$B$16</definedName>
    <definedName name="rate_table">'SELECT PROVINCE'!$B$6:$C$16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4" i="3" l="1"/>
  <c r="Q121" i="3"/>
  <c r="P121" i="3"/>
  <c r="O121" i="3"/>
  <c r="N121" i="3"/>
  <c r="M121" i="3"/>
  <c r="L121" i="3"/>
  <c r="K121" i="3"/>
  <c r="J121" i="3"/>
  <c r="I121" i="3"/>
  <c r="H121" i="3"/>
  <c r="G121" i="3"/>
  <c r="F121" i="3"/>
  <c r="E121" i="3"/>
  <c r="D121" i="3"/>
  <c r="C121" i="3"/>
  <c r="Q120" i="3"/>
  <c r="P120" i="3"/>
  <c r="O120" i="3"/>
  <c r="N120" i="3"/>
  <c r="M120" i="3"/>
  <c r="L120" i="3"/>
  <c r="K120" i="3"/>
  <c r="J120" i="3"/>
  <c r="I120" i="3"/>
  <c r="H120" i="3"/>
  <c r="G120" i="3"/>
  <c r="F120" i="3"/>
  <c r="E120" i="3"/>
  <c r="D120" i="3"/>
  <c r="C120" i="3"/>
  <c r="Q119" i="3"/>
  <c r="P119" i="3"/>
  <c r="O119" i="3"/>
  <c r="N119" i="3"/>
  <c r="M119" i="3"/>
  <c r="L119" i="3"/>
  <c r="K119" i="3"/>
  <c r="J119" i="3"/>
  <c r="I119" i="3"/>
  <c r="H119" i="3"/>
  <c r="G119" i="3"/>
  <c r="F119" i="3"/>
  <c r="E119" i="3"/>
  <c r="D119" i="3"/>
  <c r="C119" i="3"/>
  <c r="P117" i="3"/>
  <c r="O117" i="3"/>
  <c r="N117" i="3"/>
  <c r="M117" i="3"/>
  <c r="L117" i="3"/>
  <c r="K117" i="3"/>
  <c r="J117" i="3"/>
  <c r="I117" i="3"/>
  <c r="D117" i="3"/>
  <c r="C117" i="3"/>
  <c r="P116" i="3"/>
  <c r="O116" i="3"/>
  <c r="N116" i="3"/>
  <c r="M116" i="3"/>
  <c r="L116" i="3"/>
  <c r="K116" i="3"/>
  <c r="J116" i="3"/>
  <c r="I116" i="3"/>
  <c r="D116" i="3"/>
  <c r="C116" i="3"/>
  <c r="P115" i="3"/>
  <c r="O115" i="3"/>
  <c r="N115" i="3"/>
  <c r="M115" i="3"/>
  <c r="L115" i="3"/>
  <c r="K115" i="3"/>
  <c r="J115" i="3"/>
  <c r="I115" i="3"/>
  <c r="D115" i="3"/>
  <c r="C115" i="3"/>
  <c r="P114" i="3"/>
  <c r="O114" i="3"/>
  <c r="N114" i="3"/>
  <c r="M114" i="3"/>
  <c r="L114" i="3"/>
  <c r="K114" i="3"/>
  <c r="J114" i="3"/>
  <c r="I114" i="3"/>
  <c r="D114" i="3"/>
  <c r="C114" i="3"/>
  <c r="P113" i="3"/>
  <c r="O113" i="3"/>
  <c r="N113" i="3"/>
  <c r="M113" i="3"/>
  <c r="L113" i="3"/>
  <c r="K113" i="3"/>
  <c r="J113" i="3"/>
  <c r="I113" i="3"/>
  <c r="D113" i="3"/>
  <c r="C113" i="3"/>
  <c r="Q112" i="3"/>
  <c r="P112" i="3"/>
  <c r="O112" i="3"/>
  <c r="N112" i="3"/>
  <c r="M112" i="3"/>
  <c r="L112" i="3"/>
  <c r="K112" i="3"/>
  <c r="J112" i="3"/>
  <c r="I112" i="3"/>
  <c r="H112" i="3"/>
  <c r="G112" i="3"/>
  <c r="F112" i="3"/>
  <c r="E112" i="3"/>
  <c r="D112" i="3"/>
  <c r="C112" i="3"/>
  <c r="P111" i="3"/>
  <c r="O111" i="3"/>
  <c r="N111" i="3"/>
  <c r="M111" i="3"/>
  <c r="L111" i="3"/>
  <c r="K111" i="3"/>
  <c r="J111" i="3"/>
  <c r="I111" i="3"/>
  <c r="Q107" i="3"/>
  <c r="P107" i="3"/>
  <c r="O107" i="3"/>
  <c r="N107" i="3"/>
  <c r="M107" i="3"/>
  <c r="L107" i="3"/>
  <c r="K107" i="3"/>
  <c r="J107" i="3"/>
  <c r="I107" i="3"/>
  <c r="H107" i="3"/>
  <c r="G107" i="3"/>
  <c r="F107" i="3"/>
  <c r="E107" i="3"/>
  <c r="D107" i="3"/>
  <c r="C107" i="3"/>
  <c r="Q106" i="3"/>
  <c r="P106" i="3"/>
  <c r="O106" i="3"/>
  <c r="N106" i="3"/>
  <c r="M106" i="3"/>
  <c r="L106" i="3"/>
  <c r="K106" i="3"/>
  <c r="J106" i="3"/>
  <c r="I106" i="3"/>
  <c r="H106" i="3"/>
  <c r="G106" i="3"/>
  <c r="F106" i="3"/>
  <c r="E106" i="3"/>
  <c r="D106" i="3"/>
  <c r="C106" i="3"/>
  <c r="P105" i="3"/>
  <c r="O105" i="3"/>
  <c r="N105" i="3"/>
  <c r="M105" i="3"/>
  <c r="L105" i="3"/>
  <c r="K105" i="3"/>
  <c r="J105" i="3"/>
  <c r="I105" i="3"/>
  <c r="Q101" i="3"/>
  <c r="P101" i="3"/>
  <c r="O101" i="3"/>
  <c r="N101" i="3"/>
  <c r="M101" i="3"/>
  <c r="L101" i="3"/>
  <c r="K101" i="3"/>
  <c r="J101" i="3"/>
  <c r="I101" i="3"/>
  <c r="H101" i="3"/>
  <c r="G101" i="3"/>
  <c r="F101" i="3"/>
  <c r="E101" i="3"/>
  <c r="D101" i="3"/>
  <c r="C101" i="3"/>
  <c r="Q100" i="3"/>
  <c r="P100" i="3"/>
  <c r="O100" i="3"/>
  <c r="N100" i="3"/>
  <c r="M100" i="3"/>
  <c r="L100" i="3"/>
  <c r="K100" i="3"/>
  <c r="J100" i="3"/>
  <c r="I100" i="3"/>
  <c r="H100" i="3"/>
  <c r="G100" i="3"/>
  <c r="F100" i="3"/>
  <c r="E100" i="3"/>
  <c r="D100" i="3"/>
  <c r="C100" i="3"/>
  <c r="Q99" i="3"/>
  <c r="P99" i="3"/>
  <c r="O99" i="3"/>
  <c r="N99" i="3"/>
  <c r="M99" i="3"/>
  <c r="L99" i="3"/>
  <c r="K99" i="3"/>
  <c r="J99" i="3"/>
  <c r="I99" i="3"/>
  <c r="H99" i="3"/>
  <c r="G99" i="3"/>
  <c r="F99" i="3"/>
  <c r="E99" i="3"/>
  <c r="D99" i="3"/>
  <c r="C99" i="3"/>
  <c r="Q98" i="3"/>
  <c r="P98" i="3"/>
  <c r="O98" i="3"/>
  <c r="N98" i="3"/>
  <c r="M98" i="3"/>
  <c r="L98" i="3"/>
  <c r="K98" i="3"/>
  <c r="J98" i="3"/>
  <c r="I98" i="3"/>
  <c r="H98" i="3"/>
  <c r="G98" i="3"/>
  <c r="F98" i="3"/>
  <c r="E98" i="3"/>
  <c r="D98" i="3"/>
  <c r="C98" i="3"/>
  <c r="Q97" i="3"/>
  <c r="P97" i="3"/>
  <c r="O97" i="3"/>
  <c r="N97" i="3"/>
  <c r="M97" i="3"/>
  <c r="L97" i="3"/>
  <c r="K97" i="3"/>
  <c r="J97" i="3"/>
  <c r="I97" i="3"/>
  <c r="H97" i="3"/>
  <c r="G97" i="3"/>
  <c r="F97" i="3"/>
  <c r="E97" i="3"/>
  <c r="D97" i="3"/>
  <c r="C97" i="3"/>
  <c r="Q96" i="3"/>
  <c r="P96" i="3"/>
  <c r="O96" i="3"/>
  <c r="N96" i="3"/>
  <c r="M96" i="3"/>
  <c r="L96" i="3"/>
  <c r="K96" i="3"/>
  <c r="J96" i="3"/>
  <c r="I96" i="3"/>
  <c r="H96" i="3"/>
  <c r="G96" i="3"/>
  <c r="F96" i="3"/>
  <c r="E96" i="3"/>
  <c r="D96" i="3"/>
  <c r="C96" i="3"/>
  <c r="Q95" i="3"/>
  <c r="P95" i="3"/>
  <c r="O95" i="3"/>
  <c r="N95" i="3"/>
  <c r="M95" i="3"/>
  <c r="L95" i="3"/>
  <c r="K95" i="3"/>
  <c r="J95" i="3"/>
  <c r="I95" i="3"/>
  <c r="H95" i="3"/>
  <c r="G95" i="3"/>
  <c r="F95" i="3"/>
  <c r="E95" i="3"/>
  <c r="D95" i="3"/>
  <c r="C95" i="3"/>
  <c r="P94" i="3"/>
  <c r="O94" i="3"/>
  <c r="N94" i="3"/>
  <c r="M94" i="3"/>
  <c r="L94" i="3"/>
  <c r="K94" i="3"/>
  <c r="J94" i="3"/>
  <c r="I94" i="3"/>
  <c r="Q90" i="3"/>
  <c r="P90" i="3"/>
  <c r="O90" i="3"/>
  <c r="N90" i="3"/>
  <c r="M90" i="3"/>
  <c r="L90" i="3"/>
  <c r="K90" i="3"/>
  <c r="J90" i="3"/>
  <c r="I90" i="3"/>
  <c r="H90" i="3"/>
  <c r="G90" i="3"/>
  <c r="F90" i="3"/>
  <c r="E90" i="3"/>
  <c r="D90" i="3"/>
  <c r="C90" i="3"/>
  <c r="P89" i="3"/>
  <c r="O89" i="3"/>
  <c r="N89" i="3"/>
  <c r="M89" i="3"/>
  <c r="L89" i="3"/>
  <c r="K89" i="3"/>
  <c r="J89" i="3"/>
  <c r="I89" i="3"/>
  <c r="H89" i="3"/>
  <c r="G89" i="3"/>
  <c r="F89" i="3"/>
  <c r="E89" i="3"/>
  <c r="D89" i="3"/>
  <c r="C89" i="3"/>
  <c r="P88" i="3"/>
  <c r="O88" i="3"/>
  <c r="N88" i="3"/>
  <c r="M88" i="3"/>
  <c r="L88" i="3"/>
  <c r="K88" i="3"/>
  <c r="J88" i="3"/>
  <c r="I88" i="3"/>
  <c r="H88" i="3"/>
  <c r="G88" i="3"/>
  <c r="F88" i="3"/>
  <c r="E88" i="3"/>
  <c r="D88" i="3"/>
  <c r="C88" i="3"/>
  <c r="P87" i="3"/>
  <c r="O87" i="3"/>
  <c r="N87" i="3"/>
  <c r="M87" i="3"/>
  <c r="L87" i="3"/>
  <c r="K87" i="3"/>
  <c r="J87" i="3"/>
  <c r="I87" i="3"/>
  <c r="H87" i="3"/>
  <c r="G87" i="3"/>
  <c r="F87" i="3"/>
  <c r="E87" i="3"/>
  <c r="D87" i="3"/>
  <c r="C87" i="3"/>
  <c r="P86" i="3"/>
  <c r="O86" i="3"/>
  <c r="N86" i="3"/>
  <c r="M86" i="3"/>
  <c r="L86" i="3"/>
  <c r="K86" i="3"/>
  <c r="J86" i="3"/>
  <c r="I86" i="3"/>
  <c r="H86" i="3"/>
  <c r="G86" i="3"/>
  <c r="F86" i="3"/>
  <c r="E86" i="3"/>
  <c r="D86" i="3"/>
  <c r="C86" i="3"/>
  <c r="P85" i="3"/>
  <c r="O85" i="3"/>
  <c r="N85" i="3"/>
  <c r="M85" i="3"/>
  <c r="L85" i="3"/>
  <c r="K85" i="3"/>
  <c r="J85" i="3"/>
  <c r="I85" i="3"/>
  <c r="H85" i="3"/>
  <c r="G85" i="3"/>
  <c r="F85" i="3"/>
  <c r="E85" i="3"/>
  <c r="D85" i="3"/>
  <c r="C85" i="3"/>
  <c r="Q84" i="3"/>
  <c r="P84" i="3"/>
  <c r="O84" i="3"/>
  <c r="N84" i="3"/>
  <c r="M84" i="3"/>
  <c r="L84" i="3"/>
  <c r="K84" i="3"/>
  <c r="J84" i="3"/>
  <c r="I84" i="3"/>
  <c r="H84" i="3"/>
  <c r="G84" i="3"/>
  <c r="F84" i="3"/>
  <c r="E84" i="3"/>
  <c r="D84" i="3"/>
  <c r="C84" i="3"/>
  <c r="C83" i="3"/>
  <c r="Q82" i="3"/>
  <c r="P82" i="3"/>
  <c r="O82" i="3"/>
  <c r="N82" i="3"/>
  <c r="M82" i="3"/>
  <c r="L82" i="3"/>
  <c r="K82" i="3"/>
  <c r="J82" i="3"/>
  <c r="I82" i="3"/>
  <c r="H82" i="3"/>
  <c r="G82" i="3"/>
  <c r="F82" i="3"/>
  <c r="E82" i="3"/>
  <c r="D82" i="3"/>
  <c r="C82" i="3"/>
  <c r="P81" i="3"/>
  <c r="O81" i="3"/>
  <c r="N81" i="3"/>
  <c r="M81" i="3"/>
  <c r="L81" i="3"/>
  <c r="K81" i="3"/>
  <c r="J81" i="3"/>
  <c r="I81" i="3"/>
  <c r="H81" i="3"/>
  <c r="G81" i="3"/>
  <c r="F81" i="3"/>
  <c r="E81" i="3"/>
  <c r="D81" i="3"/>
  <c r="C81" i="3"/>
  <c r="P80" i="3"/>
  <c r="O80" i="3"/>
  <c r="N80" i="3"/>
  <c r="M80" i="3"/>
  <c r="L80" i="3"/>
  <c r="K80" i="3"/>
  <c r="J80" i="3"/>
  <c r="I80" i="3"/>
  <c r="H80" i="3"/>
  <c r="G80" i="3"/>
  <c r="F80" i="3"/>
  <c r="E80" i="3"/>
  <c r="D80" i="3"/>
  <c r="C80" i="3"/>
  <c r="P79" i="3"/>
  <c r="O79" i="3"/>
  <c r="N79" i="3"/>
  <c r="M79" i="3"/>
  <c r="L79" i="3"/>
  <c r="K79" i="3"/>
  <c r="J79" i="3"/>
  <c r="I79" i="3"/>
  <c r="H79" i="3"/>
  <c r="G79" i="3"/>
  <c r="F79" i="3"/>
  <c r="E79" i="3"/>
  <c r="D79" i="3"/>
  <c r="C79" i="3"/>
  <c r="P78" i="3"/>
  <c r="O78" i="3"/>
  <c r="N78" i="3"/>
  <c r="M78" i="3"/>
  <c r="L78" i="3"/>
  <c r="K78" i="3"/>
  <c r="J78" i="3"/>
  <c r="I78" i="3"/>
  <c r="H78" i="3"/>
  <c r="G78" i="3"/>
  <c r="F78" i="3"/>
  <c r="E78" i="3"/>
  <c r="D78" i="3"/>
  <c r="C78" i="3"/>
  <c r="P77" i="3"/>
  <c r="O77" i="3"/>
  <c r="N77" i="3"/>
  <c r="M77" i="3"/>
  <c r="L77" i="3"/>
  <c r="K77" i="3"/>
  <c r="J77" i="3"/>
  <c r="I77" i="3"/>
  <c r="H77" i="3"/>
  <c r="G77" i="3"/>
  <c r="F77" i="3"/>
  <c r="E77" i="3"/>
  <c r="D77" i="3"/>
  <c r="C77" i="3"/>
  <c r="Q76" i="3"/>
  <c r="P76" i="3"/>
  <c r="O76" i="3"/>
  <c r="N76" i="3"/>
  <c r="M76" i="3"/>
  <c r="L76" i="3"/>
  <c r="K76" i="3"/>
  <c r="J76" i="3"/>
  <c r="I76" i="3"/>
  <c r="H76" i="3"/>
  <c r="G76" i="3"/>
  <c r="F76" i="3"/>
  <c r="E76" i="3"/>
  <c r="D76" i="3"/>
  <c r="C76" i="3"/>
  <c r="Q75" i="3"/>
  <c r="C75" i="3"/>
  <c r="Q74" i="3"/>
  <c r="P74" i="3"/>
  <c r="O74" i="3"/>
  <c r="N74" i="3"/>
  <c r="M74" i="3"/>
  <c r="L74" i="3"/>
  <c r="K74" i="3"/>
  <c r="J74" i="3"/>
  <c r="I74" i="3"/>
  <c r="H74" i="3"/>
  <c r="G74" i="3"/>
  <c r="F74" i="3"/>
  <c r="E74" i="3"/>
  <c r="D74" i="3"/>
  <c r="C74" i="3"/>
  <c r="Q73" i="3"/>
  <c r="P73" i="3"/>
  <c r="O73" i="3"/>
  <c r="N73" i="3"/>
  <c r="M73" i="3"/>
  <c r="L73" i="3"/>
  <c r="K73" i="3"/>
  <c r="J73" i="3"/>
  <c r="I73" i="3"/>
  <c r="H73" i="3"/>
  <c r="G73" i="3"/>
  <c r="F73" i="3"/>
  <c r="E73" i="3"/>
  <c r="D73" i="3"/>
  <c r="C73" i="3"/>
  <c r="Q72" i="3"/>
  <c r="P72" i="3"/>
  <c r="O72" i="3"/>
  <c r="N72" i="3"/>
  <c r="M72" i="3"/>
  <c r="L72" i="3"/>
  <c r="K72" i="3"/>
  <c r="J72" i="3"/>
  <c r="I72" i="3"/>
  <c r="H72" i="3"/>
  <c r="G72" i="3"/>
  <c r="F72" i="3"/>
  <c r="E72" i="3"/>
  <c r="D72" i="3"/>
  <c r="C72" i="3"/>
  <c r="Q71" i="3"/>
  <c r="P71" i="3"/>
  <c r="O71" i="3"/>
  <c r="N71" i="3"/>
  <c r="M71" i="3"/>
  <c r="L71" i="3"/>
  <c r="K71" i="3"/>
  <c r="J71" i="3"/>
  <c r="I71" i="3"/>
  <c r="H71" i="3"/>
  <c r="G71" i="3"/>
  <c r="F71" i="3"/>
  <c r="E71" i="3"/>
  <c r="D71" i="3"/>
  <c r="C71" i="3"/>
  <c r="Q70" i="3"/>
  <c r="P70" i="3"/>
  <c r="O70" i="3"/>
  <c r="N70" i="3"/>
  <c r="M70" i="3"/>
  <c r="L70" i="3"/>
  <c r="K70" i="3"/>
  <c r="J70" i="3"/>
  <c r="I70" i="3"/>
  <c r="H70" i="3"/>
  <c r="G70" i="3"/>
  <c r="F70" i="3"/>
  <c r="E70" i="3"/>
  <c r="D70" i="3"/>
  <c r="C70" i="3"/>
  <c r="Q69" i="3"/>
  <c r="P69" i="3"/>
  <c r="O69" i="3"/>
  <c r="N69" i="3"/>
  <c r="M69" i="3"/>
  <c r="L69" i="3"/>
  <c r="K69" i="3"/>
  <c r="J69" i="3"/>
  <c r="I69" i="3"/>
  <c r="H69" i="3"/>
  <c r="G69" i="3"/>
  <c r="F69" i="3"/>
  <c r="E69" i="3"/>
  <c r="D69" i="3"/>
  <c r="C69" i="3"/>
  <c r="Q68" i="3"/>
  <c r="P68" i="3"/>
  <c r="O68" i="3"/>
  <c r="N68" i="3"/>
  <c r="M68" i="3"/>
  <c r="L68" i="3"/>
  <c r="K68" i="3"/>
  <c r="J68" i="3"/>
  <c r="I68" i="3"/>
  <c r="H68" i="3"/>
  <c r="G68" i="3"/>
  <c r="F68" i="3"/>
  <c r="E68" i="3"/>
  <c r="D68" i="3"/>
  <c r="C68" i="3"/>
  <c r="Q67" i="3"/>
  <c r="P67" i="3"/>
  <c r="O67" i="3"/>
  <c r="N67" i="3"/>
  <c r="M67" i="3"/>
  <c r="L67" i="3"/>
  <c r="K67" i="3"/>
  <c r="J67" i="3"/>
  <c r="I67" i="3"/>
  <c r="H67" i="3"/>
  <c r="G67" i="3"/>
  <c r="F67" i="3"/>
  <c r="E67" i="3"/>
  <c r="D67" i="3"/>
  <c r="C67" i="3"/>
  <c r="Q66" i="3"/>
  <c r="P66" i="3"/>
  <c r="O66" i="3"/>
  <c r="N66" i="3"/>
  <c r="M66" i="3"/>
  <c r="L66" i="3"/>
  <c r="K66" i="3"/>
  <c r="J66" i="3"/>
  <c r="I66" i="3"/>
  <c r="H66" i="3"/>
  <c r="G66" i="3"/>
  <c r="F66" i="3"/>
  <c r="E66" i="3"/>
  <c r="D66" i="3"/>
  <c r="C66" i="3"/>
  <c r="Q65" i="3"/>
  <c r="P65" i="3"/>
  <c r="O65" i="3"/>
  <c r="N65" i="3"/>
  <c r="M65" i="3"/>
  <c r="L65" i="3"/>
  <c r="K65" i="3"/>
  <c r="J65" i="3"/>
  <c r="I65" i="3"/>
  <c r="H65" i="3"/>
  <c r="G65" i="3"/>
  <c r="F65" i="3"/>
  <c r="E65" i="3"/>
  <c r="D65" i="3"/>
  <c r="C65" i="3"/>
  <c r="Q64" i="3"/>
  <c r="P64" i="3"/>
  <c r="O64" i="3"/>
  <c r="N64" i="3"/>
  <c r="M64" i="3"/>
  <c r="L64" i="3"/>
  <c r="K64" i="3"/>
  <c r="J64" i="3"/>
  <c r="I64" i="3"/>
  <c r="H64" i="3"/>
  <c r="G64" i="3"/>
  <c r="F64" i="3"/>
  <c r="E64" i="3"/>
  <c r="D64" i="3"/>
  <c r="C64" i="3"/>
  <c r="Q63" i="3"/>
  <c r="P63" i="3"/>
  <c r="O63" i="3"/>
  <c r="N63" i="3"/>
  <c r="M63" i="3"/>
  <c r="L63" i="3"/>
  <c r="K63" i="3"/>
  <c r="J63" i="3"/>
  <c r="I63" i="3"/>
  <c r="H63" i="3"/>
  <c r="G63" i="3"/>
  <c r="F63" i="3"/>
  <c r="E63" i="3"/>
  <c r="D63" i="3"/>
  <c r="C63" i="3"/>
  <c r="Q62" i="3"/>
  <c r="P62" i="3"/>
  <c r="O62" i="3"/>
  <c r="N62" i="3"/>
  <c r="M62" i="3"/>
  <c r="L62" i="3"/>
  <c r="K62" i="3"/>
  <c r="J62" i="3"/>
  <c r="I62" i="3"/>
  <c r="H62" i="3"/>
  <c r="G62" i="3"/>
  <c r="F62" i="3"/>
  <c r="E62" i="3"/>
  <c r="D62" i="3"/>
  <c r="C62" i="3"/>
  <c r="Q61" i="3"/>
  <c r="P61" i="3"/>
  <c r="O61" i="3"/>
  <c r="N61" i="3"/>
  <c r="M61" i="3"/>
  <c r="L61" i="3"/>
  <c r="K61" i="3"/>
  <c r="J61" i="3"/>
  <c r="I61" i="3"/>
  <c r="H61" i="3"/>
  <c r="G61" i="3"/>
  <c r="F61" i="3"/>
  <c r="E61" i="3"/>
  <c r="D61" i="3"/>
  <c r="C61" i="3"/>
  <c r="C60" i="3"/>
  <c r="Q59" i="3"/>
  <c r="P59" i="3"/>
  <c r="O59" i="3"/>
  <c r="N59" i="3"/>
  <c r="M59" i="3"/>
  <c r="L59" i="3"/>
  <c r="K59" i="3"/>
  <c r="J59" i="3"/>
  <c r="I59" i="3"/>
  <c r="H59" i="3"/>
  <c r="G59" i="3"/>
  <c r="F59" i="3"/>
  <c r="E59" i="3"/>
  <c r="D59" i="3"/>
  <c r="C59" i="3"/>
  <c r="Q58" i="3"/>
  <c r="P58" i="3"/>
  <c r="O58" i="3"/>
  <c r="N58" i="3"/>
  <c r="M58" i="3"/>
  <c r="L58" i="3"/>
  <c r="K58" i="3"/>
  <c r="J58" i="3"/>
  <c r="I58" i="3"/>
  <c r="H58" i="3"/>
  <c r="G58" i="3"/>
  <c r="F58" i="3"/>
  <c r="E58" i="3"/>
  <c r="D58" i="3"/>
  <c r="C58" i="3"/>
  <c r="Q57" i="3"/>
  <c r="P57" i="3"/>
  <c r="O57" i="3"/>
  <c r="N57" i="3"/>
  <c r="M57" i="3"/>
  <c r="L57" i="3"/>
  <c r="K57" i="3"/>
  <c r="J57" i="3"/>
  <c r="I57" i="3"/>
  <c r="H57" i="3"/>
  <c r="G57" i="3"/>
  <c r="F57" i="3"/>
  <c r="E57" i="3"/>
  <c r="D57" i="3"/>
  <c r="C57" i="3"/>
  <c r="Q56" i="3"/>
  <c r="P56" i="3"/>
  <c r="O56" i="3"/>
  <c r="N56" i="3"/>
  <c r="M56" i="3"/>
  <c r="L56" i="3"/>
  <c r="K56" i="3"/>
  <c r="J56" i="3"/>
  <c r="I56" i="3"/>
  <c r="H56" i="3"/>
  <c r="G56" i="3"/>
  <c r="F56" i="3"/>
  <c r="E56" i="3"/>
  <c r="D56" i="3"/>
  <c r="C56" i="3"/>
  <c r="Q55" i="3"/>
  <c r="P55" i="3"/>
  <c r="O55" i="3"/>
  <c r="N55" i="3"/>
  <c r="M55" i="3"/>
  <c r="L55" i="3"/>
  <c r="K55" i="3"/>
  <c r="J55" i="3"/>
  <c r="I55" i="3"/>
  <c r="H55" i="3"/>
  <c r="G55" i="3"/>
  <c r="F55" i="3"/>
  <c r="E55" i="3"/>
  <c r="D55" i="3"/>
  <c r="C55" i="3"/>
  <c r="Q54" i="3"/>
  <c r="P54" i="3"/>
  <c r="O54" i="3"/>
  <c r="N54" i="3"/>
  <c r="M54" i="3"/>
  <c r="L54" i="3"/>
  <c r="K54" i="3"/>
  <c r="J54" i="3"/>
  <c r="I54" i="3"/>
  <c r="H54" i="3"/>
  <c r="G54" i="3"/>
  <c r="F54" i="3"/>
  <c r="E54" i="3"/>
  <c r="D54" i="3"/>
  <c r="C54" i="3"/>
  <c r="Q53" i="3"/>
  <c r="P53" i="3"/>
  <c r="O53" i="3"/>
  <c r="N53" i="3"/>
  <c r="M53" i="3"/>
  <c r="L53" i="3"/>
  <c r="K53" i="3"/>
  <c r="J53" i="3"/>
  <c r="I53" i="3"/>
  <c r="H53" i="3"/>
  <c r="G53" i="3"/>
  <c r="F53" i="3"/>
  <c r="E53" i="3"/>
  <c r="D53" i="3"/>
  <c r="C53" i="3"/>
  <c r="P52" i="3"/>
  <c r="O52" i="3"/>
  <c r="N52" i="3"/>
  <c r="M52" i="3"/>
  <c r="L52" i="3"/>
  <c r="K52" i="3"/>
  <c r="J52" i="3"/>
  <c r="I52" i="3"/>
  <c r="Q48" i="3"/>
  <c r="P48" i="3"/>
  <c r="O48" i="3"/>
  <c r="N48" i="3"/>
  <c r="M48" i="3"/>
  <c r="L48" i="3"/>
  <c r="K48" i="3"/>
  <c r="J48" i="3"/>
  <c r="I48" i="3"/>
  <c r="H48" i="3"/>
  <c r="G48" i="3"/>
  <c r="F48" i="3"/>
  <c r="E48" i="3"/>
  <c r="D48" i="3"/>
  <c r="C48" i="3"/>
  <c r="Q47" i="3"/>
  <c r="P47" i="3"/>
  <c r="O47" i="3"/>
  <c r="N47" i="3"/>
  <c r="M47" i="3"/>
  <c r="L47" i="3"/>
  <c r="K47" i="3"/>
  <c r="J47" i="3"/>
  <c r="I47" i="3"/>
  <c r="H47" i="3"/>
  <c r="G47" i="3"/>
  <c r="F47" i="3"/>
  <c r="E47" i="3"/>
  <c r="D47" i="3"/>
  <c r="C47" i="3"/>
  <c r="Q46" i="3"/>
  <c r="P46" i="3"/>
  <c r="O46" i="3"/>
  <c r="N46" i="3"/>
  <c r="M46" i="3"/>
  <c r="L46" i="3"/>
  <c r="K46" i="3"/>
  <c r="J46" i="3"/>
  <c r="I46" i="3"/>
  <c r="H46" i="3"/>
  <c r="G46" i="3"/>
  <c r="F46" i="3"/>
  <c r="E46" i="3"/>
  <c r="D46" i="3"/>
  <c r="C46" i="3"/>
  <c r="Q45" i="3"/>
  <c r="P45" i="3"/>
  <c r="O45" i="3"/>
  <c r="N45" i="3"/>
  <c r="M45" i="3"/>
  <c r="L45" i="3"/>
  <c r="K45" i="3"/>
  <c r="J45" i="3"/>
  <c r="I45" i="3"/>
  <c r="H45" i="3"/>
  <c r="G45" i="3"/>
  <c r="F45" i="3"/>
  <c r="E45" i="3"/>
  <c r="D45" i="3"/>
  <c r="C45" i="3"/>
  <c r="P44" i="3"/>
  <c r="O44" i="3"/>
  <c r="N44" i="3"/>
  <c r="M44" i="3"/>
  <c r="L44" i="3"/>
  <c r="K44" i="3"/>
  <c r="J44" i="3"/>
  <c r="I44" i="3"/>
  <c r="D40" i="3"/>
  <c r="C40" i="3"/>
  <c r="D39" i="3"/>
  <c r="C39" i="3"/>
  <c r="D38" i="3"/>
  <c r="C38" i="3"/>
  <c r="D37" i="3"/>
  <c r="C37" i="3"/>
  <c r="D36" i="3"/>
  <c r="C36" i="3"/>
  <c r="Q35" i="3"/>
  <c r="P35" i="3"/>
  <c r="O35" i="3"/>
  <c r="N35" i="3"/>
  <c r="M35" i="3"/>
  <c r="L35" i="3"/>
  <c r="K35" i="3"/>
  <c r="J35" i="3"/>
  <c r="I35" i="3"/>
  <c r="H35" i="3"/>
  <c r="G35" i="3"/>
  <c r="F35" i="3"/>
  <c r="E35" i="3"/>
  <c r="D35" i="3"/>
  <c r="C35" i="3"/>
  <c r="D33" i="3"/>
  <c r="C33" i="3"/>
  <c r="D32" i="3"/>
  <c r="C32" i="3"/>
  <c r="D31" i="3"/>
  <c r="C31" i="3"/>
  <c r="D30" i="3"/>
  <c r="C30" i="3"/>
  <c r="Q29" i="3"/>
  <c r="P29" i="3"/>
  <c r="O29" i="3"/>
  <c r="N29" i="3"/>
  <c r="M29" i="3"/>
  <c r="L29" i="3"/>
  <c r="K29" i="3"/>
  <c r="J29" i="3"/>
  <c r="I29" i="3"/>
  <c r="H29" i="3"/>
  <c r="G29" i="3"/>
  <c r="F29" i="3"/>
  <c r="E29" i="3"/>
  <c r="D29" i="3"/>
  <c r="C29" i="3"/>
  <c r="D27" i="3"/>
  <c r="C27" i="3"/>
  <c r="D26" i="3"/>
  <c r="C26" i="3"/>
  <c r="D25" i="3"/>
  <c r="C25" i="3"/>
  <c r="Q24" i="3"/>
  <c r="P24" i="3"/>
  <c r="O24" i="3"/>
  <c r="N24" i="3"/>
  <c r="M24" i="3"/>
  <c r="L24" i="3"/>
  <c r="K24" i="3"/>
  <c r="J24" i="3"/>
  <c r="I24" i="3"/>
  <c r="H24" i="3"/>
  <c r="G24" i="3"/>
  <c r="F24" i="3"/>
  <c r="E24" i="3"/>
  <c r="D24" i="3"/>
  <c r="C24" i="3"/>
  <c r="D22" i="3"/>
  <c r="C22" i="3"/>
  <c r="D21" i="3"/>
  <c r="C21" i="3"/>
  <c r="D20" i="3"/>
  <c r="C20" i="3"/>
  <c r="D19" i="3"/>
  <c r="C19" i="3"/>
  <c r="Q18" i="3"/>
  <c r="P18" i="3"/>
  <c r="O18" i="3"/>
  <c r="N18" i="3"/>
  <c r="M18" i="3"/>
  <c r="L18" i="3"/>
  <c r="K18" i="3"/>
  <c r="J18" i="3"/>
  <c r="I18" i="3"/>
  <c r="H18" i="3"/>
  <c r="G18" i="3"/>
  <c r="F18" i="3"/>
  <c r="E18" i="3"/>
  <c r="D18" i="3"/>
  <c r="C18" i="3"/>
  <c r="D16" i="3"/>
  <c r="C16" i="3"/>
  <c r="D15" i="3"/>
  <c r="C15" i="3"/>
  <c r="Q14" i="3"/>
  <c r="P14" i="3"/>
  <c r="O14" i="3"/>
  <c r="N14" i="3"/>
  <c r="M14" i="3"/>
  <c r="L14" i="3"/>
  <c r="K14" i="3"/>
  <c r="J14" i="3"/>
  <c r="I14" i="3"/>
  <c r="H14" i="3"/>
  <c r="G14" i="3"/>
  <c r="F14" i="3"/>
  <c r="E14" i="3"/>
  <c r="D14" i="3"/>
  <c r="C14" i="3"/>
  <c r="P13" i="3"/>
  <c r="O13" i="3"/>
  <c r="N13" i="3"/>
  <c r="M13" i="3"/>
  <c r="L13" i="3"/>
  <c r="K13" i="3"/>
  <c r="J13" i="3"/>
  <c r="I13" i="3"/>
  <c r="H11" i="3"/>
  <c r="D4" i="3"/>
  <c r="D3" i="3"/>
  <c r="C124" i="2"/>
  <c r="Q121" i="2"/>
  <c r="P121" i="2"/>
  <c r="O121" i="2"/>
  <c r="N121" i="2"/>
  <c r="M121" i="2"/>
  <c r="L121" i="2"/>
  <c r="K121" i="2"/>
  <c r="J121" i="2"/>
  <c r="I121" i="2"/>
  <c r="H121" i="2"/>
  <c r="G121" i="2"/>
  <c r="F121" i="2"/>
  <c r="E121" i="2"/>
  <c r="D121" i="2"/>
  <c r="C121" i="2"/>
  <c r="Q120" i="2"/>
  <c r="P120" i="2"/>
  <c r="O120" i="2"/>
  <c r="N120" i="2"/>
  <c r="M120" i="2"/>
  <c r="L120" i="2"/>
  <c r="K120" i="2"/>
  <c r="J120" i="2"/>
  <c r="I120" i="2"/>
  <c r="H120" i="2"/>
  <c r="G120" i="2"/>
  <c r="F120" i="2"/>
  <c r="E120" i="2"/>
  <c r="D120" i="2"/>
  <c r="C120" i="2"/>
  <c r="Q119" i="2"/>
  <c r="P119" i="2"/>
  <c r="O119" i="2"/>
  <c r="N119" i="2"/>
  <c r="M119" i="2"/>
  <c r="L119" i="2"/>
  <c r="K119" i="2"/>
  <c r="J119" i="2"/>
  <c r="I119" i="2"/>
  <c r="H119" i="2"/>
  <c r="G119" i="2"/>
  <c r="F119" i="2"/>
  <c r="E119" i="2"/>
  <c r="D119" i="2"/>
  <c r="C119" i="2"/>
  <c r="P117" i="2"/>
  <c r="O117" i="2"/>
  <c r="N117" i="2"/>
  <c r="M117" i="2"/>
  <c r="L117" i="2"/>
  <c r="K117" i="2"/>
  <c r="J117" i="2"/>
  <c r="I117" i="2"/>
  <c r="D117" i="2"/>
  <c r="C117" i="2"/>
  <c r="P116" i="2"/>
  <c r="O116" i="2"/>
  <c r="N116" i="2"/>
  <c r="M116" i="2"/>
  <c r="L116" i="2"/>
  <c r="K116" i="2"/>
  <c r="J116" i="2"/>
  <c r="I116" i="2"/>
  <c r="D116" i="2"/>
  <c r="C116" i="2"/>
  <c r="P115" i="2"/>
  <c r="O115" i="2"/>
  <c r="N115" i="2"/>
  <c r="M115" i="2"/>
  <c r="L115" i="2"/>
  <c r="K115" i="2"/>
  <c r="J115" i="2"/>
  <c r="I115" i="2"/>
  <c r="D115" i="2"/>
  <c r="C115" i="2"/>
  <c r="P114" i="2"/>
  <c r="O114" i="2"/>
  <c r="N114" i="2"/>
  <c r="M114" i="2"/>
  <c r="L114" i="2"/>
  <c r="K114" i="2"/>
  <c r="J114" i="2"/>
  <c r="I114" i="2"/>
  <c r="D114" i="2"/>
  <c r="C114" i="2"/>
  <c r="P113" i="2"/>
  <c r="O113" i="2"/>
  <c r="N113" i="2"/>
  <c r="M113" i="2"/>
  <c r="L113" i="2"/>
  <c r="K113" i="2"/>
  <c r="J113" i="2"/>
  <c r="I113" i="2"/>
  <c r="D113" i="2"/>
  <c r="C113" i="2"/>
  <c r="Q112" i="2"/>
  <c r="P112" i="2"/>
  <c r="O112" i="2"/>
  <c r="N112" i="2"/>
  <c r="M112" i="2"/>
  <c r="L112" i="2"/>
  <c r="K112" i="2"/>
  <c r="J112" i="2"/>
  <c r="I112" i="2"/>
  <c r="H112" i="2"/>
  <c r="G112" i="2"/>
  <c r="F112" i="2"/>
  <c r="E112" i="2"/>
  <c r="D112" i="2"/>
  <c r="C112" i="2"/>
  <c r="P111" i="2"/>
  <c r="O111" i="2"/>
  <c r="N111" i="2"/>
  <c r="M111" i="2"/>
  <c r="L111" i="2"/>
  <c r="K111" i="2"/>
  <c r="J111" i="2"/>
  <c r="I111" i="2"/>
  <c r="Q107" i="2"/>
  <c r="P107" i="2"/>
  <c r="O107" i="2"/>
  <c r="N107" i="2"/>
  <c r="M107" i="2"/>
  <c r="L107" i="2"/>
  <c r="K107" i="2"/>
  <c r="J107" i="2"/>
  <c r="I107" i="2"/>
  <c r="H107" i="2"/>
  <c r="G107" i="2"/>
  <c r="F107" i="2"/>
  <c r="E107" i="2"/>
  <c r="D107" i="2"/>
  <c r="C107" i="2"/>
  <c r="Q106" i="2"/>
  <c r="P106" i="2"/>
  <c r="O106" i="2"/>
  <c r="N106" i="2"/>
  <c r="M106" i="2"/>
  <c r="L106" i="2"/>
  <c r="K106" i="2"/>
  <c r="J106" i="2"/>
  <c r="I106" i="2"/>
  <c r="H106" i="2"/>
  <c r="G106" i="2"/>
  <c r="F106" i="2"/>
  <c r="E106" i="2"/>
  <c r="D106" i="2"/>
  <c r="C106" i="2"/>
  <c r="P105" i="2"/>
  <c r="O105" i="2"/>
  <c r="N105" i="2"/>
  <c r="M105" i="2"/>
  <c r="L105" i="2"/>
  <c r="K105" i="2"/>
  <c r="J105" i="2"/>
  <c r="I105" i="2"/>
  <c r="Q101" i="2"/>
  <c r="P101" i="2"/>
  <c r="O101" i="2"/>
  <c r="N101" i="2"/>
  <c r="M101" i="2"/>
  <c r="L101" i="2"/>
  <c r="K101" i="2"/>
  <c r="J101" i="2"/>
  <c r="I101" i="2"/>
  <c r="H101" i="2"/>
  <c r="G101" i="2"/>
  <c r="F101" i="2"/>
  <c r="E101" i="2"/>
  <c r="D101" i="2"/>
  <c r="C101" i="2"/>
  <c r="Q100" i="2"/>
  <c r="P100" i="2"/>
  <c r="O100" i="2"/>
  <c r="N100" i="2"/>
  <c r="M100" i="2"/>
  <c r="L100" i="2"/>
  <c r="K100" i="2"/>
  <c r="J100" i="2"/>
  <c r="I100" i="2"/>
  <c r="H100" i="2"/>
  <c r="G100" i="2"/>
  <c r="F100" i="2"/>
  <c r="E100" i="2"/>
  <c r="D100" i="2"/>
  <c r="C100" i="2"/>
  <c r="Q99" i="2"/>
  <c r="P99" i="2"/>
  <c r="O99" i="2"/>
  <c r="N99" i="2"/>
  <c r="M99" i="2"/>
  <c r="L99" i="2"/>
  <c r="K99" i="2"/>
  <c r="J99" i="2"/>
  <c r="I99" i="2"/>
  <c r="H99" i="2"/>
  <c r="G99" i="2"/>
  <c r="F99" i="2"/>
  <c r="E99" i="2"/>
  <c r="D99" i="2"/>
  <c r="C99" i="2"/>
  <c r="Q98" i="2"/>
  <c r="P98" i="2"/>
  <c r="O98" i="2"/>
  <c r="N98" i="2"/>
  <c r="M98" i="2"/>
  <c r="L98" i="2"/>
  <c r="K98" i="2"/>
  <c r="J98" i="2"/>
  <c r="I98" i="2"/>
  <c r="H98" i="2"/>
  <c r="G98" i="2"/>
  <c r="F98" i="2"/>
  <c r="E98" i="2"/>
  <c r="D98" i="2"/>
  <c r="C98" i="2"/>
  <c r="Q97" i="2"/>
  <c r="P97" i="2"/>
  <c r="O97" i="2"/>
  <c r="N97" i="2"/>
  <c r="M97" i="2"/>
  <c r="L97" i="2"/>
  <c r="K97" i="2"/>
  <c r="J97" i="2"/>
  <c r="I97" i="2"/>
  <c r="H97" i="2"/>
  <c r="G97" i="2"/>
  <c r="F97" i="2"/>
  <c r="E97" i="2"/>
  <c r="D97" i="2"/>
  <c r="C97" i="2"/>
  <c r="Q96" i="2"/>
  <c r="P96" i="2"/>
  <c r="O96" i="2"/>
  <c r="N96" i="2"/>
  <c r="M96" i="2"/>
  <c r="L96" i="2"/>
  <c r="K96" i="2"/>
  <c r="J96" i="2"/>
  <c r="I96" i="2"/>
  <c r="H96" i="2"/>
  <c r="G96" i="2"/>
  <c r="F96" i="2"/>
  <c r="E96" i="2"/>
  <c r="D96" i="2"/>
  <c r="C96" i="2"/>
  <c r="Q95" i="2"/>
  <c r="P95" i="2"/>
  <c r="O95" i="2"/>
  <c r="N95" i="2"/>
  <c r="M95" i="2"/>
  <c r="L95" i="2"/>
  <c r="K95" i="2"/>
  <c r="J95" i="2"/>
  <c r="I95" i="2"/>
  <c r="H95" i="2"/>
  <c r="G95" i="2"/>
  <c r="F95" i="2"/>
  <c r="E95" i="2"/>
  <c r="D95" i="2"/>
  <c r="C95" i="2"/>
  <c r="P94" i="2"/>
  <c r="O94" i="2"/>
  <c r="N94" i="2"/>
  <c r="M94" i="2"/>
  <c r="L94" i="2"/>
  <c r="K94" i="2"/>
  <c r="J94" i="2"/>
  <c r="I94" i="2"/>
  <c r="Q90" i="2"/>
  <c r="P90" i="2"/>
  <c r="O90" i="2"/>
  <c r="N90" i="2"/>
  <c r="M90" i="2"/>
  <c r="L90" i="2"/>
  <c r="K90" i="2"/>
  <c r="J90" i="2"/>
  <c r="I90" i="2"/>
  <c r="H90" i="2"/>
  <c r="G90" i="2"/>
  <c r="F90" i="2"/>
  <c r="E90" i="2"/>
  <c r="D90" i="2"/>
  <c r="C90" i="2"/>
  <c r="P89" i="2"/>
  <c r="O89" i="2"/>
  <c r="N89" i="2"/>
  <c r="M89" i="2"/>
  <c r="L89" i="2"/>
  <c r="K89" i="2"/>
  <c r="J89" i="2"/>
  <c r="I89" i="2"/>
  <c r="H89" i="2"/>
  <c r="G89" i="2"/>
  <c r="F89" i="2"/>
  <c r="E89" i="2"/>
  <c r="D89" i="2"/>
  <c r="C89" i="2"/>
  <c r="P88" i="2"/>
  <c r="O88" i="2"/>
  <c r="N88" i="2"/>
  <c r="M88" i="2"/>
  <c r="L88" i="2"/>
  <c r="K88" i="2"/>
  <c r="J88" i="2"/>
  <c r="I88" i="2"/>
  <c r="H88" i="2"/>
  <c r="G88" i="2"/>
  <c r="F88" i="2"/>
  <c r="E88" i="2"/>
  <c r="D88" i="2"/>
  <c r="C88" i="2"/>
  <c r="P87" i="2"/>
  <c r="O87" i="2"/>
  <c r="N87" i="2"/>
  <c r="M87" i="2"/>
  <c r="L87" i="2"/>
  <c r="K87" i="2"/>
  <c r="J87" i="2"/>
  <c r="I87" i="2"/>
  <c r="H87" i="2"/>
  <c r="G87" i="2"/>
  <c r="F87" i="2"/>
  <c r="E87" i="2"/>
  <c r="D87" i="2"/>
  <c r="C87" i="2"/>
  <c r="P86" i="2"/>
  <c r="O86" i="2"/>
  <c r="N86" i="2"/>
  <c r="M86" i="2"/>
  <c r="L86" i="2"/>
  <c r="K86" i="2"/>
  <c r="J86" i="2"/>
  <c r="I86" i="2"/>
  <c r="H86" i="2"/>
  <c r="G86" i="2"/>
  <c r="F86" i="2"/>
  <c r="E86" i="2"/>
  <c r="D86" i="2"/>
  <c r="C86" i="2"/>
  <c r="P85" i="2"/>
  <c r="O85" i="2"/>
  <c r="N85" i="2"/>
  <c r="M85" i="2"/>
  <c r="L85" i="2"/>
  <c r="K85" i="2"/>
  <c r="J85" i="2"/>
  <c r="I85" i="2"/>
  <c r="H85" i="2"/>
  <c r="G85" i="2"/>
  <c r="F85" i="2"/>
  <c r="E85" i="2"/>
  <c r="D85" i="2"/>
  <c r="C85" i="2"/>
  <c r="Q84" i="2"/>
  <c r="P84" i="2"/>
  <c r="O84" i="2"/>
  <c r="N84" i="2"/>
  <c r="M84" i="2"/>
  <c r="L84" i="2"/>
  <c r="K84" i="2"/>
  <c r="J84" i="2"/>
  <c r="I84" i="2"/>
  <c r="H84" i="2"/>
  <c r="G84" i="2"/>
  <c r="F84" i="2"/>
  <c r="E84" i="2"/>
  <c r="D84" i="2"/>
  <c r="C84" i="2"/>
  <c r="C83" i="2"/>
  <c r="Q82" i="2"/>
  <c r="P82" i="2"/>
  <c r="O82" i="2"/>
  <c r="N82" i="2"/>
  <c r="M82" i="2"/>
  <c r="L82" i="2"/>
  <c r="K82" i="2"/>
  <c r="J82" i="2"/>
  <c r="I82" i="2"/>
  <c r="H82" i="2"/>
  <c r="G82" i="2"/>
  <c r="F82" i="2"/>
  <c r="E82" i="2"/>
  <c r="D82" i="2"/>
  <c r="C82" i="2"/>
  <c r="P81" i="2"/>
  <c r="O81" i="2"/>
  <c r="N81" i="2"/>
  <c r="M81" i="2"/>
  <c r="L81" i="2"/>
  <c r="K81" i="2"/>
  <c r="J81" i="2"/>
  <c r="I81" i="2"/>
  <c r="H81" i="2"/>
  <c r="G81" i="2"/>
  <c r="F81" i="2"/>
  <c r="E81" i="2"/>
  <c r="D81" i="2"/>
  <c r="C81" i="2"/>
  <c r="P80" i="2"/>
  <c r="O80" i="2"/>
  <c r="N80" i="2"/>
  <c r="M80" i="2"/>
  <c r="L80" i="2"/>
  <c r="K80" i="2"/>
  <c r="J80" i="2"/>
  <c r="I80" i="2"/>
  <c r="H80" i="2"/>
  <c r="G80" i="2"/>
  <c r="F80" i="2"/>
  <c r="E80" i="2"/>
  <c r="D80" i="2"/>
  <c r="C80" i="2"/>
  <c r="P79" i="2"/>
  <c r="O79" i="2"/>
  <c r="N79" i="2"/>
  <c r="M79" i="2"/>
  <c r="L79" i="2"/>
  <c r="K79" i="2"/>
  <c r="J79" i="2"/>
  <c r="I79" i="2"/>
  <c r="H79" i="2"/>
  <c r="G79" i="2"/>
  <c r="F79" i="2"/>
  <c r="E79" i="2"/>
  <c r="D79" i="2"/>
  <c r="C79" i="2"/>
  <c r="P78" i="2"/>
  <c r="O78" i="2"/>
  <c r="N78" i="2"/>
  <c r="M78" i="2"/>
  <c r="L78" i="2"/>
  <c r="K78" i="2"/>
  <c r="J78" i="2"/>
  <c r="I78" i="2"/>
  <c r="H78" i="2"/>
  <c r="G78" i="2"/>
  <c r="F78" i="2"/>
  <c r="E78" i="2"/>
  <c r="D78" i="2"/>
  <c r="C78" i="2"/>
  <c r="P77" i="2"/>
  <c r="O77" i="2"/>
  <c r="N77" i="2"/>
  <c r="M77" i="2"/>
  <c r="L77" i="2"/>
  <c r="K77" i="2"/>
  <c r="J77" i="2"/>
  <c r="I77" i="2"/>
  <c r="H77" i="2"/>
  <c r="G77" i="2"/>
  <c r="F77" i="2"/>
  <c r="E77" i="2"/>
  <c r="D77" i="2"/>
  <c r="C77" i="2"/>
  <c r="Q76" i="2"/>
  <c r="P76" i="2"/>
  <c r="O76" i="2"/>
  <c r="N76" i="2"/>
  <c r="M76" i="2"/>
  <c r="L76" i="2"/>
  <c r="K76" i="2"/>
  <c r="J76" i="2"/>
  <c r="I76" i="2"/>
  <c r="H76" i="2"/>
  <c r="G76" i="2"/>
  <c r="F76" i="2"/>
  <c r="E76" i="2"/>
  <c r="D76" i="2"/>
  <c r="C76" i="2"/>
  <c r="C75" i="2"/>
  <c r="Q74" i="2"/>
  <c r="P74" i="2"/>
  <c r="O74" i="2"/>
  <c r="N74" i="2"/>
  <c r="M74" i="2"/>
  <c r="L74" i="2"/>
  <c r="K74" i="2"/>
  <c r="J74" i="2"/>
  <c r="I74" i="2"/>
  <c r="H74" i="2"/>
  <c r="G74" i="2"/>
  <c r="F74" i="2"/>
  <c r="E74" i="2"/>
  <c r="D74" i="2"/>
  <c r="C74" i="2"/>
  <c r="Q73" i="2"/>
  <c r="P73" i="2"/>
  <c r="O73" i="2"/>
  <c r="N73" i="2"/>
  <c r="M73" i="2"/>
  <c r="L73" i="2"/>
  <c r="K73" i="2"/>
  <c r="J73" i="2"/>
  <c r="I73" i="2"/>
  <c r="H73" i="2"/>
  <c r="G73" i="2"/>
  <c r="F73" i="2"/>
  <c r="E73" i="2"/>
  <c r="D73" i="2"/>
  <c r="C73" i="2"/>
  <c r="Q72" i="2"/>
  <c r="P72" i="2"/>
  <c r="O72" i="2"/>
  <c r="N72" i="2"/>
  <c r="M72" i="2"/>
  <c r="L72" i="2"/>
  <c r="K72" i="2"/>
  <c r="J72" i="2"/>
  <c r="I72" i="2"/>
  <c r="H72" i="2"/>
  <c r="G72" i="2"/>
  <c r="F72" i="2"/>
  <c r="E72" i="2"/>
  <c r="D72" i="2"/>
  <c r="C72" i="2"/>
  <c r="Q71" i="2"/>
  <c r="P71" i="2"/>
  <c r="O71" i="2"/>
  <c r="N71" i="2"/>
  <c r="M71" i="2"/>
  <c r="L71" i="2"/>
  <c r="K71" i="2"/>
  <c r="J71" i="2"/>
  <c r="I71" i="2"/>
  <c r="H71" i="2"/>
  <c r="G71" i="2"/>
  <c r="F71" i="2"/>
  <c r="E71" i="2"/>
  <c r="D71" i="2"/>
  <c r="C71" i="2"/>
  <c r="Q70" i="2"/>
  <c r="P70" i="2"/>
  <c r="O70" i="2"/>
  <c r="N70" i="2"/>
  <c r="M70" i="2"/>
  <c r="L70" i="2"/>
  <c r="K70" i="2"/>
  <c r="J70" i="2"/>
  <c r="I70" i="2"/>
  <c r="H70" i="2"/>
  <c r="G70" i="2"/>
  <c r="F70" i="2"/>
  <c r="E70" i="2"/>
  <c r="D70" i="2"/>
  <c r="C70" i="2"/>
  <c r="Q69" i="2"/>
  <c r="P69" i="2"/>
  <c r="O69" i="2"/>
  <c r="N69" i="2"/>
  <c r="M69" i="2"/>
  <c r="L69" i="2"/>
  <c r="K69" i="2"/>
  <c r="J69" i="2"/>
  <c r="I69" i="2"/>
  <c r="H69" i="2"/>
  <c r="G69" i="2"/>
  <c r="F69" i="2"/>
  <c r="E69" i="2"/>
  <c r="D69" i="2"/>
  <c r="C69" i="2"/>
  <c r="Q68" i="2"/>
  <c r="P68" i="2"/>
  <c r="O68" i="2"/>
  <c r="N68" i="2"/>
  <c r="M68" i="2"/>
  <c r="L68" i="2"/>
  <c r="K68" i="2"/>
  <c r="J68" i="2"/>
  <c r="I68" i="2"/>
  <c r="H68" i="2"/>
  <c r="G68" i="2"/>
  <c r="F68" i="2"/>
  <c r="E68" i="2"/>
  <c r="D68" i="2"/>
  <c r="C68" i="2"/>
  <c r="Q67" i="2"/>
  <c r="P67" i="2"/>
  <c r="O67" i="2"/>
  <c r="N67" i="2"/>
  <c r="M67" i="2"/>
  <c r="L67" i="2"/>
  <c r="K67" i="2"/>
  <c r="J67" i="2"/>
  <c r="I67" i="2"/>
  <c r="H67" i="2"/>
  <c r="G67" i="2"/>
  <c r="F67" i="2"/>
  <c r="E67" i="2"/>
  <c r="D67" i="2"/>
  <c r="C67" i="2"/>
  <c r="Q66" i="2"/>
  <c r="P66" i="2"/>
  <c r="O66" i="2"/>
  <c r="N66" i="2"/>
  <c r="M66" i="2"/>
  <c r="L66" i="2"/>
  <c r="K66" i="2"/>
  <c r="J66" i="2"/>
  <c r="I66" i="2"/>
  <c r="H66" i="2"/>
  <c r="G66" i="2"/>
  <c r="F66" i="2"/>
  <c r="E66" i="2"/>
  <c r="D66" i="2"/>
  <c r="C66" i="2"/>
  <c r="Q65" i="2"/>
  <c r="P65" i="2"/>
  <c r="O65" i="2"/>
  <c r="N65" i="2"/>
  <c r="M65" i="2"/>
  <c r="L65" i="2"/>
  <c r="K65" i="2"/>
  <c r="J65" i="2"/>
  <c r="I65" i="2"/>
  <c r="H65" i="2"/>
  <c r="G65" i="2"/>
  <c r="F65" i="2"/>
  <c r="E65" i="2"/>
  <c r="D65" i="2"/>
  <c r="C65" i="2"/>
  <c r="Q64" i="2"/>
  <c r="P64" i="2"/>
  <c r="O64" i="2"/>
  <c r="N64" i="2"/>
  <c r="M64" i="2"/>
  <c r="L64" i="2"/>
  <c r="K64" i="2"/>
  <c r="J64" i="2"/>
  <c r="I64" i="2"/>
  <c r="H64" i="2"/>
  <c r="G64" i="2"/>
  <c r="F64" i="2"/>
  <c r="E64" i="2"/>
  <c r="D64" i="2"/>
  <c r="C64" i="2"/>
  <c r="Q63" i="2"/>
  <c r="P63" i="2"/>
  <c r="O63" i="2"/>
  <c r="N63" i="2"/>
  <c r="M63" i="2"/>
  <c r="L63" i="2"/>
  <c r="K63" i="2"/>
  <c r="J63" i="2"/>
  <c r="I63" i="2"/>
  <c r="H63" i="2"/>
  <c r="G63" i="2"/>
  <c r="F63" i="2"/>
  <c r="E63" i="2"/>
  <c r="D63" i="2"/>
  <c r="C63" i="2"/>
  <c r="Q62" i="2"/>
  <c r="P62" i="2"/>
  <c r="O62" i="2"/>
  <c r="N62" i="2"/>
  <c r="M62" i="2"/>
  <c r="L62" i="2"/>
  <c r="K62" i="2"/>
  <c r="J62" i="2"/>
  <c r="I62" i="2"/>
  <c r="H62" i="2"/>
  <c r="G62" i="2"/>
  <c r="F62" i="2"/>
  <c r="E62" i="2"/>
  <c r="D62" i="2"/>
  <c r="C62" i="2"/>
  <c r="Q61" i="2"/>
  <c r="P61" i="2"/>
  <c r="O61" i="2"/>
  <c r="N61" i="2"/>
  <c r="M61" i="2"/>
  <c r="L61" i="2"/>
  <c r="K61" i="2"/>
  <c r="J61" i="2"/>
  <c r="I61" i="2"/>
  <c r="H61" i="2"/>
  <c r="G61" i="2"/>
  <c r="F61" i="2"/>
  <c r="E61" i="2"/>
  <c r="D61" i="2"/>
  <c r="C61" i="2"/>
  <c r="C60" i="2"/>
  <c r="Q59" i="2"/>
  <c r="P59" i="2"/>
  <c r="O59" i="2"/>
  <c r="N59" i="2"/>
  <c r="M59" i="2"/>
  <c r="L59" i="2"/>
  <c r="K59" i="2"/>
  <c r="J59" i="2"/>
  <c r="I59" i="2"/>
  <c r="H59" i="2"/>
  <c r="G59" i="2"/>
  <c r="F59" i="2"/>
  <c r="E59" i="2"/>
  <c r="D59" i="2"/>
  <c r="C59" i="2"/>
  <c r="Q58" i="2"/>
  <c r="P58" i="2"/>
  <c r="O58" i="2"/>
  <c r="N58" i="2"/>
  <c r="M58" i="2"/>
  <c r="L58" i="2"/>
  <c r="K58" i="2"/>
  <c r="J58" i="2"/>
  <c r="I58" i="2"/>
  <c r="H58" i="2"/>
  <c r="G58" i="2"/>
  <c r="F58" i="2"/>
  <c r="E58" i="2"/>
  <c r="D58" i="2"/>
  <c r="C58" i="2"/>
  <c r="Q57" i="2"/>
  <c r="P57" i="2"/>
  <c r="O57" i="2"/>
  <c r="N57" i="2"/>
  <c r="M57" i="2"/>
  <c r="L57" i="2"/>
  <c r="K57" i="2"/>
  <c r="J57" i="2"/>
  <c r="I57" i="2"/>
  <c r="H57" i="2"/>
  <c r="G57" i="2"/>
  <c r="F57" i="2"/>
  <c r="E57" i="2"/>
  <c r="D57" i="2"/>
  <c r="C57" i="2"/>
  <c r="Q56" i="2"/>
  <c r="P56" i="2"/>
  <c r="O56" i="2"/>
  <c r="N56" i="2"/>
  <c r="M56" i="2"/>
  <c r="L56" i="2"/>
  <c r="K56" i="2"/>
  <c r="J56" i="2"/>
  <c r="I56" i="2"/>
  <c r="H56" i="2"/>
  <c r="G56" i="2"/>
  <c r="F56" i="2"/>
  <c r="E56" i="2"/>
  <c r="D56" i="2"/>
  <c r="C56" i="2"/>
  <c r="Q55" i="2"/>
  <c r="P55" i="2"/>
  <c r="O55" i="2"/>
  <c r="N55" i="2"/>
  <c r="M55" i="2"/>
  <c r="L55" i="2"/>
  <c r="K55" i="2"/>
  <c r="J55" i="2"/>
  <c r="I55" i="2"/>
  <c r="H55" i="2"/>
  <c r="G55" i="2"/>
  <c r="F55" i="2"/>
  <c r="E55" i="2"/>
  <c r="D55" i="2"/>
  <c r="C55" i="2"/>
  <c r="Q54" i="2"/>
  <c r="P54" i="2"/>
  <c r="O54" i="2"/>
  <c r="N54" i="2"/>
  <c r="M54" i="2"/>
  <c r="L54" i="2"/>
  <c r="K54" i="2"/>
  <c r="J54" i="2"/>
  <c r="I54" i="2"/>
  <c r="H54" i="2"/>
  <c r="G54" i="2"/>
  <c r="F54" i="2"/>
  <c r="E54" i="2"/>
  <c r="D54" i="2"/>
  <c r="C54" i="2"/>
  <c r="Q53" i="2"/>
  <c r="P53" i="2"/>
  <c r="O53" i="2"/>
  <c r="N53" i="2"/>
  <c r="M53" i="2"/>
  <c r="L53" i="2"/>
  <c r="K53" i="2"/>
  <c r="J53" i="2"/>
  <c r="I53" i="2"/>
  <c r="H53" i="2"/>
  <c r="G53" i="2"/>
  <c r="F53" i="2"/>
  <c r="E53" i="2"/>
  <c r="D53" i="2"/>
  <c r="C53" i="2"/>
  <c r="P52" i="2"/>
  <c r="O52" i="2"/>
  <c r="N52" i="2"/>
  <c r="M52" i="2"/>
  <c r="L52" i="2"/>
  <c r="K52" i="2"/>
  <c r="J52" i="2"/>
  <c r="I52" i="2"/>
  <c r="Q48" i="2"/>
  <c r="P48" i="2"/>
  <c r="O48" i="2"/>
  <c r="N48" i="2"/>
  <c r="M48" i="2"/>
  <c r="L48" i="2"/>
  <c r="K48" i="2"/>
  <c r="J48" i="2"/>
  <c r="I48" i="2"/>
  <c r="H48" i="2"/>
  <c r="G48" i="2"/>
  <c r="F48" i="2"/>
  <c r="E48" i="2"/>
  <c r="D48" i="2"/>
  <c r="C48" i="2"/>
  <c r="Q47" i="2"/>
  <c r="P47" i="2"/>
  <c r="O47" i="2"/>
  <c r="N47" i="2"/>
  <c r="M47" i="2"/>
  <c r="L47" i="2"/>
  <c r="K47" i="2"/>
  <c r="J47" i="2"/>
  <c r="I47" i="2"/>
  <c r="H47" i="2"/>
  <c r="G47" i="2"/>
  <c r="F47" i="2"/>
  <c r="E47" i="2"/>
  <c r="D47" i="2"/>
  <c r="C47" i="2"/>
  <c r="Q46" i="2"/>
  <c r="P46" i="2"/>
  <c r="O46" i="2"/>
  <c r="N46" i="2"/>
  <c r="M46" i="2"/>
  <c r="L46" i="2"/>
  <c r="K46" i="2"/>
  <c r="J46" i="2"/>
  <c r="I46" i="2"/>
  <c r="H46" i="2"/>
  <c r="G46" i="2"/>
  <c r="F46" i="2"/>
  <c r="E46" i="2"/>
  <c r="D46" i="2"/>
  <c r="C46" i="2"/>
  <c r="Q45" i="2"/>
  <c r="P45" i="2"/>
  <c r="O45" i="2"/>
  <c r="N45" i="2"/>
  <c r="M45" i="2"/>
  <c r="L45" i="2"/>
  <c r="K45" i="2"/>
  <c r="J45" i="2"/>
  <c r="I45" i="2"/>
  <c r="H45" i="2"/>
  <c r="G45" i="2"/>
  <c r="F45" i="2"/>
  <c r="E45" i="2"/>
  <c r="D45" i="2"/>
  <c r="C45" i="2"/>
  <c r="P44" i="2"/>
  <c r="O44" i="2"/>
  <c r="N44" i="2"/>
  <c r="M44" i="2"/>
  <c r="L44" i="2"/>
  <c r="K44" i="2"/>
  <c r="J44" i="2"/>
  <c r="I44" i="2"/>
  <c r="D40" i="2"/>
  <c r="C40" i="2"/>
  <c r="D39" i="2"/>
  <c r="C39" i="2"/>
  <c r="D38" i="2"/>
  <c r="C38" i="2"/>
  <c r="D37" i="2"/>
  <c r="C37" i="2"/>
  <c r="D36" i="2"/>
  <c r="C36" i="2"/>
  <c r="Q35" i="2"/>
  <c r="P35" i="2"/>
  <c r="O35" i="2"/>
  <c r="N35" i="2"/>
  <c r="M35" i="2"/>
  <c r="L35" i="2"/>
  <c r="K35" i="2"/>
  <c r="J35" i="2"/>
  <c r="I35" i="2"/>
  <c r="H35" i="2"/>
  <c r="G35" i="2"/>
  <c r="F35" i="2"/>
  <c r="E35" i="2"/>
  <c r="D35" i="2"/>
  <c r="C35" i="2"/>
  <c r="D33" i="2"/>
  <c r="C33" i="2"/>
  <c r="D32" i="2"/>
  <c r="C32" i="2"/>
  <c r="D31" i="2"/>
  <c r="C31" i="2"/>
  <c r="D30" i="2"/>
  <c r="C30" i="2"/>
  <c r="Q29" i="2"/>
  <c r="P29" i="2"/>
  <c r="O29" i="2"/>
  <c r="N29" i="2"/>
  <c r="M29" i="2"/>
  <c r="L29" i="2"/>
  <c r="K29" i="2"/>
  <c r="J29" i="2"/>
  <c r="I29" i="2"/>
  <c r="H29" i="2"/>
  <c r="G29" i="2"/>
  <c r="F29" i="2"/>
  <c r="E29" i="2"/>
  <c r="D29" i="2"/>
  <c r="C29" i="2"/>
  <c r="D27" i="2"/>
  <c r="C27" i="2"/>
  <c r="D26" i="2"/>
  <c r="C26" i="2"/>
  <c r="D25" i="2"/>
  <c r="C25" i="2"/>
  <c r="Q24" i="2"/>
  <c r="P24" i="2"/>
  <c r="O24" i="2"/>
  <c r="N24" i="2"/>
  <c r="M24" i="2"/>
  <c r="L24" i="2"/>
  <c r="K24" i="2"/>
  <c r="J24" i="2"/>
  <c r="I24" i="2"/>
  <c r="H24" i="2"/>
  <c r="G24" i="2"/>
  <c r="F24" i="2"/>
  <c r="E24" i="2"/>
  <c r="D24" i="2"/>
  <c r="C24" i="2"/>
  <c r="D22" i="2"/>
  <c r="C22" i="2"/>
  <c r="D21" i="2"/>
  <c r="C21" i="2"/>
  <c r="D20" i="2"/>
  <c r="C20" i="2"/>
  <c r="D19" i="2"/>
  <c r="C19" i="2"/>
  <c r="Q18" i="2"/>
  <c r="P18" i="2"/>
  <c r="O18" i="2"/>
  <c r="N18" i="2"/>
  <c r="M18" i="2"/>
  <c r="L18" i="2"/>
  <c r="K18" i="2"/>
  <c r="J18" i="2"/>
  <c r="I18" i="2"/>
  <c r="H18" i="2"/>
  <c r="G18" i="2"/>
  <c r="F18" i="2"/>
  <c r="E18" i="2"/>
  <c r="D18" i="2"/>
  <c r="C18" i="2"/>
  <c r="D16" i="2"/>
  <c r="C16" i="2"/>
  <c r="D15" i="2"/>
  <c r="C15" i="2"/>
  <c r="Q14" i="2"/>
  <c r="P14" i="2"/>
  <c r="O14" i="2"/>
  <c r="N14" i="2"/>
  <c r="M14" i="2"/>
  <c r="L14" i="2"/>
  <c r="K14" i="2"/>
  <c r="J14" i="2"/>
  <c r="I14" i="2"/>
  <c r="H14" i="2"/>
  <c r="G14" i="2"/>
  <c r="F14" i="2"/>
  <c r="E14" i="2"/>
  <c r="D14" i="2"/>
  <c r="C14" i="2"/>
  <c r="P13" i="2"/>
  <c r="O13" i="2"/>
  <c r="N13" i="2"/>
  <c r="M13" i="2"/>
  <c r="L13" i="2"/>
  <c r="K13" i="2"/>
  <c r="J13" i="2"/>
  <c r="I13" i="2"/>
  <c r="H11" i="2"/>
  <c r="D4" i="2"/>
  <c r="D3" i="2"/>
  <c r="F12" i="1"/>
</calcChain>
</file>

<file path=xl/sharedStrings.xml><?xml version="1.0" encoding="utf-8"?>
<sst xmlns="http://schemas.openxmlformats.org/spreadsheetml/2006/main" count="303" uniqueCount="126">
  <si>
    <t>Select Province:
Choissisez votre province:</t>
  </si>
  <si>
    <t>YT</t>
  </si>
  <si>
    <t>Current Labor Rates</t>
  </si>
  <si>
    <t>Taux de main d'oeuvre en cours</t>
  </si>
  <si>
    <t>AB</t>
  </si>
  <si>
    <t>BC</t>
  </si>
  <si>
    <t>MB</t>
  </si>
  <si>
    <t>NB</t>
  </si>
  <si>
    <t>NL</t>
  </si>
  <si>
    <t>NS</t>
  </si>
  <si>
    <t>ON</t>
  </si>
  <si>
    <t>PEI</t>
  </si>
  <si>
    <t>QC</t>
  </si>
  <si>
    <t>SK</t>
  </si>
  <si>
    <t>All published prices, trim specifications, and availability are subject to change without prior notice.</t>
  </si>
  <si>
    <t>Tout prix, spécifications de versions et disponibilté d'accessoires publiés sont sujets à changer sans pré-avis.</t>
  </si>
  <si>
    <t>Honda Internal</t>
  </si>
  <si>
    <t>Honda Accessories</t>
  </si>
  <si>
    <t>Model Name</t>
  </si>
  <si>
    <t>Model Year</t>
  </si>
  <si>
    <r>
      <rPr>
        <b/>
        <sz val="9"/>
        <color rgb="FFC8102E"/>
        <rFont val="Calibri"/>
        <family val="2"/>
        <scheme val="minor"/>
      </rPr>
      <t>S</t>
    </r>
    <r>
      <rPr>
        <sz val="9"/>
        <rFont val="Calibri"/>
        <family val="2"/>
        <scheme val="minor"/>
      </rPr>
      <t xml:space="preserve"> = Standard (accessory comes standard on this trim)</t>
    </r>
  </si>
  <si>
    <r>
      <rPr>
        <b/>
        <sz val="9"/>
        <color rgb="FFC8102E"/>
        <rFont val="Calibri"/>
        <family val="2"/>
        <scheme val="minor"/>
      </rPr>
      <t>T</t>
    </r>
    <r>
      <rPr>
        <sz val="9"/>
        <rFont val="Calibri"/>
        <family val="2"/>
        <scheme val="minor"/>
      </rPr>
      <t xml:space="preserve"> = Tire Size Change (the size of the accessory wheel is smaller/larger than the OE Wheel.  Customer will require new tires to fit these wheels.)</t>
    </r>
  </si>
  <si>
    <r>
      <rPr>
        <b/>
        <sz val="9"/>
        <color rgb="FFC8102E"/>
        <rFont val="Calibri"/>
        <family val="2"/>
        <scheme val="minor"/>
      </rPr>
      <t>E</t>
    </r>
    <r>
      <rPr>
        <b/>
        <sz val="9"/>
        <rFont val="Calibri"/>
        <family val="2"/>
        <scheme val="minor"/>
      </rPr>
      <t xml:space="preserve"> </t>
    </r>
    <r>
      <rPr>
        <sz val="9"/>
        <rFont val="Calibri"/>
        <family val="2"/>
        <scheme val="minor"/>
      </rPr>
      <t>= Exchange Standard Equipment (the size of the accessory wheel is the same size as the OE wheel and therefore they can use the OE tire.)</t>
    </r>
  </si>
  <si>
    <r>
      <rPr>
        <b/>
        <sz val="9"/>
        <color rgb="FFC8102E"/>
        <rFont val="Calibri"/>
        <family val="2"/>
        <scheme val="minor"/>
      </rPr>
      <t>N/A</t>
    </r>
    <r>
      <rPr>
        <sz val="9"/>
        <rFont val="Calibri"/>
        <family val="2"/>
        <scheme val="minor"/>
      </rPr>
      <t xml:space="preserve"> = Not Applicable (accessory cannot be applied to this trim)</t>
    </r>
  </si>
  <si>
    <t>Province</t>
  </si>
  <si>
    <t>1.0 Packages and Kits</t>
  </si>
  <si>
    <t>Description</t>
  </si>
  <si>
    <t>Part Number</t>
  </si>
  <si>
    <t>Dealer Net</t>
  </si>
  <si>
    <t>List Price</t>
  </si>
  <si>
    <t>FRT</t>
  </si>
  <si>
    <t>Installed Price</t>
  </si>
  <si>
    <t>Application</t>
  </si>
  <si>
    <t>Comments</t>
  </si>
  <si>
    <t>24PRO-PRO1</t>
  </si>
  <si>
    <t>08P17-PS2-110</t>
  </si>
  <si>
    <t>08U45-PS2-100</t>
  </si>
  <si>
    <t>24PRO-PROA</t>
  </si>
  <si>
    <t>08Z07-PS2-310</t>
  </si>
  <si>
    <t>08P30-PS2-100</t>
  </si>
  <si>
    <t>24PRO-EMB1</t>
  </si>
  <si>
    <t>08F20-PS2-100</t>
  </si>
  <si>
    <t>08F20-PS2-100C</t>
  </si>
  <si>
    <t>08F20-PS2-100D</t>
  </si>
  <si>
    <t>24PRO-EMB2</t>
  </si>
  <si>
    <t>08F20-PS2-100A</t>
  </si>
  <si>
    <t>24PRO-TOWSA1 or 24PRO-TOWSA2</t>
  </si>
  <si>
    <t>08F24-PS2-310A</t>
  </si>
  <si>
    <t>08L92-PS2-100A</t>
  </si>
  <si>
    <t>08L92-SJC-300A</t>
  </si>
  <si>
    <t>08L92-S9V-300G or 
08L92-S9V-300H</t>
  </si>
  <si>
    <t>2.0 Wheels and Wheel Accessories</t>
  </si>
  <si>
    <t>08W19-PS2-100</t>
  </si>
  <si>
    <t>3.0 Exterior</t>
  </si>
  <si>
    <t>08F21-PS2-100</t>
  </si>
  <si>
    <t>08F23-PS2-110A</t>
  </si>
  <si>
    <t>08F57-PS2-100A</t>
  </si>
  <si>
    <t>08F57-PS2-110</t>
  </si>
  <si>
    <t>08F24-PS2-110</t>
  </si>
  <si>
    <t>08P21-PS2-100</t>
  </si>
  <si>
    <t>08R04-PS2-100</t>
  </si>
  <si>
    <t>PROEMBLEM</t>
  </si>
  <si>
    <t>08P20-PS2-100</t>
  </si>
  <si>
    <t>08P48-PS2-100</t>
  </si>
  <si>
    <t>08P48-PS2-100A</t>
  </si>
  <si>
    <t>08L92-S9V-300G</t>
  </si>
  <si>
    <t>08L92-S9V-300H</t>
  </si>
  <si>
    <t>08L04-PS2-300</t>
  </si>
  <si>
    <t>08LXX-E09-XXXX</t>
  </si>
  <si>
    <t>08L03-E09-300C</t>
  </si>
  <si>
    <t>08L07-E09-101</t>
  </si>
  <si>
    <t>08L07-E09-300A</t>
  </si>
  <si>
    <t>08L20-E09-300B</t>
  </si>
  <si>
    <t>08L20-E09-300A</t>
  </si>
  <si>
    <t>08L20-E09-101C</t>
  </si>
  <si>
    <t>08Z04-SCV-110B</t>
  </si>
  <si>
    <t>08P20-PS2-XXXX</t>
  </si>
  <si>
    <t>08P20-PS2-120A</t>
  </si>
  <si>
    <t>08P20-PS2-130A</t>
  </si>
  <si>
    <t>08P20-PS2-140A</t>
  </si>
  <si>
    <t>08P20-PS2-150A</t>
  </si>
  <si>
    <t>08P20-PS2-110A</t>
  </si>
  <si>
    <t>08P20-PS2-160A</t>
  </si>
  <si>
    <t>08P00-PS2-100</t>
  </si>
  <si>
    <t>4.0 Interior</t>
  </si>
  <si>
    <t>08P04-PS2-100</t>
  </si>
  <si>
    <t>08R13-PS2-100</t>
  </si>
  <si>
    <t>08U25-S5D-116</t>
  </si>
  <si>
    <t>5.0 Electrical</t>
  </si>
  <si>
    <t>08E70-PT9-300CP</t>
  </si>
  <si>
    <t>6.0 Paint Pens</t>
  </si>
  <si>
    <t>TUCH-140X-A1</t>
  </si>
  <si>
    <t>TUCH-130H-A1</t>
  </si>
  <si>
    <t>TUCH-170H-A1</t>
  </si>
  <si>
    <t>TUCH-121J-A1</t>
  </si>
  <si>
    <t>TUCH-8555-A1</t>
  </si>
  <si>
    <t>TUCH-138P-A1</t>
  </si>
  <si>
    <t>TUCH-NEEDLES</t>
  </si>
  <si>
    <t>TUCH-STICKS</t>
  </si>
  <si>
    <t>TUCH-TIPS</t>
  </si>
  <si>
    <t xml:space="preserve">Publication Date: </t>
  </si>
  <si>
    <t>Red Pricing = Promotional Pricing - offered for a limited time only and on a first come, first serve basis.</t>
  </si>
  <si>
    <t>Accessoires Honda</t>
  </si>
  <si>
    <t>Nom du modèle</t>
  </si>
  <si>
    <t xml:space="preserve">Année modèle </t>
  </si>
  <si>
    <r>
      <rPr>
        <b/>
        <sz val="9"/>
        <color rgb="FFC8102E"/>
        <rFont val="Calibri"/>
        <family val="2"/>
        <scheme val="minor"/>
      </rPr>
      <t>S</t>
    </r>
    <r>
      <rPr>
        <sz val="9"/>
        <rFont val="Calibri"/>
        <family val="2"/>
        <scheme val="minor"/>
      </rPr>
      <t xml:space="preserve"> = De série (accessoire de série sur cette version).</t>
    </r>
  </si>
  <si>
    <r>
      <rPr>
        <b/>
        <sz val="9"/>
        <color rgb="FFC8102E"/>
        <rFont val="Calibri"/>
        <family val="2"/>
        <scheme val="minor"/>
      </rPr>
      <t>T</t>
    </r>
    <r>
      <rPr>
        <sz val="9"/>
        <rFont val="Calibri"/>
        <family val="2"/>
        <scheme val="minor"/>
      </rPr>
      <t xml:space="preserve"> = Taille des pneus (la taille de la jante accessoire diffère de la jante d’origine.  Le client aura besoin de nouveaux pneus pour ces jantes).</t>
    </r>
  </si>
  <si>
    <r>
      <rPr>
        <b/>
        <sz val="9"/>
        <color rgb="FFC8102E"/>
        <rFont val="Calibri"/>
        <family val="2"/>
        <scheme val="minor"/>
      </rPr>
      <t>E</t>
    </r>
    <r>
      <rPr>
        <sz val="9"/>
        <rFont val="Calibri"/>
        <family val="2"/>
        <scheme val="minor"/>
      </rPr>
      <t xml:space="preserve"> = Échange d’équipement de série (la taille de la jante accessoire est la même que celle de la jante d’origine.  Le client peut utiliser les pneus d’origine).</t>
    </r>
  </si>
  <si>
    <r>
      <rPr>
        <b/>
        <sz val="9"/>
        <color rgb="FFC8102E"/>
        <rFont val="Calibri"/>
        <family val="2"/>
        <scheme val="minor"/>
      </rPr>
      <t>N/A</t>
    </r>
    <r>
      <rPr>
        <sz val="9"/>
        <rFont val="Calibri"/>
        <family val="2"/>
        <scheme val="minor"/>
      </rPr>
      <t xml:space="preserve"> = Sans objet (l’accessoire ne peut être utilisé pour cette version).</t>
    </r>
  </si>
  <si>
    <t>1.0 Groupes et ensembles</t>
  </si>
  <si>
    <t>La description</t>
  </si>
  <si>
    <t>Numéro de pièce</t>
  </si>
  <si>
    <t>Prix net</t>
  </si>
  <si>
    <t>Prix de liste</t>
  </si>
  <si>
    <t>T.F.F.</t>
  </si>
  <si>
    <t>Prix installé</t>
  </si>
  <si>
    <t xml:space="preserve">Commentaires   </t>
  </si>
  <si>
    <t>24PRO-TOWSA1 ou 24PRO-TOWSA2</t>
  </si>
  <si>
    <t>08L92-S9V-300G ou 
08L92-S9V-300H</t>
  </si>
  <si>
    <t>2.0 Jantes et accessoires de jantes</t>
  </si>
  <si>
    <t>3.0 Extérieur</t>
  </si>
  <si>
    <t>4.0 Intérieur</t>
  </si>
  <si>
    <t>5.0 Électrique</t>
  </si>
  <si>
    <t>6.0 Crayon de retouche de peinture</t>
  </si>
  <si>
    <t xml:space="preserve">Date de publication: </t>
  </si>
  <si>
    <t>*Prix en rouge = Prix promotionnels offerts pour une durée limitée seulement, selon le principe du premier arrivé, premier servi.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</si>
</sst>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_-[$$-409]* #,##0.00_ ;_-[$$-409]* \-#,##0.00\ ;_-[$$-409]* &quot;-&quot;??_ ;_-@_ "/>
    <numFmt numFmtId="165" formatCode="[$-409]d\-mmm\-yy;@"/>
    <numFmt numFmtId="166" formatCode="0.0"/>
    <numFmt numFmtId="167" formatCode="&quot;$&quot;#,##0.00"/>
    <numFmt numFmtId="168" formatCode="yyyy\-mm\-dd;@"/>
  </numFmts>
  <fonts count="3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name val="Arial"/>
      <family val="2"/>
    </font>
    <font>
      <sz val="18"/>
      <color theme="1"/>
      <name val="Calibri"/>
      <family val="2"/>
      <scheme val="minor"/>
    </font>
    <font>
      <b/>
      <sz val="18"/>
      <color rgb="FFC8102E"/>
      <name val="Calibri"/>
      <family val="2"/>
      <scheme val="minor"/>
    </font>
    <font>
      <sz val="10"/>
      <color rgb="FFFF0000"/>
      <name val="Arial"/>
      <family val="2"/>
    </font>
    <font>
      <i/>
      <sz val="10"/>
      <color rgb="FFC00000"/>
      <name val="Arial"/>
      <family val="2"/>
    </font>
    <font>
      <sz val="10"/>
      <name val="Calibri"/>
      <family val="2"/>
      <scheme val="minor"/>
    </font>
    <font>
      <sz val="10"/>
      <color theme="0"/>
      <name val="Arial"/>
      <family val="2"/>
    </font>
    <font>
      <i/>
      <sz val="10"/>
      <color theme="0" tint="-0.34998626667073579"/>
      <name val="Arial Narrow"/>
      <family val="2"/>
    </font>
    <font>
      <b/>
      <sz val="24"/>
      <color theme="0"/>
      <name val="Calibri"/>
      <family val="2"/>
      <scheme val="minor"/>
    </font>
    <font>
      <b/>
      <sz val="11"/>
      <color theme="6" tint="0.79998168889431442"/>
      <name val="Calibri"/>
      <family val="2"/>
      <scheme val="minor"/>
    </font>
    <font>
      <b/>
      <sz val="14"/>
      <color rgb="FFFF0000"/>
      <name val="Calibri"/>
      <family val="2"/>
      <scheme val="minor"/>
    </font>
    <font>
      <sz val="11"/>
      <name val="Calibri"/>
      <family val="2"/>
      <scheme val="minor"/>
    </font>
    <font>
      <sz val="11"/>
      <color theme="6" tint="-0.499984740745262"/>
      <name val="Calibri"/>
      <family val="2"/>
      <scheme val="minor"/>
    </font>
    <font>
      <b/>
      <sz val="11"/>
      <color theme="6" tint="-0.499984740745262"/>
      <name val="Calibri"/>
      <family val="2"/>
      <scheme val="minor"/>
    </font>
    <font>
      <b/>
      <sz val="20"/>
      <name val="Calibri"/>
      <family val="2"/>
      <scheme val="minor"/>
    </font>
    <font>
      <sz val="9"/>
      <name val="Calibri"/>
      <family val="2"/>
      <scheme val="minor"/>
    </font>
    <font>
      <b/>
      <sz val="9"/>
      <color rgb="FFC8102E"/>
      <name val="Calibri"/>
      <family val="2"/>
      <scheme val="minor"/>
    </font>
    <font>
      <b/>
      <sz val="9"/>
      <name val="Calibri"/>
      <family val="2"/>
      <scheme val="minor"/>
    </font>
    <font>
      <b/>
      <sz val="14"/>
      <color theme="0"/>
      <name val="Calibri"/>
      <family val="2"/>
      <scheme val="minor"/>
    </font>
    <font>
      <b/>
      <sz val="11"/>
      <name val="Calibri"/>
      <family val="2"/>
      <scheme val="minor"/>
    </font>
    <font>
      <i/>
      <sz val="11"/>
      <color theme="0" tint="-0.34998626667073579"/>
      <name val="Arial Narrow"/>
      <family val="2"/>
    </font>
    <font>
      <sz val="14"/>
      <color theme="1"/>
      <name val="Calibri"/>
      <family val="2"/>
      <scheme val="minor"/>
    </font>
    <font>
      <sz val="14"/>
      <name val="Calibri"/>
      <family val="2"/>
      <scheme val="minor"/>
    </font>
    <font>
      <i/>
      <sz val="14"/>
      <color theme="0" tint="-0.34998626667073579"/>
      <name val="Arial Narrow"/>
      <family val="2"/>
    </font>
    <font>
      <sz val="11"/>
      <color rgb="FFFFC000"/>
      <name val="Calibri"/>
      <family val="2"/>
      <scheme val="minor"/>
    </font>
    <font>
      <sz val="11"/>
      <color theme="0" tint="-0.34998626667073579"/>
      <name val="Arial Narrow"/>
      <family val="2"/>
    </font>
    <font>
      <i/>
      <sz val="11"/>
      <color theme="1"/>
      <name val="Calibri"/>
      <family val="2"/>
      <scheme val="minor"/>
    </font>
    <font>
      <sz val="10"/>
      <color theme="0" tint="-0.34998626667073579"/>
      <name val="Arial Narrow"/>
      <family val="2"/>
    </font>
    <font>
      <b/>
      <sz val="10"/>
      <name val="Calibri"/>
      <family val="2"/>
      <scheme val="minor"/>
    </font>
    <font>
      <b/>
      <sz val="12"/>
      <color rgb="FFFF000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rgb="FFC8102E"/>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E3173E"/>
        <bgColor indexed="64"/>
      </patternFill>
    </fill>
    <fill>
      <patternFill patternType="solid">
        <fgColor theme="6" tint="-0.24994659260841701"/>
        <bgColor indexed="64"/>
      </patternFill>
    </fill>
    <fill>
      <patternFill patternType="solid">
        <fgColor theme="6" tint="0.59996337778862885"/>
        <bgColor indexed="64"/>
      </patternFill>
    </fill>
    <fill>
      <patternFill patternType="solid">
        <fgColor theme="6" tint="0.79998168889431442"/>
        <bgColor indexed="64"/>
      </patternFill>
    </fill>
    <fill>
      <patternFill patternType="solid">
        <fgColor theme="6" tint="0.39994506668294322"/>
        <bgColor indexed="64"/>
      </patternFill>
    </fill>
    <fill>
      <patternFill patternType="solid">
        <fgColor rgb="FFD5D5D5"/>
        <bgColor indexed="64"/>
      </patternFill>
    </fill>
  </fills>
  <borders count="24">
    <border>
      <left/>
      <right/>
      <top/>
      <bottom/>
      <diagonal/>
    </border>
    <border>
      <left style="medium">
        <color indexed="64"/>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medium">
        <color indexed="64"/>
      </left>
      <right style="thin">
        <color theme="0"/>
      </right>
      <top style="medium">
        <color indexed="64"/>
      </top>
      <bottom style="thin">
        <color theme="0"/>
      </bottom>
      <diagonal/>
    </border>
    <border>
      <left style="medium">
        <color indexed="64"/>
      </left>
      <right style="medium">
        <color indexed="64"/>
      </right>
      <top style="medium">
        <color indexed="64"/>
      </top>
      <bottom style="thin">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style="medium">
        <color indexed="64"/>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thin">
        <color theme="0"/>
      </left>
      <right style="thin">
        <color theme="0"/>
      </right>
      <top/>
      <bottom style="thin">
        <color theme="0"/>
      </bottom>
      <diagonal/>
    </border>
    <border>
      <left/>
      <right style="thin">
        <color theme="0"/>
      </right>
      <top/>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style="thin">
        <color theme="0"/>
      </top>
      <bottom style="thin">
        <color theme="0"/>
      </bottom>
      <diagonal/>
    </border>
  </borders>
  <cellStyleXfs count="12">
    <xf numFmtId="0" fontId="0" fillId="0" borderId="0"/>
    <xf numFmtId="44" fontId="5" fillId="0" borderId="0" applyFont="0" applyFill="0" applyBorder="0" applyAlignment="0" applyProtection="0"/>
    <xf numFmtId="0" fontId="5" fillId="0" borderId="0"/>
    <xf numFmtId="0" fontId="5" fillId="0" borderId="0"/>
    <xf numFmtId="0" fontId="2" fillId="5" borderId="0" applyNumberFormat="0" applyBorder="0" applyAlignment="0" applyProtection="0"/>
    <xf numFmtId="0" fontId="14" fillId="9" borderId="4" applyBorder="0">
      <alignment horizontal="center" vertical="center"/>
    </xf>
    <xf numFmtId="0" fontId="1" fillId="0" borderId="0"/>
    <xf numFmtId="0" fontId="17" fillId="10" borderId="9">
      <alignment horizontal="left" vertical="center" indent="1"/>
    </xf>
    <xf numFmtId="0" fontId="18" fillId="11" borderId="7" applyNumberFormat="0">
      <alignment horizontal="center" vertical="center"/>
    </xf>
    <xf numFmtId="0" fontId="17" fillId="12" borderId="21">
      <alignment horizontal="center" vertical="center"/>
    </xf>
    <xf numFmtId="0" fontId="1" fillId="0" borderId="0"/>
    <xf numFmtId="0" fontId="1" fillId="0" borderId="0"/>
  </cellStyleXfs>
  <cellXfs count="176">
    <xf numFmtId="0" fontId="0" fillId="0" borderId="0" xfId="0"/>
    <xf numFmtId="0" fontId="6" fillId="2" borderId="1" xfId="2" applyFont="1" applyFill="1" applyBorder="1" applyAlignment="1">
      <alignment horizontal="center" vertical="center" wrapText="1"/>
    </xf>
    <xf numFmtId="0" fontId="7" fillId="3" borderId="2" xfId="2" applyFont="1" applyFill="1" applyBorder="1" applyAlignment="1" applyProtection="1">
      <alignment horizontal="center" vertical="center"/>
      <protection locked="0"/>
    </xf>
    <xf numFmtId="0" fontId="5" fillId="0" borderId="3" xfId="2" applyBorder="1" applyAlignment="1">
      <alignment vertical="center"/>
    </xf>
    <xf numFmtId="0" fontId="8" fillId="4" borderId="4" xfId="2" applyFont="1" applyFill="1" applyBorder="1" applyAlignment="1">
      <alignment vertical="center" wrapText="1"/>
    </xf>
    <xf numFmtId="0" fontId="8" fillId="4" borderId="5" xfId="2" applyFont="1" applyFill="1" applyBorder="1" applyAlignment="1">
      <alignment vertical="center" wrapText="1"/>
    </xf>
    <xf numFmtId="0" fontId="8" fillId="4" borderId="6" xfId="2" applyFont="1" applyFill="1" applyBorder="1" applyAlignment="1">
      <alignment vertical="center" wrapText="1"/>
    </xf>
    <xf numFmtId="0" fontId="5" fillId="0" borderId="7" xfId="2" applyBorder="1" applyAlignment="1">
      <alignment vertical="center"/>
    </xf>
    <xf numFmtId="0" fontId="5" fillId="0" borderId="8" xfId="2" applyBorder="1" applyAlignment="1">
      <alignment vertical="center"/>
    </xf>
    <xf numFmtId="0" fontId="5" fillId="0" borderId="9" xfId="2" applyBorder="1" applyAlignment="1">
      <alignment vertical="center"/>
    </xf>
    <xf numFmtId="0" fontId="5" fillId="0" borderId="0" xfId="2" applyAlignment="1">
      <alignment vertical="center"/>
    </xf>
    <xf numFmtId="0" fontId="5" fillId="0" borderId="6" xfId="2" applyBorder="1" applyAlignment="1">
      <alignment vertical="center"/>
    </xf>
    <xf numFmtId="0" fontId="9" fillId="0" borderId="7" xfId="2" applyFont="1" applyBorder="1" applyAlignment="1">
      <alignment vertical="center"/>
    </xf>
    <xf numFmtId="0" fontId="2" fillId="5" borderId="10" xfId="2" applyFont="1" applyFill="1" applyBorder="1" applyAlignment="1">
      <alignment horizontal="centerContinuous"/>
    </xf>
    <xf numFmtId="0" fontId="2" fillId="5" borderId="11" xfId="2" applyFont="1" applyFill="1" applyBorder="1" applyAlignment="1">
      <alignment horizontal="centerContinuous"/>
    </xf>
    <xf numFmtId="0" fontId="10" fillId="3" borderId="12" xfId="2" applyFont="1" applyFill="1" applyBorder="1" applyAlignment="1">
      <alignment horizontal="center"/>
    </xf>
    <xf numFmtId="164" fontId="10" fillId="6" borderId="13" xfId="2" applyNumberFormat="1" applyFont="1" applyFill="1" applyBorder="1"/>
    <xf numFmtId="0" fontId="5" fillId="7" borderId="14" xfId="2" applyFill="1" applyBorder="1" applyAlignment="1">
      <alignment horizontal="center" vertical="center"/>
    </xf>
    <xf numFmtId="0" fontId="10" fillId="3" borderId="15" xfId="2" applyFont="1" applyFill="1" applyBorder="1" applyAlignment="1">
      <alignment horizontal="center"/>
    </xf>
    <xf numFmtId="164" fontId="10" fillId="6" borderId="16" xfId="2" applyNumberFormat="1" applyFont="1" applyFill="1" applyBorder="1"/>
    <xf numFmtId="0" fontId="5" fillId="0" borderId="17" xfId="2" applyBorder="1" applyAlignment="1">
      <alignment vertical="center"/>
    </xf>
    <xf numFmtId="0" fontId="11" fillId="0" borderId="7" xfId="2" applyFont="1" applyBorder="1" applyAlignment="1">
      <alignment vertical="center"/>
    </xf>
    <xf numFmtId="0" fontId="12" fillId="0" borderId="0" xfId="3" applyFont="1" applyAlignment="1">
      <alignment vertical="center"/>
    </xf>
    <xf numFmtId="0" fontId="13" fillId="8" borderId="0" xfId="4" applyFont="1" applyFill="1" applyBorder="1" applyAlignment="1">
      <alignment vertical="center"/>
    </xf>
    <xf numFmtId="0" fontId="15" fillId="4" borderId="5" xfId="5" applyFont="1" applyFill="1" applyBorder="1" applyAlignment="1">
      <alignment vertical="center" wrapText="1"/>
    </xf>
    <xf numFmtId="0" fontId="15" fillId="4" borderId="6" xfId="5" applyFont="1" applyFill="1" applyBorder="1" applyAlignment="1">
      <alignment vertical="center" wrapText="1"/>
    </xf>
    <xf numFmtId="0" fontId="16" fillId="4" borderId="7" xfId="6" applyFont="1" applyFill="1" applyBorder="1" applyAlignment="1">
      <alignment vertical="center"/>
    </xf>
    <xf numFmtId="0" fontId="10" fillId="0" borderId="0" xfId="3" applyFont="1" applyAlignment="1">
      <alignment vertical="center"/>
    </xf>
    <xf numFmtId="0" fontId="16" fillId="2" borderId="7" xfId="7" applyFont="1" applyFill="1" applyBorder="1" applyAlignment="1">
      <alignment horizontal="left" vertical="center"/>
    </xf>
    <xf numFmtId="0" fontId="19" fillId="3" borderId="7" xfId="8" applyNumberFormat="1" applyFont="1" applyFill="1" applyAlignment="1">
      <alignment horizontal="left" vertical="center" wrapText="1"/>
    </xf>
    <xf numFmtId="0" fontId="15" fillId="4" borderId="0" xfId="5" applyFont="1" applyFill="1" applyBorder="1" applyAlignment="1">
      <alignment vertical="center" wrapText="1"/>
    </xf>
    <xf numFmtId="0" fontId="15" fillId="4" borderId="18" xfId="5" applyFont="1" applyFill="1" applyBorder="1" applyAlignment="1">
      <alignment vertical="center" wrapText="1"/>
    </xf>
    <xf numFmtId="0" fontId="19" fillId="3" borderId="7" xfId="8" applyNumberFormat="1" applyFont="1" applyFill="1" applyAlignment="1">
      <alignment horizontal="left" vertical="center"/>
    </xf>
    <xf numFmtId="0" fontId="15" fillId="4" borderId="19" xfId="5" applyFont="1" applyFill="1" applyBorder="1" applyAlignment="1">
      <alignment vertical="center" wrapText="1"/>
    </xf>
    <xf numFmtId="0" fontId="15" fillId="4" borderId="20" xfId="5" applyFont="1" applyFill="1" applyBorder="1" applyAlignment="1">
      <alignment vertical="center" wrapText="1"/>
    </xf>
    <xf numFmtId="0" fontId="20" fillId="4" borderId="17" xfId="7" applyFont="1" applyFill="1" applyBorder="1" applyAlignment="1">
      <alignment horizontal="left" vertical="center"/>
    </xf>
    <xf numFmtId="0" fontId="20" fillId="4" borderId="7" xfId="7" applyFont="1" applyFill="1" applyBorder="1" applyAlignment="1">
      <alignment horizontal="left" vertical="center"/>
    </xf>
    <xf numFmtId="0" fontId="20" fillId="4" borderId="7" xfId="6" applyFont="1" applyFill="1" applyBorder="1" applyAlignment="1">
      <alignment vertical="center"/>
    </xf>
    <xf numFmtId="0" fontId="20" fillId="4" borderId="7" xfId="7" applyFont="1" applyFill="1" applyBorder="1" applyAlignment="1">
      <alignment vertical="center"/>
    </xf>
    <xf numFmtId="0" fontId="20" fillId="4" borderId="21" xfId="7" applyFont="1" applyFill="1" applyBorder="1" applyAlignment="1">
      <alignment vertical="center"/>
    </xf>
    <xf numFmtId="0" fontId="20" fillId="4" borderId="0" xfId="7" applyFont="1" applyFill="1" applyBorder="1" applyAlignment="1">
      <alignment vertical="center"/>
    </xf>
    <xf numFmtId="0" fontId="20" fillId="4" borderId="0" xfId="7" applyFont="1" applyFill="1" applyBorder="1" applyAlignment="1">
      <alignment horizontal="left" vertical="center"/>
    </xf>
    <xf numFmtId="0" fontId="20" fillId="4" borderId="6" xfId="6" applyFont="1" applyFill="1" applyBorder="1" applyAlignment="1">
      <alignment vertical="center"/>
    </xf>
    <xf numFmtId="0" fontId="10" fillId="4" borderId="0" xfId="3" applyFont="1" applyFill="1" applyAlignment="1">
      <alignment vertical="center"/>
    </xf>
    <xf numFmtId="0" fontId="10" fillId="4" borderId="0" xfId="7" applyFont="1" applyFill="1" applyBorder="1" applyAlignment="1">
      <alignment horizontal="center" wrapText="1"/>
    </xf>
    <xf numFmtId="0" fontId="16" fillId="4" borderId="6" xfId="6" applyFont="1" applyFill="1" applyBorder="1" applyAlignment="1">
      <alignment vertical="center"/>
    </xf>
    <xf numFmtId="0" fontId="23" fillId="8" borderId="0" xfId="4" applyFont="1" applyFill="1" applyBorder="1" applyAlignment="1"/>
    <xf numFmtId="0" fontId="4" fillId="8" borderId="0" xfId="6" applyFont="1" applyFill="1" applyAlignment="1">
      <alignment vertical="center"/>
    </xf>
    <xf numFmtId="0" fontId="1" fillId="4" borderId="0" xfId="6" applyFill="1" applyAlignment="1">
      <alignment vertical="center"/>
    </xf>
    <xf numFmtId="0" fontId="1" fillId="4" borderId="0" xfId="6" applyFill="1" applyAlignment="1">
      <alignment horizontal="center" vertical="center"/>
    </xf>
    <xf numFmtId="0" fontId="24" fillId="4" borderId="19" xfId="8" applyNumberFormat="1" applyFont="1" applyFill="1" applyBorder="1">
      <alignment horizontal="center" vertical="center"/>
    </xf>
    <xf numFmtId="0" fontId="10" fillId="4" borderId="19" xfId="3" applyFont="1" applyFill="1" applyBorder="1" applyAlignment="1">
      <alignment vertical="center"/>
    </xf>
    <xf numFmtId="0" fontId="24" fillId="2" borderId="7" xfId="9" applyFont="1" applyFill="1" applyBorder="1" applyAlignment="1">
      <alignment horizontal="center" vertical="center" wrapText="1"/>
    </xf>
    <xf numFmtId="0" fontId="12" fillId="0" borderId="0" xfId="3" applyFont="1" applyAlignment="1">
      <alignment horizontal="left" vertical="center"/>
    </xf>
    <xf numFmtId="0" fontId="24" fillId="3" borderId="7" xfId="7" applyFont="1" applyFill="1" applyBorder="1" applyAlignment="1">
      <alignment horizontal="left" vertical="center"/>
    </xf>
    <xf numFmtId="165" fontId="24" fillId="6" borderId="7" xfId="8" applyNumberFormat="1" applyFont="1" applyFill="1" applyAlignment="1">
      <alignment horizontal="left" vertical="center" wrapText="1"/>
    </xf>
    <xf numFmtId="44" fontId="16" fillId="6" borderId="7" xfId="1" applyFont="1" applyFill="1" applyBorder="1" applyAlignment="1">
      <alignment horizontal="center" vertical="center"/>
    </xf>
    <xf numFmtId="166" fontId="16" fillId="6" borderId="7" xfId="8" applyNumberFormat="1" applyFont="1" applyFill="1">
      <alignment horizontal="center" vertical="center"/>
    </xf>
    <xf numFmtId="44" fontId="24" fillId="3" borderId="7" xfId="1" applyFont="1" applyFill="1" applyBorder="1" applyAlignment="1">
      <alignment horizontal="center" vertical="center"/>
    </xf>
    <xf numFmtId="0" fontId="10" fillId="6" borderId="7" xfId="8" applyNumberFormat="1" applyFont="1" applyFill="1">
      <alignment horizontal="center" vertical="center"/>
    </xf>
    <xf numFmtId="0" fontId="16" fillId="4" borderId="0" xfId="3" applyFont="1" applyFill="1" applyAlignment="1">
      <alignment vertical="center"/>
    </xf>
    <xf numFmtId="0" fontId="16" fillId="2" borderId="0" xfId="3" applyFont="1" applyFill="1" applyAlignment="1">
      <alignment vertical="center"/>
    </xf>
    <xf numFmtId="0" fontId="16" fillId="3" borderId="7" xfId="7" applyFont="1" applyFill="1" applyBorder="1">
      <alignment horizontal="left" vertical="center" indent="1"/>
    </xf>
    <xf numFmtId="1" fontId="16" fillId="6" borderId="7" xfId="8" applyNumberFormat="1" applyFont="1" applyFill="1" applyAlignment="1">
      <alignment horizontal="left" vertical="center" wrapText="1" indent="1"/>
    </xf>
    <xf numFmtId="1" fontId="16" fillId="6" borderId="7" xfId="8" applyNumberFormat="1" applyFont="1" applyFill="1" applyAlignment="1">
      <alignment horizontal="left" vertical="center" indent="1"/>
    </xf>
    <xf numFmtId="0" fontId="16" fillId="3" borderId="17" xfId="9" applyFont="1" applyFill="1" applyBorder="1" applyAlignment="1">
      <alignment horizontal="left" vertical="center" wrapText="1"/>
    </xf>
    <xf numFmtId="0" fontId="16" fillId="2" borderId="9" xfId="3" applyFont="1" applyFill="1" applyBorder="1" applyAlignment="1">
      <alignment vertical="center"/>
    </xf>
    <xf numFmtId="0" fontId="16" fillId="2" borderId="23" xfId="3" applyFont="1" applyFill="1" applyBorder="1" applyAlignment="1">
      <alignment vertical="center"/>
    </xf>
    <xf numFmtId="0" fontId="16" fillId="2" borderId="3" xfId="3" applyFont="1" applyFill="1" applyBorder="1" applyAlignment="1">
      <alignment horizontal="left" vertical="center"/>
    </xf>
    <xf numFmtId="44" fontId="24" fillId="3" borderId="21" xfId="1" applyFont="1" applyFill="1" applyBorder="1" applyAlignment="1">
      <alignment horizontal="center" vertical="center"/>
    </xf>
    <xf numFmtId="0" fontId="16" fillId="3" borderId="7" xfId="7" applyFont="1" applyFill="1" applyBorder="1" applyAlignment="1">
      <alignment horizontal="left" vertical="center" wrapText="1" indent="1"/>
    </xf>
    <xf numFmtId="0" fontId="25" fillId="0" borderId="0" xfId="3" applyFont="1" applyAlignment="1">
      <alignment vertical="center"/>
    </xf>
    <xf numFmtId="0" fontId="1" fillId="4" borderId="0" xfId="6" applyFill="1" applyAlignment="1">
      <alignment horizontal="left" vertical="center"/>
    </xf>
    <xf numFmtId="0" fontId="16" fillId="0" borderId="0" xfId="3" applyFont="1" applyAlignment="1">
      <alignment vertical="center"/>
    </xf>
    <xf numFmtId="0" fontId="26" fillId="4" borderId="0" xfId="10" applyFont="1" applyFill="1" applyAlignment="1">
      <alignment horizontal="left" vertical="center"/>
    </xf>
    <xf numFmtId="0" fontId="27" fillId="0" borderId="0" xfId="3" applyFont="1" applyAlignment="1">
      <alignment horizontal="left" vertical="center"/>
    </xf>
    <xf numFmtId="0" fontId="25" fillId="2" borderId="0" xfId="3" applyFont="1" applyFill="1" applyAlignment="1">
      <alignment vertical="center"/>
    </xf>
    <xf numFmtId="0" fontId="16" fillId="3" borderId="17" xfId="7" applyFont="1" applyFill="1" applyBorder="1" applyAlignment="1">
      <alignment horizontal="left" vertical="center"/>
    </xf>
    <xf numFmtId="165" fontId="24" fillId="6" borderId="17" xfId="8" applyNumberFormat="1" applyFont="1" applyFill="1" applyBorder="1" applyAlignment="1">
      <alignment horizontal="left" vertical="center"/>
    </xf>
    <xf numFmtId="0" fontId="16" fillId="3" borderId="7" xfId="9" applyFont="1" applyFill="1" applyBorder="1" applyAlignment="1">
      <alignment horizontal="left" vertical="center" wrapText="1"/>
    </xf>
    <xf numFmtId="49" fontId="24" fillId="6" borderId="17" xfId="8" applyNumberFormat="1" applyFont="1" applyFill="1" applyBorder="1" applyAlignment="1">
      <alignment horizontal="left" vertical="center"/>
    </xf>
    <xf numFmtId="0" fontId="16" fillId="4" borderId="17" xfId="7" applyFont="1" applyFill="1" applyBorder="1" applyAlignment="1">
      <alignment horizontal="left" vertical="center"/>
    </xf>
    <xf numFmtId="165" fontId="24" fillId="4" borderId="8" xfId="8" applyNumberFormat="1" applyFont="1" applyFill="1" applyBorder="1" applyAlignment="1">
      <alignment horizontal="left" vertical="center"/>
    </xf>
    <xf numFmtId="167" fontId="16" fillId="4" borderId="0" xfId="8" applyNumberFormat="1" applyFont="1" applyFill="1" applyBorder="1">
      <alignment horizontal="center" vertical="center"/>
    </xf>
    <xf numFmtId="0" fontId="16" fillId="4" borderId="0" xfId="8" applyNumberFormat="1" applyFont="1" applyFill="1" applyBorder="1">
      <alignment horizontal="center" vertical="center"/>
    </xf>
    <xf numFmtId="167" fontId="16" fillId="4" borderId="0" xfId="9" applyNumberFormat="1" applyFont="1" applyFill="1" applyBorder="1">
      <alignment horizontal="center" vertical="center"/>
    </xf>
    <xf numFmtId="0" fontId="24" fillId="4" borderId="0" xfId="8" applyNumberFormat="1" applyFont="1" applyFill="1" applyBorder="1">
      <alignment horizontal="center" vertical="center"/>
    </xf>
    <xf numFmtId="0" fontId="16" fillId="4" borderId="0" xfId="9" applyFont="1" applyFill="1" applyBorder="1" applyAlignment="1">
      <alignment horizontal="left" vertical="center" wrapText="1"/>
    </xf>
    <xf numFmtId="0" fontId="28" fillId="0" borderId="0" xfId="3" applyFont="1" applyAlignment="1">
      <alignment horizontal="left" vertical="center"/>
    </xf>
    <xf numFmtId="0" fontId="24" fillId="3" borderId="17" xfId="7" applyFont="1" applyFill="1" applyBorder="1" applyAlignment="1">
      <alignment horizontal="left" vertical="center"/>
    </xf>
    <xf numFmtId="0" fontId="24" fillId="3" borderId="23" xfId="7" applyFont="1" applyFill="1" applyBorder="1" applyAlignment="1">
      <alignment vertical="center"/>
    </xf>
    <xf numFmtId="0" fontId="24" fillId="3" borderId="23" xfId="7" applyFont="1" applyFill="1" applyBorder="1" applyAlignment="1">
      <alignment horizontal="center" vertical="center"/>
    </xf>
    <xf numFmtId="0" fontId="16" fillId="3" borderId="17" xfId="7" applyFont="1" applyFill="1" applyBorder="1" applyAlignment="1">
      <alignment horizontal="left" vertical="center" wrapText="1" indent="2"/>
    </xf>
    <xf numFmtId="0" fontId="16" fillId="3" borderId="17" xfId="7" applyFont="1" applyFill="1" applyBorder="1" applyAlignment="1">
      <alignment horizontal="left" vertical="center" indent="2"/>
    </xf>
    <xf numFmtId="44" fontId="16" fillId="7" borderId="7" xfId="1" applyFont="1" applyFill="1" applyBorder="1" applyAlignment="1">
      <alignment horizontal="center" vertical="center"/>
    </xf>
    <xf numFmtId="44" fontId="24" fillId="13" borderId="7" xfId="1" applyFont="1" applyFill="1" applyBorder="1" applyAlignment="1">
      <alignment horizontal="center" vertical="center"/>
    </xf>
    <xf numFmtId="0" fontId="16" fillId="3" borderId="17" xfId="7" applyFont="1" applyFill="1" applyBorder="1">
      <alignment horizontal="left" vertical="center" indent="1"/>
    </xf>
    <xf numFmtId="0" fontId="1" fillId="4" borderId="21" xfId="6" applyFill="1" applyBorder="1" applyAlignment="1">
      <alignment vertical="center"/>
    </xf>
    <xf numFmtId="0" fontId="1" fillId="4" borderId="22" xfId="6" applyFill="1" applyBorder="1" applyAlignment="1">
      <alignment vertical="center"/>
    </xf>
    <xf numFmtId="0" fontId="29" fillId="4" borderId="22" xfId="6" applyFont="1" applyFill="1" applyBorder="1" applyAlignment="1">
      <alignment horizontal="center" vertical="center"/>
    </xf>
    <xf numFmtId="0" fontId="1" fillId="4" borderId="22" xfId="6" applyFill="1" applyBorder="1" applyAlignment="1">
      <alignment horizontal="left" vertical="center"/>
    </xf>
    <xf numFmtId="0" fontId="26" fillId="4" borderId="7" xfId="10" applyFont="1" applyFill="1" applyBorder="1" applyAlignment="1">
      <alignment horizontal="left" vertical="center"/>
    </xf>
    <xf numFmtId="0" fontId="16" fillId="0" borderId="17" xfId="7" applyFont="1" applyFill="1" applyBorder="1" applyAlignment="1">
      <alignment horizontal="left" vertical="center"/>
    </xf>
    <xf numFmtId="165" fontId="24" fillId="0" borderId="17" xfId="8" applyNumberFormat="1" applyFont="1" applyFill="1" applyBorder="1" applyAlignment="1">
      <alignment horizontal="left" vertical="center"/>
    </xf>
    <xf numFmtId="167" fontId="16" fillId="0" borderId="17" xfId="8" applyNumberFormat="1" applyFont="1" applyFill="1" applyBorder="1">
      <alignment horizontal="center" vertical="center"/>
    </xf>
    <xf numFmtId="0" fontId="16" fillId="0" borderId="17" xfId="8" applyNumberFormat="1" applyFont="1" applyFill="1" applyBorder="1">
      <alignment horizontal="center" vertical="center"/>
    </xf>
    <xf numFmtId="167" fontId="16" fillId="0" borderId="17" xfId="9" applyNumberFormat="1" applyFont="1" applyFill="1" applyBorder="1">
      <alignment horizontal="center" vertical="center"/>
    </xf>
    <xf numFmtId="0" fontId="24" fillId="0" borderId="17" xfId="8" applyNumberFormat="1" applyFont="1" applyFill="1" applyBorder="1">
      <alignment horizontal="center" vertical="center"/>
    </xf>
    <xf numFmtId="0" fontId="16" fillId="0" borderId="17" xfId="9" applyFont="1" applyFill="1" applyBorder="1" applyAlignment="1">
      <alignment horizontal="left" vertical="center" wrapText="1"/>
    </xf>
    <xf numFmtId="0" fontId="26" fillId="4" borderId="6" xfId="10" applyFont="1" applyFill="1" applyBorder="1" applyAlignment="1">
      <alignment horizontal="left" vertical="center"/>
    </xf>
    <xf numFmtId="0" fontId="26" fillId="4" borderId="21" xfId="10" applyFont="1" applyFill="1" applyBorder="1" applyAlignment="1">
      <alignment horizontal="left" vertical="center"/>
    </xf>
    <xf numFmtId="1" fontId="24" fillId="6" borderId="17" xfId="8" applyNumberFormat="1" applyFont="1" applyFill="1" applyBorder="1" applyAlignment="1">
      <alignment horizontal="left" vertical="center"/>
    </xf>
    <xf numFmtId="0" fontId="1" fillId="4" borderId="17" xfId="6" applyFill="1" applyBorder="1" applyAlignment="1">
      <alignment vertical="center"/>
    </xf>
    <xf numFmtId="0" fontId="1" fillId="4" borderId="8" xfId="6" applyFill="1" applyBorder="1" applyAlignment="1">
      <alignment vertical="center"/>
    </xf>
    <xf numFmtId="0" fontId="29" fillId="4" borderId="0" xfId="6" applyFont="1" applyFill="1" applyAlignment="1">
      <alignment horizontal="center" vertical="center"/>
    </xf>
    <xf numFmtId="0" fontId="16" fillId="3" borderId="3" xfId="9" applyFont="1" applyFill="1" applyBorder="1" applyAlignment="1">
      <alignment horizontal="left" vertical="center" wrapText="1"/>
    </xf>
    <xf numFmtId="1" fontId="24" fillId="4" borderId="17" xfId="8" applyNumberFormat="1" applyFont="1" applyFill="1" applyBorder="1" applyAlignment="1">
      <alignment horizontal="left" vertical="center"/>
    </xf>
    <xf numFmtId="167" fontId="24" fillId="4" borderId="17" xfId="8" applyNumberFormat="1" applyFont="1" applyFill="1" applyBorder="1">
      <alignment horizontal="center" vertical="center"/>
    </xf>
    <xf numFmtId="0" fontId="24" fillId="4" borderId="17" xfId="8" applyNumberFormat="1" applyFont="1" applyFill="1" applyBorder="1">
      <alignment horizontal="center" vertical="center"/>
    </xf>
    <xf numFmtId="167" fontId="16" fillId="4" borderId="17" xfId="9" applyNumberFormat="1" applyFont="1" applyFill="1" applyBorder="1">
      <alignment horizontal="center" vertical="center"/>
    </xf>
    <xf numFmtId="0" fontId="30" fillId="0" borderId="0" xfId="3" applyFont="1" applyAlignment="1">
      <alignment vertical="center"/>
    </xf>
    <xf numFmtId="0" fontId="3" fillId="4" borderId="7" xfId="11" applyFont="1" applyFill="1" applyBorder="1" applyAlignment="1">
      <alignment horizontal="left" vertical="center"/>
    </xf>
    <xf numFmtId="0" fontId="31" fillId="4" borderId="7" xfId="6" applyFont="1" applyFill="1" applyBorder="1" applyAlignment="1">
      <alignment vertical="center"/>
    </xf>
    <xf numFmtId="0" fontId="1" fillId="4" borderId="7" xfId="6" applyFill="1" applyBorder="1" applyAlignment="1">
      <alignment vertical="center"/>
    </xf>
    <xf numFmtId="0" fontId="32" fillId="0" borderId="0" xfId="3" applyFont="1" applyAlignment="1">
      <alignment vertical="center"/>
    </xf>
    <xf numFmtId="168" fontId="33" fillId="4" borderId="0" xfId="3" applyNumberFormat="1" applyFont="1" applyFill="1" applyAlignment="1">
      <alignment horizontal="left" vertical="center"/>
    </xf>
    <xf numFmtId="0" fontId="34" fillId="4" borderId="5" xfId="5" applyFont="1" applyFill="1" applyBorder="1" applyAlignment="1">
      <alignment vertical="center" wrapText="1"/>
    </xf>
    <xf numFmtId="0" fontId="34" fillId="4" borderId="6" xfId="5" applyFont="1" applyFill="1" applyBorder="1" applyAlignment="1">
      <alignment vertical="center" wrapText="1"/>
    </xf>
    <xf numFmtId="0" fontId="34" fillId="4" borderId="0" xfId="5" applyFont="1" applyFill="1" applyBorder="1" applyAlignment="1">
      <alignment vertical="center" wrapText="1"/>
    </xf>
    <xf numFmtId="0" fontId="34" fillId="4" borderId="18" xfId="5" applyFont="1" applyFill="1" applyBorder="1" applyAlignment="1">
      <alignment vertical="center" wrapText="1"/>
    </xf>
    <xf numFmtId="0" fontId="34" fillId="4" borderId="19" xfId="5" applyFont="1" applyFill="1" applyBorder="1" applyAlignment="1">
      <alignment vertical="center" wrapText="1"/>
    </xf>
    <xf numFmtId="0" fontId="34" fillId="4" borderId="20" xfId="5" applyFont="1" applyFill="1" applyBorder="1" applyAlignment="1">
      <alignment vertical="center" wrapText="1"/>
    </xf>
    <xf numFmtId="165" fontId="24" fillId="6" borderId="7" xfId="8" applyNumberFormat="1" applyFont="1" applyFill="1" applyAlignment="1">
      <alignment horizontal="left" vertical="center"/>
    </xf>
    <xf numFmtId="0" fontId="27" fillId="4" borderId="0" xfId="3" applyFont="1" applyFill="1" applyAlignment="1">
      <alignment horizontal="left" vertical="center"/>
    </xf>
    <xf numFmtId="0" fontId="12" fillId="0" borderId="0" xfId="3" applyFont="1" applyAlignment="1">
      <alignment horizontal="left" vertical="center" wrapText="1"/>
    </xf>
    <xf numFmtId="0" fontId="16" fillId="3" borderId="7" xfId="7" applyFont="1" applyFill="1" applyBorder="1" applyAlignment="1">
      <alignment horizontal="left" vertical="center"/>
    </xf>
    <xf numFmtId="0" fontId="16" fillId="3" borderId="7" xfId="7" applyFont="1" applyFill="1" applyBorder="1" applyAlignment="1">
      <alignment horizontal="left" vertical="center" wrapText="1"/>
    </xf>
    <xf numFmtId="0" fontId="24" fillId="2" borderId="7" xfId="9" applyFont="1" applyFill="1" applyBorder="1">
      <alignment horizontal="center" vertical="center"/>
    </xf>
    <xf numFmtId="44" fontId="16" fillId="6" borderId="21" xfId="1" applyFont="1" applyFill="1" applyBorder="1" applyAlignment="1">
      <alignment horizontal="center" vertical="center"/>
    </xf>
    <xf numFmtId="44" fontId="16" fillId="6" borderId="22" xfId="1" applyFont="1" applyFill="1" applyBorder="1" applyAlignment="1">
      <alignment horizontal="center" vertical="center"/>
    </xf>
    <xf numFmtId="44" fontId="16" fillId="6" borderId="17" xfId="1" applyFont="1" applyFill="1" applyBorder="1" applyAlignment="1">
      <alignment horizontal="center" vertical="center"/>
    </xf>
    <xf numFmtId="166" fontId="16" fillId="6" borderId="21" xfId="8" applyNumberFormat="1" applyFont="1" applyFill="1" applyBorder="1">
      <alignment horizontal="center" vertical="center"/>
    </xf>
    <xf numFmtId="166" fontId="16" fillId="6" borderId="22" xfId="8" applyNumberFormat="1" applyFont="1" applyFill="1" applyBorder="1">
      <alignment horizontal="center" vertical="center"/>
    </xf>
    <xf numFmtId="166" fontId="16" fillId="6" borderId="17" xfId="8" applyNumberFormat="1" applyFont="1" applyFill="1" applyBorder="1">
      <alignment horizontal="center" vertical="center"/>
    </xf>
    <xf numFmtId="44" fontId="24" fillId="3" borderId="21" xfId="1" applyFont="1" applyFill="1" applyBorder="1" applyAlignment="1">
      <alignment horizontal="center" vertical="center"/>
    </xf>
    <xf numFmtId="44" fontId="24" fillId="3" borderId="22" xfId="1" applyFont="1" applyFill="1" applyBorder="1" applyAlignment="1">
      <alignment horizontal="center" vertical="center"/>
    </xf>
    <xf numFmtId="44" fontId="24" fillId="3" borderId="17" xfId="1" applyFont="1" applyFill="1" applyBorder="1" applyAlignment="1">
      <alignment horizontal="center" vertical="center"/>
    </xf>
    <xf numFmtId="0" fontId="16" fillId="3" borderId="21" xfId="9" applyFont="1" applyFill="1" applyAlignment="1">
      <alignment horizontal="left" vertical="center" wrapText="1"/>
    </xf>
    <xf numFmtId="0" fontId="16" fillId="3" borderId="22" xfId="9" applyFont="1" applyFill="1" applyBorder="1" applyAlignment="1">
      <alignment horizontal="left" vertical="center" wrapText="1"/>
    </xf>
    <xf numFmtId="0" fontId="16" fillId="3" borderId="17" xfId="9" applyFont="1" applyFill="1" applyBorder="1" applyAlignment="1">
      <alignment horizontal="left" vertical="center" wrapText="1"/>
    </xf>
    <xf numFmtId="0" fontId="24" fillId="2" borderId="7" xfId="9" applyFont="1" applyFill="1" applyBorder="1" applyAlignment="1">
      <alignment horizontal="center" vertical="center" wrapText="1"/>
    </xf>
    <xf numFmtId="0" fontId="10" fillId="6" borderId="21" xfId="8" applyNumberFormat="1" applyFont="1" applyFill="1" applyBorder="1">
      <alignment horizontal="center" vertical="center"/>
    </xf>
    <xf numFmtId="0" fontId="10" fillId="6" borderId="22" xfId="8" applyNumberFormat="1" applyFont="1" applyFill="1" applyBorder="1">
      <alignment horizontal="center" vertical="center"/>
    </xf>
    <xf numFmtId="0" fontId="10" fillId="6" borderId="17" xfId="8" applyNumberFormat="1" applyFont="1" applyFill="1" applyBorder="1">
      <alignment horizontal="center" vertical="center"/>
    </xf>
    <xf numFmtId="44" fontId="16" fillId="7" borderId="21" xfId="1" applyFont="1" applyFill="1" applyBorder="1" applyAlignment="1">
      <alignment horizontal="center" vertical="center"/>
    </xf>
    <xf numFmtId="44" fontId="16" fillId="7" borderId="22" xfId="1" applyFont="1" applyFill="1" applyBorder="1" applyAlignment="1">
      <alignment horizontal="center" vertical="center"/>
    </xf>
    <xf numFmtId="44" fontId="16" fillId="7" borderId="17" xfId="1" applyFont="1" applyFill="1" applyBorder="1" applyAlignment="1">
      <alignment horizontal="center" vertical="center"/>
    </xf>
    <xf numFmtId="0" fontId="10" fillId="6" borderId="7" xfId="8" applyNumberFormat="1" applyFont="1" applyFill="1">
      <alignment horizontal="center" vertical="center"/>
    </xf>
    <xf numFmtId="0" fontId="10" fillId="6" borderId="21" xfId="8" applyNumberFormat="1" applyFont="1" applyFill="1" applyBorder="1" applyAlignment="1">
      <alignment horizontal="center" vertical="center" wrapText="1"/>
    </xf>
    <xf numFmtId="0" fontId="10" fillId="6" borderId="22" xfId="8" applyNumberFormat="1" applyFont="1" applyFill="1" applyBorder="1" applyAlignment="1">
      <alignment horizontal="center" vertical="center" wrapText="1"/>
    </xf>
    <xf numFmtId="0" fontId="10" fillId="6" borderId="17" xfId="8" applyNumberFormat="1" applyFont="1" applyFill="1" applyBorder="1" applyAlignment="1">
      <alignment horizontal="center" vertical="center" wrapText="1"/>
    </xf>
    <xf numFmtId="44" fontId="16" fillId="6" borderId="7" xfId="1" applyFont="1" applyFill="1" applyBorder="1" applyAlignment="1">
      <alignment horizontal="center" vertical="center"/>
    </xf>
    <xf numFmtId="166" fontId="16" fillId="6" borderId="7" xfId="8" applyNumberFormat="1" applyFont="1" applyFill="1">
      <alignment horizontal="center" vertical="center"/>
    </xf>
    <xf numFmtId="44" fontId="24" fillId="3" borderId="7" xfId="1" applyFont="1" applyFill="1" applyBorder="1" applyAlignment="1">
      <alignment horizontal="center" vertical="center"/>
    </xf>
    <xf numFmtId="44" fontId="24" fillId="13" borderId="21" xfId="1" applyFont="1" applyFill="1" applyBorder="1" applyAlignment="1">
      <alignment horizontal="center" vertical="center"/>
    </xf>
    <xf numFmtId="44" fontId="24" fillId="13" borderId="22" xfId="1" applyFont="1" applyFill="1" applyBorder="1" applyAlignment="1">
      <alignment horizontal="center" vertical="center"/>
    </xf>
    <xf numFmtId="44" fontId="24" fillId="13" borderId="17" xfId="1" applyFont="1" applyFill="1" applyBorder="1" applyAlignment="1">
      <alignment horizontal="center" vertical="center"/>
    </xf>
    <xf numFmtId="0" fontId="20" fillId="4" borderId="8" xfId="7" applyFont="1" applyFill="1" applyBorder="1" applyAlignment="1">
      <alignment horizontal="left" vertical="center"/>
    </xf>
    <xf numFmtId="0" fontId="20" fillId="4" borderId="19" xfId="7" applyFont="1" applyFill="1" applyBorder="1" applyAlignment="1">
      <alignment horizontal="left" vertical="center"/>
    </xf>
    <xf numFmtId="0" fontId="20" fillId="4" borderId="20" xfId="7" applyFont="1" applyFill="1" applyBorder="1" applyAlignment="1">
      <alignment horizontal="left" vertical="center"/>
    </xf>
    <xf numFmtId="0" fontId="20" fillId="4" borderId="9" xfId="7" applyFont="1" applyFill="1" applyAlignment="1">
      <alignment horizontal="left" vertical="center"/>
    </xf>
    <xf numFmtId="0" fontId="20" fillId="4" borderId="23" xfId="7" applyFont="1" applyFill="1" applyBorder="1" applyAlignment="1">
      <alignment horizontal="left" vertical="center"/>
    </xf>
    <xf numFmtId="0" fontId="20" fillId="4" borderId="3" xfId="7" applyFont="1" applyFill="1" applyBorder="1" applyAlignment="1">
      <alignment horizontal="left" vertical="center"/>
    </xf>
    <xf numFmtId="0" fontId="20" fillId="4" borderId="4" xfId="7" applyFont="1" applyFill="1" applyBorder="1" applyAlignment="1">
      <alignment horizontal="left" vertical="center"/>
    </xf>
    <xf numFmtId="0" fontId="20" fillId="4" borderId="5" xfId="7" applyFont="1" applyFill="1" applyBorder="1" applyAlignment="1">
      <alignment horizontal="left" vertical="center"/>
    </xf>
    <xf numFmtId="0" fontId="20" fillId="4" borderId="6" xfId="7" applyFont="1" applyFill="1" applyBorder="1" applyAlignment="1">
      <alignment horizontal="left" vertical="center"/>
    </xf>
  </cellXfs>
  <cellStyles count="12">
    <cellStyle name="200, 16, 46 - HONDA Red" xfId="4" xr:uid="{066D7EF3-C4B1-4BF0-9462-C0018D3D6615}"/>
    <cellStyle name="Currency" xfId="1" builtinId="4"/>
    <cellStyle name="Normal" xfId="0" builtinId="0"/>
    <cellStyle name="Normal 100" xfId="3" xr:uid="{C80C6C96-D19E-4D38-92D9-51C5C13FB9A4}"/>
    <cellStyle name="Normal 11" xfId="2" xr:uid="{38A5E45A-AC62-4AC7-AF5F-CF3F74460A4D}"/>
    <cellStyle name="Normal 5 16 6" xfId="6" xr:uid="{64B0D63E-1864-4E9D-B285-7C78B5CA2C77}"/>
    <cellStyle name="Normal 5 2 2 2 4 2 2" xfId="10" xr:uid="{7081B6D7-6FB3-4DA0-894A-3CD319865140}"/>
    <cellStyle name="Normal 5 4 9 2 5 10" xfId="11" xr:uid="{17D73520-2A0E-4FB8-BBF7-122ED84CB06E}"/>
    <cellStyle name="sch-data" xfId="7" xr:uid="{A2C805A0-BA48-43AA-9693-EA33EBAC57FD}"/>
    <cellStyle name="sch-heads" xfId="5" xr:uid="{2D1AB399-0F9D-4AB9-83FA-42821124E4EB}"/>
    <cellStyle name="sch-inputs" xfId="8" xr:uid="{0160EDF3-2BFE-4DFE-894E-F46EEF6FC36B}"/>
    <cellStyle name="sch-subheads" xfId="9" xr:uid="{56A602E7-4AFD-48C2-BFF4-BE74B0444DDB}"/>
  </cellStyles>
  <dxfs count="5">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hyperlink" Target="#'24MY_Prologue_APP_FR'!A1"/><Relationship Id="rId1" Type="http://schemas.openxmlformats.org/officeDocument/2006/relationships/hyperlink" Target="#'24MY_Prologue_APP_EN'!A1"/></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13810</xdr:colOff>
      <xdr:row>7</xdr:row>
      <xdr:rowOff>57784</xdr:rowOff>
    </xdr:from>
    <xdr:to>
      <xdr:col>10</xdr:col>
      <xdr:colOff>220305</xdr:colOff>
      <xdr:row>9</xdr:row>
      <xdr:rowOff>159108</xdr:rowOff>
    </xdr:to>
    <xdr:sp macro="" textlink="">
      <xdr:nvSpPr>
        <xdr:cNvPr id="2" name="Rounded Rectangle 44">
          <a:hlinkClick xmlns:r="http://schemas.openxmlformats.org/officeDocument/2006/relationships" r:id="rId1"/>
          <a:extLst>
            <a:ext uri="{FF2B5EF4-FFF2-40B4-BE49-F238E27FC236}">
              <a16:creationId xmlns:a16="http://schemas.microsoft.com/office/drawing/2014/main" id="{FDA5C7B1-8E4A-4C0D-8401-B63FA0BA6CD8}"/>
            </a:ext>
          </a:extLst>
        </xdr:cNvPr>
        <xdr:cNvSpPr/>
      </xdr:nvSpPr>
      <xdr:spPr>
        <a:xfrm>
          <a:off x="7633810" y="2134234"/>
          <a:ext cx="2035295" cy="425174"/>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APPLICATION CHART</a:t>
          </a:r>
        </a:p>
      </xdr:txBody>
    </xdr:sp>
    <xdr:clientData/>
  </xdr:twoCellAnchor>
  <xdr:twoCellAnchor>
    <xdr:from>
      <xdr:col>7</xdr:col>
      <xdr:colOff>0</xdr:colOff>
      <xdr:row>11</xdr:row>
      <xdr:rowOff>64769</xdr:rowOff>
    </xdr:from>
    <xdr:to>
      <xdr:col>10</xdr:col>
      <xdr:colOff>191096</xdr:colOff>
      <xdr:row>13</xdr:row>
      <xdr:rowOff>154346</xdr:rowOff>
    </xdr:to>
    <xdr:sp macro="" textlink="">
      <xdr:nvSpPr>
        <xdr:cNvPr id="3" name="Rounded Rectangle 12">
          <a:hlinkClick xmlns:r="http://schemas.openxmlformats.org/officeDocument/2006/relationships" r:id="rId2"/>
          <a:extLst>
            <a:ext uri="{FF2B5EF4-FFF2-40B4-BE49-F238E27FC236}">
              <a16:creationId xmlns:a16="http://schemas.microsoft.com/office/drawing/2014/main" id="{C62DD1B9-F493-4EE5-B672-1A196488FF10}"/>
            </a:ext>
          </a:extLst>
        </xdr:cNvPr>
        <xdr:cNvSpPr/>
      </xdr:nvSpPr>
      <xdr:spPr>
        <a:xfrm>
          <a:off x="7620000" y="2798444"/>
          <a:ext cx="2019896" cy="422952"/>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CHARTE D'APPLICATION</a:t>
          </a:r>
          <a:endParaRPr lang="en-CA" sz="12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1357313</xdr:colOff>
      <xdr:row>2</xdr:row>
      <xdr:rowOff>99026</xdr:rowOff>
    </xdr:from>
    <xdr:to>
      <xdr:col>17</xdr:col>
      <xdr:colOff>154998</xdr:colOff>
      <xdr:row>9</xdr:row>
      <xdr:rowOff>40416</xdr:rowOff>
    </xdr:to>
    <xdr:pic>
      <xdr:nvPicPr>
        <xdr:cNvPr id="2" name="Picture 1">
          <a:extLst>
            <a:ext uri="{FF2B5EF4-FFF2-40B4-BE49-F238E27FC236}">
              <a16:creationId xmlns:a16="http://schemas.microsoft.com/office/drawing/2014/main" id="{258CFD4E-86D9-43FD-A982-CBA95CEFCF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77463" y="708626"/>
          <a:ext cx="2160010" cy="141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1357313</xdr:colOff>
      <xdr:row>2</xdr:row>
      <xdr:rowOff>99026</xdr:rowOff>
    </xdr:from>
    <xdr:to>
      <xdr:col>16</xdr:col>
      <xdr:colOff>3693205</xdr:colOff>
      <xdr:row>9</xdr:row>
      <xdr:rowOff>40870</xdr:rowOff>
    </xdr:to>
    <xdr:pic>
      <xdr:nvPicPr>
        <xdr:cNvPr id="2" name="Picture 1">
          <a:extLst>
            <a:ext uri="{FF2B5EF4-FFF2-40B4-BE49-F238E27FC236}">
              <a16:creationId xmlns:a16="http://schemas.microsoft.com/office/drawing/2014/main" id="{01F4EB5B-58C7-479C-960C-FA3898040A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39413" y="708626"/>
          <a:ext cx="2335892" cy="14182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CDSSRV1\sh$all\Parts%20Marketing\ACCESSORY%20INFO\26MY%20ACCY%20LISTING\Honda\Prologue\26MY_PROLOGUE_APP_SELL%20FEB%203.xlsm" TargetMode="External"/><Relationship Id="rId1" Type="http://schemas.openxmlformats.org/officeDocument/2006/relationships/externalLinkPath" Target="26MY_PROLOGUE_APP_SELL%20FEB%20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ll Sheet Formula"/>
      <sheetName val="Hierarchy "/>
      <sheetName val="26MY_PROLOGUE_DATA"/>
      <sheetName val="SELECT PROVINCE"/>
      <sheetName val="26MY_Prologue_APP_EN"/>
      <sheetName val="26MY_Prologue_SELL_EN"/>
      <sheetName val="26MY_Prologue_APP_FR"/>
      <sheetName val="26MY_Prologue_SELL_FR"/>
    </sheetNames>
    <sheetDataSet>
      <sheetData sheetId="0"/>
      <sheetData sheetId="1"/>
      <sheetData sheetId="2">
        <row r="1">
          <cell r="B1">
            <v>1</v>
          </cell>
          <cell r="C1">
            <v>2</v>
          </cell>
          <cell r="D1">
            <v>3</v>
          </cell>
          <cell r="E1">
            <v>4</v>
          </cell>
          <cell r="F1">
            <v>5</v>
          </cell>
          <cell r="G1">
            <v>6</v>
          </cell>
          <cell r="H1">
            <v>23</v>
          </cell>
          <cell r="I1">
            <v>24</v>
          </cell>
          <cell r="J1">
            <v>25</v>
          </cell>
          <cell r="K1">
            <v>26</v>
          </cell>
          <cell r="L1">
            <v>27</v>
          </cell>
          <cell r="M1">
            <v>28</v>
          </cell>
          <cell r="N1">
            <v>29</v>
          </cell>
          <cell r="O1">
            <v>30</v>
          </cell>
          <cell r="P1">
            <v>31</v>
          </cell>
          <cell r="Q1">
            <v>32</v>
          </cell>
          <cell r="R1">
            <v>33</v>
          </cell>
          <cell r="S1">
            <v>33</v>
          </cell>
          <cell r="T1">
            <v>33</v>
          </cell>
          <cell r="U1">
            <v>34</v>
          </cell>
          <cell r="V1">
            <v>35</v>
          </cell>
          <cell r="W1">
            <v>9</v>
          </cell>
          <cell r="X1">
            <v>7</v>
          </cell>
          <cell r="Y1">
            <v>8</v>
          </cell>
          <cell r="Z1">
            <v>8</v>
          </cell>
          <cell r="AA1">
            <v>8</v>
          </cell>
          <cell r="AB1">
            <v>8</v>
          </cell>
          <cell r="AC1">
            <v>8</v>
          </cell>
          <cell r="AD1">
            <v>8</v>
          </cell>
          <cell r="AE1">
            <v>8</v>
          </cell>
          <cell r="AF1">
            <v>8</v>
          </cell>
          <cell r="AG1">
            <v>10</v>
          </cell>
          <cell r="AH1">
            <v>11</v>
          </cell>
          <cell r="AI1">
            <v>12</v>
          </cell>
          <cell r="AJ1">
            <v>13</v>
          </cell>
          <cell r="AK1">
            <v>14</v>
          </cell>
          <cell r="AL1">
            <v>15</v>
          </cell>
          <cell r="AM1">
            <v>16</v>
          </cell>
          <cell r="AN1">
            <v>17</v>
          </cell>
          <cell r="AO1">
            <v>18</v>
          </cell>
          <cell r="AP1">
            <v>19</v>
          </cell>
          <cell r="AQ1">
            <v>20</v>
          </cell>
          <cell r="AR1">
            <v>21</v>
          </cell>
          <cell r="AS1">
            <v>22</v>
          </cell>
        </row>
        <row r="2">
          <cell r="B2" t="str">
            <v>Model Name</v>
          </cell>
          <cell r="C2" t="str">
            <v>Prologue</v>
          </cell>
          <cell r="M2" t="str">
            <v>=</v>
          </cell>
          <cell r="O2" t="str">
            <v>N/A</v>
          </cell>
          <cell r="P2" t="str">
            <v>S</v>
          </cell>
          <cell r="Q2" t="str">
            <v>E</v>
          </cell>
          <cell r="R2" t="str">
            <v>T</v>
          </cell>
          <cell r="S2" t="str">
            <v>T</v>
          </cell>
          <cell r="T2" t="str">
            <v>T</v>
          </cell>
          <cell r="X2" t="str">
            <v>Yes</v>
          </cell>
        </row>
        <row r="3">
          <cell r="B3" t="str">
            <v>Model Year</v>
          </cell>
          <cell r="C3">
            <v>2026</v>
          </cell>
          <cell r="X3" t="str">
            <v>No</v>
          </cell>
        </row>
        <row r="4">
          <cell r="B4" t="str">
            <v>Publication Date</v>
          </cell>
          <cell r="C4">
            <v>46056</v>
          </cell>
          <cell r="M4" t="str">
            <v>* if it's "N/A" or "S" do not show on trim</v>
          </cell>
          <cell r="X4" t="str">
            <v>NEW</v>
          </cell>
        </row>
        <row r="5">
          <cell r="M5" t="str">
            <v>Trim Application*</v>
          </cell>
        </row>
        <row r="6">
          <cell r="B6" t="str">
            <v xml:space="preserve">PARTS </v>
          </cell>
          <cell r="C6" t="str">
            <v xml:space="preserve">HAC </v>
          </cell>
          <cell r="L6" t="str">
            <v>YT</v>
          </cell>
          <cell r="N6" t="str">
            <v>EX</v>
          </cell>
          <cell r="O6" t="str">
            <v>EX-L</v>
          </cell>
          <cell r="Q6" t="str">
            <v>Touring</v>
          </cell>
          <cell r="X6" t="str">
            <v>Images</v>
          </cell>
          <cell r="AG6" t="str">
            <v>Wheels</v>
          </cell>
          <cell r="AH6" t="str">
            <v>Charging</v>
          </cell>
          <cell r="AI6" t="str">
            <v>Featured</v>
          </cell>
          <cell r="AJ6" t="str">
            <v xml:space="preserve">Included </v>
          </cell>
          <cell r="AK6" t="str">
            <v>Accessories</v>
          </cell>
        </row>
        <row r="7">
          <cell r="B7" t="str">
            <v>Part Number / 
Kit Part Number</v>
          </cell>
          <cell r="C7" t="str">
            <v>Part Number</v>
          </cell>
          <cell r="D7" t="str">
            <v>Item Name English</v>
          </cell>
          <cell r="E7" t="str">
            <v>Item Name French</v>
          </cell>
          <cell r="F7" t="str">
            <v xml:space="preserve">Description English </v>
          </cell>
          <cell r="G7" t="str">
            <v>Description French</v>
          </cell>
          <cell r="H7" t="str">
            <v>FRT</v>
          </cell>
          <cell r="I7" t="str">
            <v>Residual-ized $</v>
          </cell>
          <cell r="J7" t="str">
            <v>Dealer Net</v>
          </cell>
          <cell r="K7" t="str">
            <v xml:space="preserve">List Price </v>
          </cell>
          <cell r="L7" t="str">
            <v xml:space="preserve">Install Price </v>
          </cell>
          <cell r="N7" t="str">
            <v>EX</v>
          </cell>
          <cell r="O7" t="str">
            <v>EX-L</v>
          </cell>
          <cell r="Q7" t="str">
            <v>Touring</v>
          </cell>
          <cell r="U7" t="str">
            <v>Comments English</v>
          </cell>
          <cell r="V7" t="str">
            <v>Comments French</v>
          </cell>
          <cell r="W7" t="str">
            <v>Display Order</v>
          </cell>
          <cell r="X7" t="str">
            <v>SiteCore</v>
          </cell>
          <cell r="Y7" t="str">
            <v>Overlay 1</v>
          </cell>
          <cell r="Z7" t="str">
            <v>Overlay 2</v>
          </cell>
          <cell r="AA7" t="str">
            <v>Overlay 3</v>
          </cell>
          <cell r="AB7" t="str">
            <v>Overlay 4</v>
          </cell>
          <cell r="AC7" t="str">
            <v>Overlay 5</v>
          </cell>
          <cell r="AD7" t="str">
            <v>Overlay 6</v>
          </cell>
          <cell r="AE7" t="str">
            <v>Overlay 7</v>
          </cell>
          <cell r="AF7" t="str">
            <v>Overlay 8</v>
          </cell>
          <cell r="AK7" t="str">
            <v>Safety &amp; Exterior Protection</v>
          </cell>
          <cell r="AL7" t="str">
            <v>Winter Season</v>
          </cell>
          <cell r="AM7" t="str">
            <v>Exterior &amp; Interior Utility</v>
          </cell>
          <cell r="AN7" t="str">
            <v>Interior Styling</v>
          </cell>
          <cell r="AO7" t="str">
            <v xml:space="preserve">Exterior Styling </v>
          </cell>
          <cell r="AP7" t="str">
            <v>Misc-ellaneous</v>
          </cell>
          <cell r="AR7" t="str">
            <v>Dependancies</v>
          </cell>
          <cell r="AS7" t="str">
            <v>Exclusions</v>
          </cell>
        </row>
        <row r="8">
          <cell r="B8" t="str">
            <v>24PRO-PRO1</v>
          </cell>
          <cell r="C8" t="str">
            <v>24PRO-PRO1</v>
          </cell>
          <cell r="D8" t="str">
            <v>Protection Package</v>
          </cell>
          <cell r="E8" t="str">
            <v>Ensemble de protection</v>
          </cell>
          <cell r="F8" t="str">
            <v>Package Includes: All-Season Floor Mats and Cargo Tray.</v>
          </cell>
          <cell r="G8" t="str">
            <v>Cet ensemble inclut des tapis toutes saisons et plateau pour compartiment utilitaire.</v>
          </cell>
          <cell r="H8">
            <v>0.2</v>
          </cell>
          <cell r="J8">
            <v>301.5</v>
          </cell>
          <cell r="K8">
            <v>558</v>
          </cell>
          <cell r="L8">
            <v>591</v>
          </cell>
          <cell r="N8" t="str">
            <v>•</v>
          </cell>
          <cell r="O8" t="str">
            <v>•</v>
          </cell>
          <cell r="Q8" t="str">
            <v>•</v>
          </cell>
          <cell r="U8" t="str">
            <v>10% Discount applied</v>
          </cell>
          <cell r="V8" t="str">
            <v>Rabais de 10 % est appliqué</v>
          </cell>
          <cell r="W8">
            <v>1</v>
          </cell>
          <cell r="AI8" t="str">
            <v>•</v>
          </cell>
          <cell r="AM8" t="str">
            <v>•</v>
          </cell>
          <cell r="AS8" t="str">
            <v>Protection Package Advance  24PRO-PROA
All Season Floor Mats  08P17-PS2-110
Cargo Tray  08U45-PS2-100</v>
          </cell>
        </row>
        <row r="9">
          <cell r="B9" t="str">
            <v>24PRO-PROA</v>
          </cell>
          <cell r="C9" t="str">
            <v>24PRO-PROA</v>
          </cell>
          <cell r="D9" t="str">
            <v>Protection Package Advance</v>
          </cell>
          <cell r="E9" t="str">
            <v>Ensemble de protection Avance</v>
          </cell>
          <cell r="F9" t="str">
            <v>Package Includes: All-Season Floor Mats, Cargo Tray, Cargo Cover and Seat Back Protector.</v>
          </cell>
          <cell r="G9" t="str">
            <v>Cet ensemble inclut des tapis toutes saisons, plateau pour compartiment utilitaire, et protecteur de dossier de siège arrière.</v>
          </cell>
          <cell r="H9">
            <v>0.5</v>
          </cell>
          <cell r="J9">
            <v>664.2</v>
          </cell>
          <cell r="K9">
            <v>1107</v>
          </cell>
          <cell r="L9">
            <v>1189.5</v>
          </cell>
          <cell r="N9" t="str">
            <v>•</v>
          </cell>
          <cell r="O9" t="str">
            <v>•</v>
          </cell>
          <cell r="Q9" t="str">
            <v>•</v>
          </cell>
          <cell r="U9" t="str">
            <v>10% Discount applied</v>
          </cell>
          <cell r="V9" t="str">
            <v>Rabais de 10 % est appliqué</v>
          </cell>
          <cell r="W9">
            <v>2</v>
          </cell>
          <cell r="AI9" t="str">
            <v>•</v>
          </cell>
          <cell r="AM9" t="str">
            <v>•</v>
          </cell>
          <cell r="AS9" t="str">
            <v>Protection Package  24PRO-PRO1
All Season Floor Mats  08P17-PS2-110
Cargo Tray  08U45-PS2-100
Cargo Cover   08Z07-PS2-310
Seat Back Protector  08P30-PS2-100</v>
          </cell>
        </row>
        <row r="10">
          <cell r="B10" t="str">
            <v>24PRO-TOWSA1 or 24PRO-TOWSA2</v>
          </cell>
          <cell r="C10" t="str">
            <v>N/A only used for app chart</v>
          </cell>
          <cell r="D10" t="str">
            <v xml:space="preserve">Towing Package </v>
          </cell>
          <cell r="E10" t="str">
            <v>Ensemble de remorquage</v>
          </cell>
          <cell r="H10">
            <v>2.2999999999999998</v>
          </cell>
          <cell r="J10">
            <v>1227.6000000000001</v>
          </cell>
          <cell r="K10">
            <v>2031.3</v>
          </cell>
          <cell r="L10">
            <v>2410.7999999999997</v>
          </cell>
          <cell r="N10" t="str">
            <v>•</v>
          </cell>
          <cell r="O10" t="str">
            <v>•</v>
          </cell>
          <cell r="Q10" t="str">
            <v>•</v>
          </cell>
          <cell r="U10" t="str">
            <v>10% Discount Applied.
24PRO-TOW-SA1: 1-7/8" Trailer Hitch Ball
24PRO-TOW-SA2: 2" Trailer Hitch Ball</v>
          </cell>
          <cell r="V10" t="str">
            <v>Rabais de 10 % est appliqué.
24PRO-TOW-SA1: Rotule d'attelage de 1 7/8 po
24PRO-TOW-SA2: Rotule d'attelage de 2 po</v>
          </cell>
        </row>
        <row r="11">
          <cell r="B11" t="str">
            <v>24PRO-TOWSA1 ou 24PRO-TOWSA2</v>
          </cell>
          <cell r="C11" t="str">
            <v>N/A only used for app chart</v>
          </cell>
          <cell r="E11" t="str">
            <v>Ensemble de remorquage</v>
          </cell>
          <cell r="H11">
            <v>2.2999999999999998</v>
          </cell>
          <cell r="J11">
            <v>1227.6000000000001</v>
          </cell>
          <cell r="K11">
            <v>2031.3</v>
          </cell>
          <cell r="L11">
            <v>2410.7999999999997</v>
          </cell>
          <cell r="N11" t="str">
            <v>•</v>
          </cell>
          <cell r="O11" t="str">
            <v>•</v>
          </cell>
          <cell r="Q11" t="str">
            <v>•</v>
          </cell>
          <cell r="U11" t="str">
            <v>10% Discount Applied.
24PRO-TOW-SA1: 1-7/8" Trailer Hitch Ball
24PRO-TOW-SA2: 2" Trailer Hitch Ball</v>
          </cell>
          <cell r="V11" t="str">
            <v>Rabais de 10 % est appliqué.
24PRO-TOW-SA1: Rotule d'attelage de 1 7/8 po
24PRO-TOW-SA2: Rotule d'attelage de 2 po</v>
          </cell>
        </row>
        <row r="12">
          <cell r="B12" t="str">
            <v>N/A - HAVP only</v>
          </cell>
          <cell r="C12" t="str">
            <v>24PRO-TOWSA1</v>
          </cell>
          <cell r="D12" t="str">
            <v xml:space="preserve">Towing Package 1 </v>
          </cell>
          <cell r="E12" t="str">
            <v>Ensemble de remorquage 1</v>
          </cell>
          <cell r="F12" t="str">
            <v>Package includes Trailer hitch with Harness, Rear lower Garnish with Hitch, Ball mount, 1 7/8" Ball and Locking pin.</v>
          </cell>
          <cell r="G12" t="str">
            <v>L'ensemble inclut un attelage de remorque avec faisceau, un capuchon d'attelage de remorque, une monture de rotule, une rotule de 1 7/8 po et une goupille de verrouillage.</v>
          </cell>
          <cell r="H12">
            <v>2.2999999999999998</v>
          </cell>
          <cell r="J12">
            <v>1227.6000000000001</v>
          </cell>
          <cell r="K12">
            <v>2031.3</v>
          </cell>
          <cell r="L12">
            <v>2410.7999999999997</v>
          </cell>
          <cell r="N12" t="str">
            <v>•</v>
          </cell>
          <cell r="O12" t="str">
            <v>•</v>
          </cell>
          <cell r="Q12" t="str">
            <v>•</v>
          </cell>
          <cell r="W12">
            <v>5</v>
          </cell>
          <cell r="AI12" t="str">
            <v>•</v>
          </cell>
          <cell r="AM12" t="str">
            <v>•</v>
          </cell>
          <cell r="AS12" t="str">
            <v>Towing Package 2   24PRO-TOWSA2
Trailer Hitch with Harness   84933501
Rear Lower Garnish with Hitch  08F24-PS2-310A
Trailer Hitch Locking Pin    08L92-SJC-300A
Trailer Hitch Ball - 1-7/8"    08L92-S9V-300G</v>
          </cell>
        </row>
        <row r="13">
          <cell r="B13" t="str">
            <v>N/A - HAVP only</v>
          </cell>
          <cell r="C13" t="str">
            <v>24PRO-TOWSA2</v>
          </cell>
          <cell r="D13" t="str">
            <v>Towing Package 2</v>
          </cell>
          <cell r="E13" t="str">
            <v>Ensemble de remorquage 2</v>
          </cell>
          <cell r="F13" t="str">
            <v>Package includes Trailer hitch with Harness, Rear lower Garnish with Hitch, Ball mount, 2" Ball, and Locking pin.</v>
          </cell>
          <cell r="G13" t="str">
            <v>L'ensemble inclut un attelage de remorque avec faisceau, un capuchon d'attelage de remorque, une monture de rotule, une rotule de 2 po et une goupille de verrouillage.</v>
          </cell>
          <cell r="H13">
            <v>2.2999999999999998</v>
          </cell>
          <cell r="J13">
            <v>1227.6000000000001</v>
          </cell>
          <cell r="K13">
            <v>2031.3</v>
          </cell>
          <cell r="L13">
            <v>2410.7999999999997</v>
          </cell>
          <cell r="N13" t="str">
            <v>•</v>
          </cell>
          <cell r="O13" t="str">
            <v>•</v>
          </cell>
          <cell r="Q13" t="str">
            <v>•</v>
          </cell>
          <cell r="W13">
            <v>6</v>
          </cell>
          <cell r="AI13" t="str">
            <v>•</v>
          </cell>
          <cell r="AM13" t="str">
            <v>•</v>
          </cell>
          <cell r="AS13" t="str">
            <v>Towing Package 1   24PRO-TOWSA1
Trailer Hitch with Harness   84933501
Rear Lower Garnish with Hitch  08F24-PS2-310A
Trailer Hitch Locking Pin    08L92-SJC-300A 
Trailer Hitch Ball - 2"    08L92-S9V-300H</v>
          </cell>
        </row>
        <row r="14">
          <cell r="B14" t="str">
            <v>08L92-S9V-300G or 
08L92-S9V-300H</v>
          </cell>
          <cell r="C14" t="str">
            <v>N/A only used for app chart FR</v>
          </cell>
          <cell r="D14" t="str">
            <v xml:space="preserve">Trailer Hitch Ball - 1-7/8" or 2" </v>
          </cell>
        </row>
        <row r="15">
          <cell r="B15" t="str">
            <v>08L92-S9V-300G ou 
08L92-S9V-300H</v>
          </cell>
          <cell r="C15" t="str">
            <v>N/A only used for app chart FR</v>
          </cell>
          <cell r="E15" t="str">
            <v>Rotule d'attelage de 1 7/8 po ou 2 po</v>
          </cell>
        </row>
        <row r="16">
          <cell r="B16" t="str">
            <v>24PRO-EMB1</v>
          </cell>
          <cell r="C16" t="str">
            <v>24PRO-EMB1</v>
          </cell>
          <cell r="D16" t="str">
            <v>Black Emblem Set</v>
          </cell>
          <cell r="E16" t="str">
            <v xml:space="preserve">Ensemble d’emblèmes noirs </v>
          </cell>
          <cell r="F16" t="str">
            <v xml:space="preserve">Includes Black Emblems "Prologue", "Honda" Front and Rear, "AWD" and "e:" packaged together with a 10% discount. </v>
          </cell>
          <cell r="G16" t="str">
            <v>L’ensemble inclut : Emblèmes noirs -  "Prologue", "Honda" avant et arrière, "AWD", et "e:"  Offerts en ensemble avec une remise de 10 %.</v>
          </cell>
          <cell r="H16">
            <v>0.89999999999999991</v>
          </cell>
          <cell r="J16">
            <v>146.70000000000002</v>
          </cell>
          <cell r="K16">
            <v>244.8</v>
          </cell>
          <cell r="L16">
            <v>393.29999999999995</v>
          </cell>
          <cell r="N16" t="str">
            <v>•</v>
          </cell>
          <cell r="O16" t="str">
            <v>•</v>
          </cell>
          <cell r="Q16" t="str">
            <v>N/A</v>
          </cell>
          <cell r="U16" t="str">
            <v>10% Discount applied</v>
          </cell>
          <cell r="V16" t="str">
            <v>Rabais de 10 % est appliqué</v>
          </cell>
          <cell r="W16">
            <v>3</v>
          </cell>
          <cell r="AI16" t="str">
            <v>•</v>
          </cell>
          <cell r="AO16" t="str">
            <v>•</v>
          </cell>
          <cell r="AS16" t="str">
            <v>Black Emblems - Honda Logo Front/Rear &amp; Prologue   08F20-PS2-100
Black Emblems AWD    08F20-PS2-100C
Black Emblems "e:"    08F20-PS2-100D</v>
          </cell>
        </row>
        <row r="17">
          <cell r="B17" t="str">
            <v>24PRO-EMB2</v>
          </cell>
          <cell r="C17" t="str">
            <v>24PRO-EMB2</v>
          </cell>
          <cell r="D17" t="str">
            <v>Black Emblem Set</v>
          </cell>
          <cell r="E17" t="str">
            <v xml:space="preserve">Ensemble d’emblèmes noirs </v>
          </cell>
          <cell r="F17" t="str">
            <v xml:space="preserve">Includes Black Emblems "Prologue", "Honda" Front and Rear, "AWD", "Touring" and "e:" packaged together with a 10% discount. </v>
          </cell>
          <cell r="G17" t="str">
            <v>L’ensemble inclut : Emblèmes noirs -  "Prologue", "Honda" avant et arrière, "AWD", "Touring", et "e:"  Offerts en ensemble avec une remise de 10 %.</v>
          </cell>
          <cell r="H17">
            <v>0.99999999999999989</v>
          </cell>
          <cell r="J17">
            <v>189</v>
          </cell>
          <cell r="K17">
            <v>315</v>
          </cell>
          <cell r="L17">
            <v>480</v>
          </cell>
          <cell r="N17" t="str">
            <v>N/A</v>
          </cell>
          <cell r="O17" t="str">
            <v>N/A</v>
          </cell>
          <cell r="Q17" t="str">
            <v>•</v>
          </cell>
          <cell r="U17" t="str">
            <v>10% Discount applied</v>
          </cell>
          <cell r="V17" t="str">
            <v>Rabais de 10 % est appliqué</v>
          </cell>
          <cell r="W17">
            <v>4</v>
          </cell>
          <cell r="AI17" t="str">
            <v>•</v>
          </cell>
          <cell r="AO17" t="str">
            <v>•</v>
          </cell>
          <cell r="AS17" t="str">
            <v>Black Emblems - Honda Logo Front/Rear &amp; Prologue   08F20-PS2-100
Black Emblems Touring   08F20-PS2-100A
Black Emblems AWD    08F20-PS2-100C
Black Emblems "e:"    08F20-PS2-100D</v>
          </cell>
        </row>
        <row r="28">
          <cell r="B28" t="str">
            <v>08W19-PS2-100</v>
          </cell>
          <cell r="C28" t="str">
            <v>08W19-PS2-100</v>
          </cell>
          <cell r="D28" t="str">
            <v xml:space="preserve">19" Alloy Wheel </v>
          </cell>
          <cell r="E28" t="str">
            <v>Jante en alliage noir de 19 pouces</v>
          </cell>
          <cell r="F28" t="str">
            <v>The perfect way to add extra wow factor to your new Prologue. Alloy wheels not only look amazing, but they can help enhance dynamic performance.</v>
          </cell>
          <cell r="G28" t="str">
            <v>Le moyen idéal pour rehausser l’aspect visuel de votre nouveau Prologue. Les jantes en alliage ont non seulement une apparence incroyable, mais elles peuvent également permettre d’améliorer la performance dynamique.</v>
          </cell>
          <cell r="H28">
            <v>1.8</v>
          </cell>
          <cell r="J28">
            <v>1996</v>
          </cell>
          <cell r="K28">
            <v>3196</v>
          </cell>
          <cell r="L28">
            <v>3493</v>
          </cell>
          <cell r="N28" t="str">
            <v>E</v>
          </cell>
          <cell r="O28" t="str">
            <v>E</v>
          </cell>
          <cell r="Q28" t="str">
            <v>N/A</v>
          </cell>
          <cell r="U28" t="str">
            <v>Priced as a set of 4 wheels. Tires sold separately.</v>
          </cell>
          <cell r="V28" t="str">
            <v>Prix établi pour ensemble de 4 pneus. Pneus vendus séparément.</v>
          </cell>
          <cell r="W28">
            <v>8</v>
          </cell>
          <cell r="AG28" t="str">
            <v>•</v>
          </cell>
        </row>
        <row r="29">
          <cell r="B29">
            <v>85548789</v>
          </cell>
          <cell r="C29">
            <v>85548789</v>
          </cell>
          <cell r="D29" t="str">
            <v>Wheel Locks Chrome</v>
          </cell>
          <cell r="E29" t="str">
            <v>Écrous de roue antivols - Chromés</v>
          </cell>
          <cell r="F29" t="str">
            <v>A great way to help ensure that your wheels stay on your truck where they belong</v>
          </cell>
          <cell r="G29" t="str">
            <v>La meilleure façon de s’assurer que les jantes de votre Prologue restent où elles sont.</v>
          </cell>
          <cell r="H29">
            <v>0.2</v>
          </cell>
          <cell r="J29">
            <v>164</v>
          </cell>
          <cell r="K29">
            <v>273</v>
          </cell>
          <cell r="L29">
            <v>306</v>
          </cell>
          <cell r="N29" t="str">
            <v>•</v>
          </cell>
          <cell r="O29" t="str">
            <v>•</v>
          </cell>
          <cell r="Q29" t="str">
            <v>•</v>
          </cell>
          <cell r="W29">
            <v>11</v>
          </cell>
          <cell r="AM29" t="str">
            <v>•</v>
          </cell>
          <cell r="AS29" t="str">
            <v xml:space="preserve">
85039001 Wheel Locks Black</v>
          </cell>
        </row>
        <row r="30">
          <cell r="B30">
            <v>85039001</v>
          </cell>
          <cell r="C30">
            <v>85039001</v>
          </cell>
          <cell r="D30" t="str">
            <v>Wheel Locks Black</v>
          </cell>
          <cell r="E30" t="str">
            <v>Écrous de roue antivols - Noirs</v>
          </cell>
          <cell r="F30" t="str">
            <v>A great way to help ensure that your wheels stay on your truck where they belong.</v>
          </cell>
          <cell r="G30" t="str">
            <v>La meilleure façon de s’assurer que les jantes de votre Prologue restent où elles sont.</v>
          </cell>
          <cell r="H30">
            <v>0.2</v>
          </cell>
          <cell r="J30">
            <v>222</v>
          </cell>
          <cell r="K30">
            <v>370</v>
          </cell>
          <cell r="L30">
            <v>403</v>
          </cell>
          <cell r="N30" t="str">
            <v>•</v>
          </cell>
          <cell r="O30" t="str">
            <v>•</v>
          </cell>
          <cell r="Q30" t="str">
            <v>•</v>
          </cell>
          <cell r="W30">
            <v>10</v>
          </cell>
          <cell r="AM30" t="str">
            <v>•</v>
          </cell>
          <cell r="AS30" t="str">
            <v>85548789 Wheel Locks Chrome</v>
          </cell>
        </row>
        <row r="31">
          <cell r="B31">
            <v>85105297</v>
          </cell>
          <cell r="C31">
            <v>85105297</v>
          </cell>
          <cell r="D31" t="str">
            <v>Wheel Lug Nuts, Black</v>
          </cell>
          <cell r="E31" t="str">
            <v>Écrous de roue – Noirs</v>
          </cell>
          <cell r="F31" t="str">
            <v>Create a different look with a set of black lug nuts. Each package has a quantity of 24 lugs</v>
          </cell>
          <cell r="G31" t="str">
            <v>Créez un aspect différent grâce à cet ensemble d’écrous de roue noirs. Chaque ensemble comprend 24 écrous de roue.</v>
          </cell>
          <cell r="H31">
            <v>1.6</v>
          </cell>
          <cell r="J31">
            <v>410</v>
          </cell>
          <cell r="K31">
            <v>683</v>
          </cell>
          <cell r="L31">
            <v>947</v>
          </cell>
          <cell r="N31" t="str">
            <v>•</v>
          </cell>
          <cell r="O31" t="str">
            <v>•</v>
          </cell>
          <cell r="Q31" t="str">
            <v>•</v>
          </cell>
          <cell r="W31">
            <v>9</v>
          </cell>
          <cell r="AI31" t="str">
            <v xml:space="preserve"> </v>
          </cell>
          <cell r="AO31" t="str">
            <v>•</v>
          </cell>
        </row>
        <row r="32">
          <cell r="B32" t="str">
            <v>08F21-PS2-100</v>
          </cell>
          <cell r="C32" t="str">
            <v>08F21-PS2-100</v>
          </cell>
          <cell r="D32" t="str">
            <v>Front Grille</v>
          </cell>
          <cell r="E32" t="str">
            <v>Calandre</v>
          </cell>
          <cell r="F32" t="str">
            <v>The Front Grille is all about attitude and aesthetics, adding an aggressive style to your Prologue.</v>
          </cell>
          <cell r="G32" t="str">
            <v>La calandre met en évidence le côté imposant et esthétique de votre Prologue, lui conférant un style dynamique</v>
          </cell>
          <cell r="H32">
            <v>2</v>
          </cell>
          <cell r="J32">
            <v>273</v>
          </cell>
          <cell r="K32">
            <v>455</v>
          </cell>
          <cell r="L32">
            <v>785</v>
          </cell>
          <cell r="N32" t="str">
            <v>•</v>
          </cell>
          <cell r="O32" t="str">
            <v>•</v>
          </cell>
          <cell r="Q32" t="str">
            <v>•</v>
          </cell>
          <cell r="W32">
            <v>15</v>
          </cell>
          <cell r="AO32" t="str">
            <v>•</v>
          </cell>
        </row>
        <row r="33">
          <cell r="B33" t="str">
            <v>08F23-PS2-110A</v>
          </cell>
          <cell r="C33" t="str">
            <v>08F23-PS2-110A</v>
          </cell>
          <cell r="D33" t="str">
            <v>Front Lower Garnish</v>
          </cell>
          <cell r="E33" t="str">
            <v>Garniture inférieure avant</v>
          </cell>
          <cell r="F33" t="str">
            <v>Intensify the rugged appeal of your Prologue with the solid yet sporty addition of the Front Lower Trim.</v>
          </cell>
          <cell r="G33" t="str">
            <v>Accentuez l’attrait robuste de votre Prologue grâce à l’ajout de la garniture inférieure avant, à la fois solide et sportive.</v>
          </cell>
          <cell r="H33">
            <v>1.8</v>
          </cell>
          <cell r="J33">
            <v>364</v>
          </cell>
          <cell r="K33">
            <v>607</v>
          </cell>
          <cell r="L33">
            <v>904</v>
          </cell>
          <cell r="N33" t="str">
            <v>N/A</v>
          </cell>
          <cell r="O33" t="str">
            <v>•</v>
          </cell>
          <cell r="Q33" t="str">
            <v>•</v>
          </cell>
          <cell r="W33">
            <v>16</v>
          </cell>
          <cell r="AO33" t="str">
            <v>•</v>
          </cell>
        </row>
        <row r="34">
          <cell r="B34" t="str">
            <v>08F57-PS2-100A</v>
          </cell>
          <cell r="C34" t="str">
            <v>08F57-PS2-100A</v>
          </cell>
          <cell r="D34" t="str">
            <v>Door Mid Door Garnish</v>
          </cell>
          <cell r="E34" t="str">
            <v>Garniture centrale de portière</v>
          </cell>
          <cell r="F34" t="str">
            <v>Mid door garnish accentuates the Prologue's styling, but there's more to it than just good looks. It's ideally positioned where the side panel extends out the most, in order to help protect against door dings and scratches.</v>
          </cell>
          <cell r="G34" t="str">
            <v>La garniture centrale de portière accentue le style du Prologue, mais c’est plus qu’une simple question d’apparence. Elle est positionnée idéalement à l’endroit où le panneau latéral se prolonge le plus, contribuant à protéger les portières des bosselures et des égratignures.</v>
          </cell>
          <cell r="H34">
            <v>0.4</v>
          </cell>
          <cell r="J34">
            <v>204</v>
          </cell>
          <cell r="K34">
            <v>340</v>
          </cell>
          <cell r="L34">
            <v>406</v>
          </cell>
          <cell r="N34" t="str">
            <v>•</v>
          </cell>
          <cell r="O34" t="str">
            <v>•</v>
          </cell>
          <cell r="Q34" t="str">
            <v>•</v>
          </cell>
          <cell r="W34">
            <v>17</v>
          </cell>
          <cell r="AO34" t="str">
            <v>•</v>
          </cell>
        </row>
        <row r="35">
          <cell r="B35" t="str">
            <v>08F57-PS2-110</v>
          </cell>
          <cell r="C35" t="str">
            <v>08F57-PS2-110</v>
          </cell>
          <cell r="D35" t="str">
            <v>Door Lower Garnish</v>
          </cell>
          <cell r="E35" t="str">
            <v>Garniture inférieure de portière</v>
          </cell>
          <cell r="F35" t="str">
            <v>Specifically designed to work in combination with Fender Flares, the Lower Door Garnish accentuates the strong, solid appeal of the Prologue while providing additional protection. Made of high-quality material for long-lasting durability.</v>
          </cell>
          <cell r="G35" t="str">
            <v>Conçue spécialement pour être combinée aux élargisseurs d’ailes, la garniture inférieure de portière accentue l’attrait fort et solide du Prologue tout en offrant une protection accrue. Elle est fabriquée d’un matériau haute qualité pour une durabilité prolongée.</v>
          </cell>
          <cell r="H35">
            <v>1.2</v>
          </cell>
          <cell r="J35">
            <v>364</v>
          </cell>
          <cell r="K35">
            <v>607</v>
          </cell>
          <cell r="L35">
            <v>805</v>
          </cell>
          <cell r="N35" t="str">
            <v>•</v>
          </cell>
          <cell r="O35" t="str">
            <v>•</v>
          </cell>
          <cell r="Q35" t="str">
            <v>•</v>
          </cell>
          <cell r="W35">
            <v>18</v>
          </cell>
          <cell r="AO35" t="str">
            <v>•</v>
          </cell>
        </row>
        <row r="36">
          <cell r="B36" t="str">
            <v>08F24-PS2-110</v>
          </cell>
          <cell r="C36" t="str">
            <v>08F24-PS2-110</v>
          </cell>
          <cell r="D36" t="str">
            <v>Rear Lower Garnish</v>
          </cell>
          <cell r="E36" t="str">
            <v>Garniture inférieure arrière</v>
          </cell>
          <cell r="F36" t="str">
            <v>Enhance the appearance of your Prologue with the sporty addition with the Rear Lower Trim</v>
          </cell>
          <cell r="G36" t="str">
            <v>Rehaussez l'apparence de votre Prologue grâce à la garniture inférieure arrière qui lui confère une allure sportive.</v>
          </cell>
          <cell r="H36">
            <v>1.5</v>
          </cell>
          <cell r="J36">
            <v>228</v>
          </cell>
          <cell r="K36">
            <v>380</v>
          </cell>
          <cell r="L36">
            <v>627.5</v>
          </cell>
          <cell r="N36" t="str">
            <v>•</v>
          </cell>
          <cell r="O36" t="str">
            <v>•</v>
          </cell>
          <cell r="Q36" t="str">
            <v>•</v>
          </cell>
          <cell r="W36">
            <v>19</v>
          </cell>
          <cell r="AO36" t="str">
            <v>•</v>
          </cell>
        </row>
        <row r="37">
          <cell r="B37" t="str">
            <v>08P21-PS2-100</v>
          </cell>
          <cell r="C37" t="str">
            <v>08P21-PS2-100</v>
          </cell>
          <cell r="D37" t="str">
            <v>Fender Flares</v>
          </cell>
          <cell r="E37" t="str">
            <v>Élargisseurs d’ailes</v>
          </cell>
          <cell r="F37" t="str">
            <v>For those who are going for an extra-rugged look, Fender Flares add muscle-flexing detail to your Prologue. Made of durable polypropylene material for long life. Replaces Front and Rear Splash Guards.</v>
          </cell>
          <cell r="G37" t="str">
            <v>Pour ceux qui recherchent une allure extrarobuste, les élargisseurs d’ailes ajoutent du muscle à votre Prologue. Ils sont fabriqués en polypropylène durable pour une longue durée de vie. Ils remplacent les garde-boue avant et arrière.</v>
          </cell>
          <cell r="H37">
            <v>1.2</v>
          </cell>
          <cell r="J37">
            <v>590</v>
          </cell>
          <cell r="K37">
            <v>983</v>
          </cell>
          <cell r="L37">
            <v>1181</v>
          </cell>
          <cell r="N37" t="str">
            <v>N/A</v>
          </cell>
          <cell r="O37" t="str">
            <v>•</v>
          </cell>
          <cell r="Q37" t="str">
            <v>•</v>
          </cell>
          <cell r="U37" t="str">
            <v>Replaces Splash Guards</v>
          </cell>
          <cell r="V37" t="str">
            <v>Remplacent les garde-boue avant et arrière.</v>
          </cell>
          <cell r="W37">
            <v>12</v>
          </cell>
          <cell r="AM37" t="str">
            <v>•</v>
          </cell>
        </row>
        <row r="38">
          <cell r="B38" t="str">
            <v>08R04-PS2-100</v>
          </cell>
          <cell r="C38" t="str">
            <v>08R04-PS2-100</v>
          </cell>
          <cell r="D38" t="str">
            <v>Door Visor</v>
          </cell>
          <cell r="E38" t="str">
            <v>Déflecteur de portière</v>
          </cell>
          <cell r="F38" t="str">
            <v>This tinted Door Visor Kit help to protect you and your passengers from sun glare and minimizes outside noise when the windows are partially open.</v>
          </cell>
          <cell r="G38" t="str">
            <v>Cet ensemble de déflecteur de portière teinté aide à réduire les reflets du soleil ainsi que le bruit provenant de l'extérieur quand les glaces sont partiellement ouvertes.</v>
          </cell>
          <cell r="H38">
            <v>0.6</v>
          </cell>
          <cell r="J38">
            <v>196</v>
          </cell>
          <cell r="K38">
            <v>327</v>
          </cell>
          <cell r="L38">
            <v>426</v>
          </cell>
          <cell r="N38" t="str">
            <v>•</v>
          </cell>
          <cell r="O38" t="str">
            <v>•</v>
          </cell>
          <cell r="Q38" t="str">
            <v>•</v>
          </cell>
          <cell r="W38">
            <v>13</v>
          </cell>
          <cell r="AM38" t="str">
            <v>•</v>
          </cell>
        </row>
        <row r="39">
          <cell r="B39" t="str">
            <v>PROEMBLEM</v>
          </cell>
          <cell r="C39" t="str">
            <v>N/A App Chart only</v>
          </cell>
          <cell r="D39" t="str">
            <v>Emblems</v>
          </cell>
          <cell r="E39" t="str">
            <v>Emblèmes</v>
          </cell>
        </row>
        <row r="40">
          <cell r="B40" t="str">
            <v>08F20-PS2-100</v>
          </cell>
          <cell r="C40" t="str">
            <v>08F20-PS2-100</v>
          </cell>
          <cell r="D40" t="str">
            <v>Black Emblems - Honda Logo Front/Rear &amp; Prologue</v>
          </cell>
          <cell r="E40" t="str">
            <v>Emblème noirs lustrés - Honda avant/arriere et Prologue</v>
          </cell>
          <cell r="F40" t="str">
            <v>If attention to detail is important to you, then you’re sure to love the look of the Gloss Black Honda Emblems. This bold feature not only completes the unique exterior style of your Prologue, but also accentuates it. Stylish appearance created by molded logo.</v>
          </cell>
          <cell r="G40" t="str">
            <v>Si l'attention aux détails est importante pour vous, alors vous aimerez certainement l'allure des emblèmes Honda noirs lustrés. Cette caractéristique audacieuse complète non seulement le style extérieur unique de votre Prologue, elle le met également en évidence. Le logo moulé confère une allure élégante au véhicule.</v>
          </cell>
          <cell r="H40">
            <v>0.7</v>
          </cell>
          <cell r="J40">
            <v>97</v>
          </cell>
          <cell r="K40">
            <v>162</v>
          </cell>
          <cell r="L40">
            <v>277.5</v>
          </cell>
          <cell r="N40" t="str">
            <v>•</v>
          </cell>
          <cell r="O40" t="str">
            <v>•</v>
          </cell>
          <cell r="Q40" t="str">
            <v>•</v>
          </cell>
          <cell r="W40">
            <v>20</v>
          </cell>
          <cell r="AO40" t="str">
            <v>•</v>
          </cell>
          <cell r="AS40" t="str">
            <v>24PRO-EMB1	Black Emblem Set
24PRO-EMB2	Black Emblem Set</v>
          </cell>
        </row>
        <row r="41">
          <cell r="B41" t="str">
            <v>08F20-PS2-100A</v>
          </cell>
          <cell r="C41" t="str">
            <v>08F20-PS2-100A</v>
          </cell>
          <cell r="D41" t="str">
            <v>Black Emblems Touring</v>
          </cell>
          <cell r="E41" t="str">
            <v>Emblème noir - Touring</v>
          </cell>
          <cell r="F41" t="str">
            <v>If attention to detail is important to you, then you’re sure to love the look of the "Touring" Gloss Black Emblem. This bold feature not only completes the unique exterior style of your Prologue, but also accentuates it. Stylish appearance created by molded logo.</v>
          </cell>
          <cell r="G41" t="str">
            <v>Si l'attention aux détails est importante pour vous, alors vous aimerez certainement l'allure de l'emblème « Touring » noir lustré. Cette caractéristique audacieuse complète non seulement le style extérieur unique de votre Prologue, elle le met également en évidence. Le logo moulé confère une allure élégante au véhicule.</v>
          </cell>
          <cell r="H41">
            <v>0.1</v>
          </cell>
          <cell r="J41">
            <v>47</v>
          </cell>
          <cell r="K41">
            <v>78</v>
          </cell>
          <cell r="L41">
            <v>94.5</v>
          </cell>
          <cell r="N41" t="str">
            <v>N/A</v>
          </cell>
          <cell r="O41" t="str">
            <v>N/A</v>
          </cell>
          <cell r="Q41" t="str">
            <v>•</v>
          </cell>
          <cell r="W41">
            <v>21</v>
          </cell>
          <cell r="AO41" t="str">
            <v>•</v>
          </cell>
          <cell r="AS41" t="str">
            <v>24PRO-EMB2	Black Emblem Set</v>
          </cell>
        </row>
        <row r="42">
          <cell r="B42" t="str">
            <v>08F20-PS2-100C</v>
          </cell>
          <cell r="C42" t="str">
            <v>08F20-PS2-100C</v>
          </cell>
          <cell r="D42" t="str">
            <v>Black Emblems AWD</v>
          </cell>
          <cell r="E42" t="str">
            <v>Emblème noir - AWD</v>
          </cell>
          <cell r="F42" t="str">
            <v>If attention to detail is important to you, then you’re sure to love the look of the "AWD" Gloss Black Emblem. This bold feature not only completes the unique exterior style of your Prologue, but also accentuates it. Stylish appearance created by molded logo.</v>
          </cell>
          <cell r="G42" t="str">
            <v>Si l'attention aux détails est importante pour vous, alors vous aimerez certainement l'allure de l'emblème « AWD » noir lustré. Cette caractéristique audacieuse complète non seulement le style extérieur unique de votre Prologue, elle le met également en évidence. Le logo moulé confère une allure élégante au véhicule.</v>
          </cell>
          <cell r="H42">
            <v>0.1</v>
          </cell>
          <cell r="J42">
            <v>33</v>
          </cell>
          <cell r="K42">
            <v>55</v>
          </cell>
          <cell r="L42">
            <v>71.5</v>
          </cell>
          <cell r="N42" t="str">
            <v>•</v>
          </cell>
          <cell r="O42" t="str">
            <v>•</v>
          </cell>
          <cell r="Q42" t="str">
            <v>•</v>
          </cell>
          <cell r="W42">
            <v>22</v>
          </cell>
          <cell r="AO42" t="str">
            <v>•</v>
          </cell>
          <cell r="AS42" t="str">
            <v>24PRO-EMB1	Black Emblem Set
24PRO-EMB2	Black Emblem Set</v>
          </cell>
        </row>
        <row r="43">
          <cell r="B43" t="str">
            <v>08F20-PS2-100D</v>
          </cell>
          <cell r="C43" t="str">
            <v>08F20-PS2-100D</v>
          </cell>
          <cell r="D43" t="str">
            <v>Black Emblems "e:"</v>
          </cell>
          <cell r="E43" t="str">
            <v>Emblèmes noirs « e: »</v>
          </cell>
          <cell r="F43" t="str">
            <v>If attention to detail is important to you, then you’re sure to love the look of the "e:" Gloss Black Emblems. This bold feature not only completes the unique exterior style of your Prologue, but also accentuates it. Stylish appearance created by molded logo.</v>
          </cell>
          <cell r="G43" t="str">
            <v>Si l'attention aux détails est importante pour vous, alors vous aimerez certainement l'allure des emblèmes « e: » noirs lustrés. Cette caractéristique audacieuse complète non seulement le style extérieur unique de votre Prologue, elle le met également en évidence. Le logo moulé confère une allure élégante au véhicule.</v>
          </cell>
          <cell r="H43">
            <v>0.1</v>
          </cell>
          <cell r="J43">
            <v>33</v>
          </cell>
          <cell r="K43">
            <v>55</v>
          </cell>
          <cell r="L43">
            <v>71.5</v>
          </cell>
          <cell r="N43" t="str">
            <v>•</v>
          </cell>
          <cell r="O43" t="str">
            <v>•</v>
          </cell>
          <cell r="Q43" t="str">
            <v>•</v>
          </cell>
          <cell r="W43">
            <v>23</v>
          </cell>
          <cell r="AO43" t="str">
            <v>•</v>
          </cell>
          <cell r="AS43" t="str">
            <v>24PRO-EMB1	Black Emblem Set
24PRO-EMB2	Black Emblem Set</v>
          </cell>
        </row>
        <row r="44">
          <cell r="B44" t="str">
            <v>08P20-PS2-100</v>
          </cell>
          <cell r="C44" t="str">
            <v>08P20-PS2-100</v>
          </cell>
          <cell r="D44" t="str">
            <v>Door Edge Film</v>
          </cell>
          <cell r="E44" t="str">
            <v>Pellicule pour rebord de portière</v>
          </cell>
          <cell r="F44" t="str">
            <v>Transparent, urethane film in the well of the door handle helps safeguard the paint finish from unsightly scratches from nails, jewelry, and keys.</v>
          </cell>
          <cell r="G44" t="str">
            <v>La pellicule transparente en uréthane dans le puits de la poignée de portière aide à protéger la peinture des rayures disgracieuses causées par les ongles, les bijoux et les clés.</v>
          </cell>
          <cell r="H44">
            <v>0.4</v>
          </cell>
          <cell r="J44">
            <v>55</v>
          </cell>
          <cell r="K44">
            <v>92</v>
          </cell>
          <cell r="L44">
            <v>158</v>
          </cell>
          <cell r="N44" t="str">
            <v>•</v>
          </cell>
          <cell r="O44" t="str">
            <v>•</v>
          </cell>
          <cell r="Q44" t="str">
            <v>•</v>
          </cell>
          <cell r="U44" t="str">
            <v>Cannot be installed with Door Edge Guard</v>
          </cell>
          <cell r="V44" t="str">
            <v>Ne peut être installé simultanément avec Protecteurs de rebords de portières</v>
          </cell>
          <cell r="W44">
            <v>39</v>
          </cell>
          <cell r="AK44" t="str">
            <v>•</v>
          </cell>
        </row>
        <row r="45">
          <cell r="B45" t="str">
            <v>08P48-PS2-100</v>
          </cell>
          <cell r="C45" t="str">
            <v>08P48-PS2-100</v>
          </cell>
          <cell r="D45" t="str">
            <v>Door Handle Protection Film</v>
          </cell>
          <cell r="E45" t="str">
            <v>Pellicules protectrices de poignée de portière</v>
          </cell>
          <cell r="F45" t="str">
            <v>Transparent, urethane film in the well of the door handle helps safeguard the paint finish from unsightly scratches from nails, jewelry, and keys.</v>
          </cell>
          <cell r="G45" t="str">
            <v>La pellicule transparente en uréthane dans le puits de la poignée de portière aide à protéger la peinture des rayures disgracieuses causées par les ongles, les bijoux et les clés.</v>
          </cell>
          <cell r="H45">
            <v>0.4</v>
          </cell>
          <cell r="J45">
            <v>47</v>
          </cell>
          <cell r="K45">
            <v>78</v>
          </cell>
          <cell r="L45">
            <v>144</v>
          </cell>
          <cell r="N45" t="str">
            <v>•</v>
          </cell>
          <cell r="O45" t="str">
            <v>•</v>
          </cell>
          <cell r="Q45" t="str">
            <v>•</v>
          </cell>
          <cell r="W45">
            <v>40</v>
          </cell>
          <cell r="AK45" t="str">
            <v>•</v>
          </cell>
        </row>
        <row r="46">
          <cell r="B46" t="str">
            <v>08P48-PS2-100A</v>
          </cell>
          <cell r="C46" t="str">
            <v>08P48-PS2-100A</v>
          </cell>
          <cell r="D46" t="str">
            <v>Rear Bumper Protection Film</v>
          </cell>
          <cell r="E46" t="str">
            <v>Pellicule de protection de pare-chocs arrière</v>
          </cell>
          <cell r="F46" t="str">
            <v>Save yourself the disappointment of a scratched bumper with the Rear Bumper Protection FIlm. It provides extra protection when loading and unloading the cargo area.</v>
          </cell>
          <cell r="G46" t="str">
            <v>Évitez la déception provoquée par un pare-chocs égratigné, grâce à cette pellicule de protection de pare-chocs arrière. Cet accessoire offre une protection accrue lors du chargement et du déchargement du compartiment utilitaire.</v>
          </cell>
          <cell r="H46">
            <v>0.2</v>
          </cell>
          <cell r="J46">
            <v>84</v>
          </cell>
          <cell r="K46">
            <v>140</v>
          </cell>
          <cell r="L46">
            <v>173</v>
          </cell>
          <cell r="N46" t="str">
            <v>•</v>
          </cell>
          <cell r="O46" t="str">
            <v>•</v>
          </cell>
          <cell r="Q46" t="str">
            <v>•</v>
          </cell>
          <cell r="W46">
            <v>41</v>
          </cell>
          <cell r="AK46" t="str">
            <v>•</v>
          </cell>
        </row>
        <row r="47">
          <cell r="B47" t="str">
            <v>08Z04-SCV-110B</v>
          </cell>
          <cell r="C47" t="str">
            <v>08Z04-SCV-110B</v>
          </cell>
          <cell r="D47" t="str">
            <v>Hatch Tent</v>
          </cell>
          <cell r="E47" t="str">
            <v>Tente</v>
          </cell>
          <cell r="F47" t="str">
            <v>You never need reservations when you bring your very own camping system along with you. 10 ft by 10 ft, sleeps 6 people. Rainfly is 6 ft by 6 ft, extends usable area and provides added protection for the entire roof. Full access to vehicle while inside the tent. Great for tailgating or as a shaded environment for outdoor gatherings.</v>
          </cell>
          <cell r="G47" t="str">
            <v>Vous n’avez jamais besoin de réservation lorsque vous apportez votre propre système de camping de 10 pieds sur 10 pieds, pouvant accommoder 6 personnes. Le double toit de 6 pieds sur 6 pieds augmente la surface utilisable et protège le toit au complet. Accès à tout le véhicule de l’intérieur de la tente. Excellent pour les fêtes d’avant partie et comme abri lors de rassemblements extérieurs.</v>
          </cell>
          <cell r="H47">
            <v>0</v>
          </cell>
          <cell r="J47">
            <v>477</v>
          </cell>
          <cell r="K47">
            <v>681</v>
          </cell>
          <cell r="L47">
            <v>681</v>
          </cell>
          <cell r="N47" t="str">
            <v>•</v>
          </cell>
          <cell r="O47" t="str">
            <v>•</v>
          </cell>
          <cell r="Q47" t="str">
            <v>•</v>
          </cell>
          <cell r="W47">
            <v>46</v>
          </cell>
          <cell r="AM47" t="str">
            <v>•</v>
          </cell>
        </row>
        <row r="48">
          <cell r="B48">
            <v>84933501</v>
          </cell>
          <cell r="C48" t="str">
            <v>08L92-PS2-100</v>
          </cell>
          <cell r="D48" t="str">
            <v>Trailer Hitch with Harness</v>
          </cell>
          <cell r="E48" t="str">
            <v>Attelage de remorque avec faisceau</v>
          </cell>
          <cell r="F48" t="str">
            <v>Haul your trailer or haul your recreational toys. Rating: Class III. Receiver Opening: 2-in x 2-in. Rear Lower Garnish with Hitch, Hitch Ball, Ball Mount, and Locking Pin are sold separately. (Requires Rear Lower Garnish with Hitch)</v>
          </cell>
          <cell r="G48" t="str">
            <v>Tirez votre remorque ou transportez vos produits à usage récréatif. Classification : Catégorie III. Ouverture du récepteur : 2 po x 2 po. Capuchon d'attelage de remorque, rotule d’attelage, monture de rotule et goupille de verrouillage vendus séparément. (Capuchon d’attelage de remorque requis)</v>
          </cell>
          <cell r="H48">
            <v>0.8</v>
          </cell>
          <cell r="J48">
            <v>1060</v>
          </cell>
          <cell r="K48">
            <v>1765</v>
          </cell>
          <cell r="L48">
            <v>1897</v>
          </cell>
          <cell r="N48" t="str">
            <v>•</v>
          </cell>
          <cell r="O48" t="str">
            <v>•</v>
          </cell>
          <cell r="Q48" t="str">
            <v>•</v>
          </cell>
          <cell r="W48">
            <v>24</v>
          </cell>
          <cell r="AM48" t="str">
            <v>•</v>
          </cell>
          <cell r="AS48" t="str">
            <v>Towing Package 1   24PRO-TOWSA1
Towing Package 2   24PRO-TOWSA2</v>
          </cell>
        </row>
        <row r="49">
          <cell r="B49" t="str">
            <v>08F24-PS2-310A</v>
          </cell>
          <cell r="C49" t="str">
            <v>08F24-PS2-310A</v>
          </cell>
          <cell r="D49" t="str">
            <v>Rear Lower Garnish for Hitch</v>
          </cell>
          <cell r="E49" t="str">
            <v>Capuchon d’attelage de remorque</v>
          </cell>
          <cell r="F49" t="str">
            <v>Required for Trailer Hitch installation.</v>
          </cell>
          <cell r="G49" t="str">
            <v>Requis pour l’installation d’un attelage de remorque.</v>
          </cell>
          <cell r="H49">
            <v>1.5</v>
          </cell>
          <cell r="J49">
            <v>115</v>
          </cell>
          <cell r="K49">
            <v>190</v>
          </cell>
          <cell r="L49">
            <v>437.5</v>
          </cell>
          <cell r="N49" t="str">
            <v>•</v>
          </cell>
          <cell r="O49" t="str">
            <v>•</v>
          </cell>
          <cell r="Q49" t="str">
            <v>•</v>
          </cell>
          <cell r="U49" t="str">
            <v xml:space="preserve">Does not come with trailer hitch receiver cover. </v>
          </cell>
          <cell r="V49" t="str">
            <v>Capuchon de récepteur d’attelage de remorque non inclus.</v>
          </cell>
          <cell r="W49">
            <v>25</v>
          </cell>
          <cell r="AM49" t="str">
            <v>•</v>
          </cell>
          <cell r="AR49" t="str">
            <v>Trailer Hitch with Harness 08F24-PS2-310A</v>
          </cell>
          <cell r="AS49" t="str">
            <v>Towing Package 1   24PRO-TOWSA1
Towing Package 2   24PRO-TOWSA2</v>
          </cell>
        </row>
        <row r="50">
          <cell r="B50" t="str">
            <v>08L92-PS2-100A</v>
          </cell>
          <cell r="C50" t="str">
            <v>08L92-PS2-100A</v>
          </cell>
          <cell r="D50" t="str">
            <v>Trailer Hitch Ball Mount</v>
          </cell>
          <cell r="E50" t="str">
            <v>Monture de rotule d'attelage de remorque</v>
          </cell>
          <cell r="F50" t="str">
            <v>Trailer Hitch Ball Mount</v>
          </cell>
          <cell r="G50" t="str">
            <v>Monture de rotule d'attelage de remorque</v>
          </cell>
          <cell r="H50">
            <v>0</v>
          </cell>
          <cell r="J50">
            <v>55</v>
          </cell>
          <cell r="K50">
            <v>92</v>
          </cell>
          <cell r="L50">
            <v>92</v>
          </cell>
          <cell r="N50" t="str">
            <v>•</v>
          </cell>
          <cell r="O50" t="str">
            <v>•</v>
          </cell>
          <cell r="Q50" t="str">
            <v>•</v>
          </cell>
          <cell r="W50">
            <v>26</v>
          </cell>
          <cell r="AM50" t="str">
            <v>•</v>
          </cell>
          <cell r="AR50" t="str">
            <v>Trailer Hitch with Harness 08F24-PS2-310A
Rear Lower Garnish with Hitch  08F24-PS2-310A</v>
          </cell>
          <cell r="AS50" t="str">
            <v>Towing Package 1   24PRO-TOWSA1
Towing Package 2   24PRO-TOWSA2</v>
          </cell>
        </row>
        <row r="51">
          <cell r="B51" t="str">
            <v>08L92-SJC-300A</v>
          </cell>
          <cell r="C51" t="str">
            <v>08L92-SJC-300A</v>
          </cell>
          <cell r="D51" t="str">
            <v>Trailer Hitch Locking Pin</v>
          </cell>
          <cell r="E51" t="str">
            <v>Goupille de verrouillage d’attelage de remorque</v>
          </cell>
          <cell r="F51" t="str">
            <v>Trailer Hitch Locking Pin - for added security</v>
          </cell>
          <cell r="G51" t="str">
            <v>Goupille de verrouillage d’attelage de remorque pour plus de sécurité.</v>
          </cell>
          <cell r="H51">
            <v>0</v>
          </cell>
          <cell r="J51">
            <v>106</v>
          </cell>
          <cell r="K51">
            <v>163</v>
          </cell>
          <cell r="L51">
            <v>163</v>
          </cell>
          <cell r="N51" t="str">
            <v>•</v>
          </cell>
          <cell r="O51" t="str">
            <v>•</v>
          </cell>
          <cell r="Q51" t="str">
            <v>•</v>
          </cell>
          <cell r="W51">
            <v>27</v>
          </cell>
          <cell r="AM51" t="str">
            <v>•</v>
          </cell>
          <cell r="AR51" t="str">
            <v>Trailer Hitch with Harness 08F24-PS2-310A
Rear Lower Garnish with Hitch  08F24-PS2-310A
Trailer Hitch Ball Mount 08L92-SJC-300A</v>
          </cell>
          <cell r="AS51" t="str">
            <v>Towing Package 1   24PRO-TOWSA1
Towing Package 2   24PRO-TOWSA2</v>
          </cell>
        </row>
        <row r="52">
          <cell r="B52" t="str">
            <v>08L92-S9V-300G</v>
          </cell>
          <cell r="C52" t="str">
            <v>08L92-S9V-300G</v>
          </cell>
          <cell r="D52" t="str">
            <v>Trailer Hitch Ball - 1-7/8"</v>
          </cell>
          <cell r="E52" t="str">
            <v>Rotule d'attelage de 1 7/8 po</v>
          </cell>
          <cell r="F52" t="str">
            <v>Trailer Hitch Ball - 1-7/8"</v>
          </cell>
          <cell r="G52" t="str">
            <v>Rotule d'attelage de 1 7/8 po</v>
          </cell>
          <cell r="H52">
            <v>0</v>
          </cell>
          <cell r="J52">
            <v>28</v>
          </cell>
          <cell r="K52">
            <v>47</v>
          </cell>
          <cell r="L52">
            <v>47</v>
          </cell>
          <cell r="N52" t="str">
            <v>•</v>
          </cell>
          <cell r="O52" t="str">
            <v>•</v>
          </cell>
          <cell r="Q52" t="str">
            <v>•</v>
          </cell>
          <cell r="W52">
            <v>28</v>
          </cell>
          <cell r="AM52" t="str">
            <v>•</v>
          </cell>
          <cell r="AR52" t="str">
            <v>Trailer Hitch with Harness 08F24-PS2-310A
Rear Lower Garnish with Hitch  08F24-PS2-310A
Trailer Hitch Ball Mount 08L92-SJC-300A</v>
          </cell>
          <cell r="AS52" t="str">
            <v>Towing Package 1   24PRO-TOWSA1
Towing Package 2   24PRO-TOWSA2</v>
          </cell>
        </row>
        <row r="53">
          <cell r="B53" t="str">
            <v>08L92-S9V-300H</v>
          </cell>
          <cell r="C53" t="str">
            <v>08L92-S9V-300H</v>
          </cell>
          <cell r="D53" t="str">
            <v>Trailer Hitch Ball - 2"</v>
          </cell>
          <cell r="E53" t="str">
            <v>Rotule d'attelage de 2 po</v>
          </cell>
          <cell r="F53" t="str">
            <v>Trailer Hitch Ball - 2"</v>
          </cell>
          <cell r="G53" t="str">
            <v>Rotule d'attelage de 2 po</v>
          </cell>
          <cell r="H53">
            <v>0</v>
          </cell>
          <cell r="J53">
            <v>28</v>
          </cell>
          <cell r="K53">
            <v>47</v>
          </cell>
          <cell r="L53">
            <v>47</v>
          </cell>
          <cell r="N53" t="str">
            <v>•</v>
          </cell>
          <cell r="O53" t="str">
            <v>•</v>
          </cell>
          <cell r="Q53" t="str">
            <v>•</v>
          </cell>
          <cell r="W53">
            <v>29</v>
          </cell>
          <cell r="AM53" t="str">
            <v>•</v>
          </cell>
          <cell r="AR53" t="str">
            <v>Trailer Hitch with Harness 08F24-PS2-310A
Rear Lower Garnish with Hitch  08F24-PS2-310A
Trailer Hitch Ball Mount 08L92-SJC-300A</v>
          </cell>
          <cell r="AS53" t="str">
            <v>Towing Package 1   24PRO-TOWSA1
Towing Package 2   24PRO-TOWSA2</v>
          </cell>
        </row>
        <row r="54">
          <cell r="B54" t="str">
            <v>08L04-PS2-300</v>
          </cell>
          <cell r="C54" t="str">
            <v>08L04-PS2-300</v>
          </cell>
          <cell r="D54" t="str">
            <v>Crossbars</v>
          </cell>
          <cell r="E54" t="str">
            <v>Barres transversales</v>
          </cell>
          <cell r="F54" t="str">
            <v>With the Crossbars, you can securely haul items on your Prologue. You’ll help prevent damage to your vehicle’s interior, while permitting more comfort to those seated inside.</v>
          </cell>
          <cell r="G54" t="str">
            <v>Grâce aux barres transversales, vous pouvez transporter des objets en toute sécurité sur votre Prologue. Vous éviterez ainsi des dommages à l’intérieur de votre véhicule, tout en offrant plus de confort aux passagers à l’intérieur.</v>
          </cell>
          <cell r="H54">
            <v>0.3</v>
          </cell>
          <cell r="J54">
            <v>509</v>
          </cell>
          <cell r="K54">
            <v>848</v>
          </cell>
          <cell r="L54">
            <v>897.5</v>
          </cell>
          <cell r="N54" t="str">
            <v>N/A</v>
          </cell>
          <cell r="O54" t="str">
            <v>•</v>
          </cell>
          <cell r="Q54" t="str">
            <v>•</v>
          </cell>
          <cell r="W54">
            <v>30</v>
          </cell>
          <cell r="AM54" t="str">
            <v>•</v>
          </cell>
        </row>
        <row r="55">
          <cell r="B55" t="str">
            <v>08LXX-E09-XXXX</v>
          </cell>
          <cell r="C55" t="str">
            <v>N/A App Chart reference</v>
          </cell>
          <cell r="D55" t="str">
            <v xml:space="preserve">Roof Attachments </v>
          </cell>
          <cell r="E55" t="str">
            <v>Accessoires de toit</v>
          </cell>
        </row>
        <row r="56">
          <cell r="B56" t="str">
            <v>08L03-E09-300C</v>
          </cell>
          <cell r="C56" t="str">
            <v>08L03-E09-300C</v>
          </cell>
          <cell r="D56" t="str">
            <v>Roof Ski/Snowboard Attachment</v>
          </cell>
          <cell r="E56" t="str">
            <v>Galerie de toit, Fixation pour skis/planche à neige</v>
          </cell>
          <cell r="F56" t="str">
            <v>The handy Ski Attachment keeps your skis and snowboards outside so your interior stays clean and dry.  Requires Roof Rails and Crossbars.</v>
          </cell>
          <cell r="G56" t="str">
            <v>La fixation pratique pour skis permet de transporter ceux-ci à l’extérieur du véhicule, pour que l’habitacle demeure propre et sec. Nécessite des rails de toit et des barres transversales.</v>
          </cell>
          <cell r="H56">
            <v>0.2</v>
          </cell>
          <cell r="J56">
            <v>415</v>
          </cell>
          <cell r="K56">
            <v>692</v>
          </cell>
          <cell r="L56">
            <v>725</v>
          </cell>
          <cell r="N56" t="str">
            <v>N/A</v>
          </cell>
          <cell r="O56" t="str">
            <v>•</v>
          </cell>
          <cell r="Q56" t="str">
            <v>•</v>
          </cell>
          <cell r="U56" t="str">
            <v>Requires Crossbars.</v>
          </cell>
          <cell r="V56" t="str">
            <v>Nécessite des Barres transversales</v>
          </cell>
          <cell r="W56">
            <v>32</v>
          </cell>
          <cell r="AM56" t="str">
            <v>•</v>
          </cell>
          <cell r="AR56" t="str">
            <v>Crossbars 08L04-PS2-300</v>
          </cell>
        </row>
        <row r="57">
          <cell r="B57" t="str">
            <v>08L07-E09-101</v>
          </cell>
          <cell r="C57" t="str">
            <v>08L07-E09-101</v>
          </cell>
          <cell r="D57" t="str">
            <v>Roof Bicycle Attachment - Frame mount</v>
          </cell>
          <cell r="E57" t="str">
            <v>Support à vélo vertical pour porte-bagages de toit</v>
          </cell>
          <cell r="F57" t="str">
            <v>This Roof Bike Attachment lets you securely transport your bicycle and keep it safely out of the way. (Roof Rails and Cross Bars required, one bicycle per attachment)</v>
          </cell>
          <cell r="G57" t="str">
            <v>Le porte-bicyclette pour le toit vous permet, en toute sécurité, de transporter votre vélo bien à l'abri des autres bagages. (Deux porte-bicyclette représentés. Barres transversales pour galerie de toit et galerie de toit requises.)</v>
          </cell>
          <cell r="H57">
            <v>0.6</v>
          </cell>
          <cell r="J57">
            <v>383</v>
          </cell>
          <cell r="K57">
            <v>547</v>
          </cell>
          <cell r="L57">
            <v>646</v>
          </cell>
          <cell r="N57" t="str">
            <v>N/A</v>
          </cell>
          <cell r="O57" t="str">
            <v>•</v>
          </cell>
          <cell r="Q57" t="str">
            <v>•</v>
          </cell>
          <cell r="U57" t="str">
            <v>Requires Crossbars.</v>
          </cell>
          <cell r="V57" t="str">
            <v>Nécessite des Barres transversales</v>
          </cell>
          <cell r="W57">
            <v>33</v>
          </cell>
          <cell r="AM57" t="str">
            <v>•</v>
          </cell>
          <cell r="AR57" t="str">
            <v>Crossbars 08L04-PS2-300</v>
          </cell>
        </row>
        <row r="58">
          <cell r="B58" t="str">
            <v>08L07-E09-300A</v>
          </cell>
          <cell r="C58" t="str">
            <v>08L07-E09-300A</v>
          </cell>
          <cell r="D58" t="str">
            <v>Bicycle Attachment - Fork Mount</v>
          </cell>
          <cell r="E58" t="str">
            <v>Fixation pour bicyclette – Ancrage de fourche</v>
          </cell>
          <cell r="F58" t="str">
            <v>The Fork Mount Bike Attachment features a same-side adjustment dial that provides fast loading and maximum security for your bike. Two bike attachments can be added to the crossbars. Requires Roof Rails and Crossbars.</v>
          </cell>
          <cell r="G58" t="str">
            <v>La fixation de fourche pour porte-vélo comprend un bouton de réglage permettant un chargement rapide et une sécurité maximale pour votre vélo. Deux porte-vélos peuvent être ajoutés aux traverses de toit. Nécessite les longerons et les barres transversales de toit.</v>
          </cell>
          <cell r="H58">
            <v>0.4</v>
          </cell>
          <cell r="J58">
            <v>292</v>
          </cell>
          <cell r="K58">
            <v>487</v>
          </cell>
          <cell r="L58">
            <v>553</v>
          </cell>
          <cell r="N58" t="str">
            <v>N/A</v>
          </cell>
          <cell r="O58" t="str">
            <v>•</v>
          </cell>
          <cell r="Q58" t="str">
            <v>•</v>
          </cell>
          <cell r="U58" t="str">
            <v>Requires Crossbars.</v>
          </cell>
          <cell r="V58" t="str">
            <v>Nécessite des Barres transversales</v>
          </cell>
          <cell r="W58">
            <v>43</v>
          </cell>
          <cell r="AM58" t="str">
            <v>•</v>
          </cell>
          <cell r="AR58" t="str">
            <v>Crossbars 08L04-PS2-300</v>
          </cell>
        </row>
        <row r="59">
          <cell r="B59" t="str">
            <v>08L20-E09-300B</v>
          </cell>
          <cell r="C59" t="str">
            <v>08L20-E09-300B</v>
          </cell>
          <cell r="D59" t="str">
            <v>Roof Box Short</v>
          </cell>
          <cell r="E59" t="str">
            <v>Boîte de toit courte</v>
          </cell>
          <cell r="F59" t="str">
            <v>You can always use more storage space on a road trip, and the Short Roof Box provides just that. 13 cu. ft. of lockable storage space - length 65in, width 34.5 in, height 16in. 110lbs max load capacity. Dual-side opening for easy access. Requires Roof Rails and Crossbars.</v>
          </cell>
          <cell r="G59" t="str">
            <v>Vous pouvez toujours profiter de plus d'espace pour un voyage et la boîte de toit courte vous offre la solution. Espace de rangement se verrouillant à clé de 13 pi2 - longueur de 65 po, largeur de 34,5 po, hauteur de 16 po. Capacité de charge maximale de 110 lb. Ouverture sur les deux côtés pour faciliter l'accès. Nécessite des rails de toit et des barres transversales.</v>
          </cell>
          <cell r="H59">
            <v>0.2</v>
          </cell>
          <cell r="J59">
            <v>799</v>
          </cell>
          <cell r="K59">
            <v>1332</v>
          </cell>
          <cell r="L59">
            <v>1365</v>
          </cell>
          <cell r="N59" t="str">
            <v>N/A</v>
          </cell>
          <cell r="O59" t="str">
            <v>•</v>
          </cell>
          <cell r="Q59" t="str">
            <v>•</v>
          </cell>
          <cell r="U59" t="str">
            <v>Requires Crossbars.</v>
          </cell>
          <cell r="V59" t="str">
            <v>Nécessite des Barres transversales</v>
          </cell>
          <cell r="W59">
            <v>44</v>
          </cell>
          <cell r="AM59" t="str">
            <v>•</v>
          </cell>
          <cell r="AR59" t="str">
            <v>Crossbars 08L04-PS2-300</v>
          </cell>
        </row>
        <row r="60">
          <cell r="B60" t="str">
            <v>08L20-E09-300A</v>
          </cell>
          <cell r="C60" t="str">
            <v>08L20-E09-300A</v>
          </cell>
          <cell r="D60" t="str">
            <v>Roof Box, Long</v>
          </cell>
          <cell r="E60" t="str">
            <v>Boîte de toit – longue</v>
          </cell>
          <cell r="F60" t="str">
            <v>Keep your golf clubs, snowboards, skis, and other gear protected and out of the elements in the Midsize Roof Box. Impact and UV-resistant. 16 cu.ft. of lockable storage space - length 74 in, width 36 in, height 16.5 in. 110lbs max load capacity. Dual-side opening for easy access. Requires Roof Rails and Crossbars.</v>
          </cell>
          <cell r="G60" t="str">
            <v>Cette boîte de toit aux lignes aérodynamiques est conçue pour garder vos objets précieux au sec et à l'abri des regards indiscrets, lors de vos sorties de plein air. Porte-bagages de toit requis. Longueur : 193 cm, largeur : 84 cm, hauteur : 40 cm (76 po x 33 po x 15,6 po); capacité de charge maximale : 50 kg (110 lb) Nécessite des rails de toit et des barres transversales.</v>
          </cell>
          <cell r="H60">
            <v>0.2</v>
          </cell>
          <cell r="J60">
            <v>875</v>
          </cell>
          <cell r="K60">
            <v>1458</v>
          </cell>
          <cell r="L60">
            <v>1491</v>
          </cell>
          <cell r="N60" t="str">
            <v>N/A</v>
          </cell>
          <cell r="O60" t="str">
            <v>•</v>
          </cell>
          <cell r="Q60" t="str">
            <v>•</v>
          </cell>
          <cell r="U60" t="str">
            <v>Requires Crossbars.</v>
          </cell>
          <cell r="V60" t="str">
            <v>Nécessite des Barres transversales</v>
          </cell>
          <cell r="W60">
            <v>45</v>
          </cell>
          <cell r="AM60" t="str">
            <v>•</v>
          </cell>
          <cell r="AR60" t="str">
            <v>Crossbars 08L04-PS2-300</v>
          </cell>
        </row>
        <row r="61">
          <cell r="B61" t="str">
            <v>08L20-E09-101C</v>
          </cell>
          <cell r="C61" t="str">
            <v>08L20-E09-101C</v>
          </cell>
          <cell r="D61" t="str">
            <v>Roof Basket</v>
          </cell>
          <cell r="E61" t="str">
            <v>Panier de toit</v>
          </cell>
          <cell r="F61" t="str">
            <v>Honda has you covered with a low-profile Roof Basket that’ll hold up to 150 lbs. Its tapered side walls make loading easier and wind fairing directs airflow over your cargo. The Roof Basket is rated up to 150 lbs. However, the combined weight of the Roof Basket and load cannot exceed 154 lbs. Depending on applied model the roof basket requires roof carrier or roof rails and crossbars.</v>
          </cell>
          <cell r="G61" t="str">
            <v>Honda propose un panier de toit à profil bas qui peut contenir jusqu’à 150 lb. Les parois latérales inclinées facilitent le chargement. Le carénage permet le déplacement de l’air au-dessus de votre chargement. Le panier de toit peut contenir jusqu’à 150 lb. Cependant, le poids combiné du panier de toit et de la charge ne doit pas dépasser 154 lb. Selon le modèle sur lequel il est utilisé, le panier de toit requiert un porte-bagages, ou des longerons de toit et des barres transversales.</v>
          </cell>
          <cell r="H61">
            <v>0.4</v>
          </cell>
          <cell r="J61">
            <v>571</v>
          </cell>
          <cell r="K61">
            <v>952</v>
          </cell>
          <cell r="L61">
            <v>1018</v>
          </cell>
          <cell r="N61" t="str">
            <v>N/A</v>
          </cell>
          <cell r="O61" t="str">
            <v>•</v>
          </cell>
          <cell r="Q61" t="str">
            <v>•</v>
          </cell>
          <cell r="U61" t="str">
            <v>Requires Crossbars.</v>
          </cell>
          <cell r="V61" t="str">
            <v>Nécessite des Barres transversales</v>
          </cell>
          <cell r="W61">
            <v>31</v>
          </cell>
          <cell r="AM61" t="str">
            <v>•</v>
          </cell>
          <cell r="AR61" t="str">
            <v>Crossbars 08L04-PS2-300</v>
          </cell>
        </row>
        <row r="62">
          <cell r="B62" t="str">
            <v>08P20-PS2-XXXX</v>
          </cell>
          <cell r="C62" t="str">
            <v>08P20-PS2-120A</v>
          </cell>
          <cell r="D62" t="str">
            <v>Body Side Moulding</v>
          </cell>
          <cell r="E62" t="str">
            <v>Moulure latérale</v>
          </cell>
          <cell r="F62" t="str">
            <v>Body Side Moulding accentuates the styling of the Accord and is ideally positioned where the side panel extends out the most, in order to help protect against door dings and scratches.</v>
          </cell>
          <cell r="G62" t="str">
            <v>Non seulement la moulure latérale accentue le style du Accord, son positionnement est idéal à l’endroit où les panneaux latéraux sont le plus en saillie, contribuant à protéger les portières des bosselures et des égratignures.</v>
          </cell>
          <cell r="H62">
            <v>0.4</v>
          </cell>
          <cell r="J62">
            <v>159</v>
          </cell>
          <cell r="K62">
            <v>265</v>
          </cell>
          <cell r="L62">
            <v>331</v>
          </cell>
          <cell r="N62" t="str">
            <v>•</v>
          </cell>
          <cell r="O62" t="str">
            <v>•</v>
          </cell>
          <cell r="Q62" t="str">
            <v>•</v>
          </cell>
          <cell r="W62">
            <v>14</v>
          </cell>
          <cell r="AM62" t="str">
            <v>•</v>
          </cell>
        </row>
        <row r="63">
          <cell r="B63" t="str">
            <v>08P20-PS2-120A</v>
          </cell>
          <cell r="D63" t="str">
            <v>Snowfall Pearl (140X)</v>
          </cell>
          <cell r="E63" t="str">
            <v>Blanc platine nacré (NH-883P)</v>
          </cell>
          <cell r="H63">
            <v>0.4</v>
          </cell>
          <cell r="J63">
            <v>159</v>
          </cell>
          <cell r="K63">
            <v>265</v>
          </cell>
          <cell r="L63">
            <v>331</v>
          </cell>
          <cell r="N63" t="str">
            <v>•</v>
          </cell>
          <cell r="O63" t="str">
            <v>•</v>
          </cell>
          <cell r="Q63" t="str">
            <v>•</v>
          </cell>
        </row>
        <row r="64">
          <cell r="B64" t="str">
            <v>08P20-PS2-130A</v>
          </cell>
          <cell r="D64" t="str">
            <v>Mercury Silver Metallic (130H)</v>
          </cell>
          <cell r="E64" t="str">
            <v>Refl et solaire argent métallisé (NH-932M)</v>
          </cell>
          <cell r="H64">
            <v>0.4</v>
          </cell>
          <cell r="J64">
            <v>159</v>
          </cell>
          <cell r="K64">
            <v>265</v>
          </cell>
          <cell r="L64">
            <v>331</v>
          </cell>
          <cell r="N64" t="str">
            <v>•</v>
          </cell>
          <cell r="O64" t="str">
            <v>•</v>
          </cell>
          <cell r="Q64" t="str">
            <v>•</v>
          </cell>
        </row>
        <row r="65">
          <cell r="B65" t="str">
            <v>08P20-PS2-140A</v>
          </cell>
          <cell r="D65" t="str">
            <v>Scarlet Red Metallic (170H)</v>
          </cell>
          <cell r="E65" t="str">
            <v>Gris météorite métallisé (NH-904M)</v>
          </cell>
          <cell r="H65">
            <v>0.4</v>
          </cell>
          <cell r="J65">
            <v>159</v>
          </cell>
          <cell r="K65">
            <v>265</v>
          </cell>
          <cell r="L65">
            <v>331</v>
          </cell>
          <cell r="N65" t="str">
            <v>•</v>
          </cell>
          <cell r="O65" t="str">
            <v>•</v>
          </cell>
          <cell r="Q65" t="str">
            <v>•</v>
          </cell>
        </row>
        <row r="66">
          <cell r="B66" t="str">
            <v>08P20-PS2-150A</v>
          </cell>
          <cell r="D66" t="str">
            <v>Pacific Blue Metallic (121J)</v>
          </cell>
          <cell r="E66" t="str">
            <v>Gris urbain nacré  (NH-912P)</v>
          </cell>
          <cell r="H66">
            <v>0.4</v>
          </cell>
          <cell r="J66">
            <v>159</v>
          </cell>
          <cell r="K66">
            <v>265</v>
          </cell>
          <cell r="L66">
            <v>331</v>
          </cell>
          <cell r="N66" t="str">
            <v>N/A</v>
          </cell>
          <cell r="O66" t="str">
            <v>N/A</v>
          </cell>
          <cell r="Q66" t="str">
            <v>•</v>
          </cell>
        </row>
        <row r="67">
          <cell r="B67" t="str">
            <v>08P20-PS2-110A</v>
          </cell>
          <cell r="D67" t="str">
            <v>Raven Black (8555)</v>
          </cell>
          <cell r="E67" t="str">
            <v>Noir cristal nacré  (NH-731P)</v>
          </cell>
          <cell r="H67">
            <v>0.4</v>
          </cell>
          <cell r="J67">
            <v>159</v>
          </cell>
          <cell r="K67">
            <v>265</v>
          </cell>
          <cell r="L67">
            <v>331</v>
          </cell>
          <cell r="N67" t="str">
            <v>•</v>
          </cell>
          <cell r="O67" t="str">
            <v>•</v>
          </cell>
          <cell r="Q67" t="str">
            <v>•</v>
          </cell>
        </row>
        <row r="68">
          <cell r="B68" t="str">
            <v>08P20-PS2-160A</v>
          </cell>
          <cell r="D68" t="str">
            <v>Sonic Gray Pearl (138P)</v>
          </cell>
          <cell r="E68" t="str">
            <v>Radiant rouge métallisé (R-569M)</v>
          </cell>
          <cell r="H68">
            <v>0.4</v>
          </cell>
          <cell r="J68">
            <v>159</v>
          </cell>
          <cell r="K68">
            <v>265</v>
          </cell>
          <cell r="L68">
            <v>331</v>
          </cell>
          <cell r="N68" t="str">
            <v>N/A</v>
          </cell>
          <cell r="O68" t="str">
            <v>N/A</v>
          </cell>
          <cell r="Q68" t="str">
            <v>•</v>
          </cell>
        </row>
        <row r="69">
          <cell r="B69" t="str">
            <v>08P00-PS2-100</v>
          </cell>
          <cell r="C69" t="str">
            <v>N/A APP CHART ONLY</v>
          </cell>
          <cell r="D69" t="str">
            <v>Splash Guards</v>
          </cell>
          <cell r="E69" t="str">
            <v>Garde-boue</v>
          </cell>
          <cell r="H69">
            <v>0.4</v>
          </cell>
          <cell r="J69">
            <v>113</v>
          </cell>
          <cell r="K69">
            <v>187</v>
          </cell>
          <cell r="L69">
            <v>253</v>
          </cell>
          <cell r="N69" t="str">
            <v>•</v>
          </cell>
          <cell r="O69" t="str">
            <v>•</v>
          </cell>
          <cell r="Q69" t="str">
            <v>•</v>
          </cell>
          <cell r="AK69" t="str">
            <v>•</v>
          </cell>
        </row>
        <row r="71">
          <cell r="B71" t="str">
            <v>08P17-PS2-110</v>
          </cell>
          <cell r="C71" t="str">
            <v>08P17-PS2-110</v>
          </cell>
          <cell r="D71" t="str">
            <v>All Season Floor Mats</v>
          </cell>
          <cell r="E71" t="str">
            <v>Tapis toutes saisons</v>
          </cell>
          <cell r="F71" t="str">
            <v>Help protect the cabin floor of your vehicle with custom-fit front and rear mats for maximum carpet protection.</v>
          </cell>
          <cell r="G71" t="str">
            <v>Aidez à protéger le plancher d’habitacle de votre véhicule avec les tapis avant et arrière faits sur mesure pour une protection maximale.</v>
          </cell>
          <cell r="H71">
            <v>0.1</v>
          </cell>
          <cell r="J71">
            <v>215</v>
          </cell>
          <cell r="K71">
            <v>358</v>
          </cell>
          <cell r="L71">
            <v>374.5</v>
          </cell>
          <cell r="N71" t="str">
            <v>•</v>
          </cell>
          <cell r="O71" t="str">
            <v>•</v>
          </cell>
          <cell r="Q71" t="str">
            <v>•</v>
          </cell>
          <cell r="W71">
            <v>34</v>
          </cell>
          <cell r="AM71" t="str">
            <v>•</v>
          </cell>
          <cell r="AS71" t="str">
            <v>Protection Package  24PRO-PRO1
Protection Package Advance  24PRO-PROA</v>
          </cell>
        </row>
        <row r="72">
          <cell r="B72" t="str">
            <v>08U45-PS2-100</v>
          </cell>
          <cell r="C72" t="str">
            <v>08U45-PS2-100</v>
          </cell>
          <cell r="D72" t="str">
            <v>Cargo Tray</v>
          </cell>
          <cell r="E72" t="str">
            <v>Plateau pour compartiment utilitaire</v>
          </cell>
          <cell r="F72" t="str">
            <v>Protect the cargo area carpeting of your Honda with the Cargo Tray.</v>
          </cell>
          <cell r="G72" t="str">
            <v>Protégez le tapis du compartiment utilitaire de votre Honda à l’aide d’un plateau pour compartiment utilitaire.</v>
          </cell>
          <cell r="H72">
            <v>0.1</v>
          </cell>
          <cell r="J72">
            <v>120</v>
          </cell>
          <cell r="K72">
            <v>200</v>
          </cell>
          <cell r="L72">
            <v>216.5</v>
          </cell>
          <cell r="N72" t="str">
            <v>•</v>
          </cell>
          <cell r="O72" t="str">
            <v>•</v>
          </cell>
          <cell r="Q72" t="str">
            <v>•</v>
          </cell>
          <cell r="W72">
            <v>35</v>
          </cell>
          <cell r="AM72" t="str">
            <v>•</v>
          </cell>
          <cell r="AS72" t="str">
            <v>Protection Package  24PRO-PRO1
Protection Package Advance  24PRO-PROA</v>
          </cell>
        </row>
        <row r="73">
          <cell r="B73" t="str">
            <v>08Z07-PS2-310</v>
          </cell>
          <cell r="C73" t="str">
            <v>08Z07-PS2-310</v>
          </cell>
          <cell r="D73" t="str">
            <v>Cargo Cover</v>
          </cell>
          <cell r="E73" t="str">
            <v>Cache-bagages</v>
          </cell>
          <cell r="F73" t="str">
            <v>This cargo cover helps keep your valuables in the cargo area safely out of sight and out of the sun.</v>
          </cell>
          <cell r="G73" t="str">
            <v>Ce cache-bagages aide à garder vos objets précieux à l'abri des regards indiscrets et du soleil.</v>
          </cell>
          <cell r="H73">
            <v>0.1</v>
          </cell>
          <cell r="J73">
            <v>279</v>
          </cell>
          <cell r="K73">
            <v>465</v>
          </cell>
          <cell r="L73">
            <v>481.5</v>
          </cell>
          <cell r="N73" t="str">
            <v>•</v>
          </cell>
          <cell r="O73" t="str">
            <v>•</v>
          </cell>
          <cell r="Q73" t="str">
            <v>•</v>
          </cell>
          <cell r="W73">
            <v>36</v>
          </cell>
          <cell r="AM73" t="str">
            <v>•</v>
          </cell>
          <cell r="AS73" t="str">
            <v>Protection Package Advance  24PRO-PROA</v>
          </cell>
        </row>
        <row r="74">
          <cell r="B74" t="str">
            <v>08P30-PS2-100</v>
          </cell>
          <cell r="C74" t="str">
            <v>08P30-PS2-100</v>
          </cell>
          <cell r="D74" t="str">
            <v>Seat Back Protector</v>
          </cell>
          <cell r="E74" t="str">
            <v>Protecteur de dossier de siège</v>
          </cell>
          <cell r="F74" t="str">
            <v>The Seat Back Protector protects the back of the seat when it's folded down to load longer items. Made of high-quality molded plastic for maximum durability. Cleans easily with mild soap and water. Textured surface helps to prevent items from shifting and sliding.</v>
          </cell>
          <cell r="G74" t="str">
            <v>Les protecteurs de dossier de siège protègent le dossier des sièges lorsqu'ils sont rabattus pour charger des articles plus longs. Faits de plastique moulé de haute qualité offrant une durabilité maximale. Se nettoient facilement à l'aide de savon doux et d'eau. La surface texturée aide à empêcher les articles de bouger et de glisser.</v>
          </cell>
          <cell r="H74">
            <v>0.2</v>
          </cell>
          <cell r="J74">
            <v>124</v>
          </cell>
          <cell r="K74">
            <v>207</v>
          </cell>
          <cell r="L74">
            <v>240</v>
          </cell>
          <cell r="N74" t="str">
            <v>•</v>
          </cell>
          <cell r="O74" t="str">
            <v>•</v>
          </cell>
          <cell r="Q74" t="str">
            <v>•</v>
          </cell>
          <cell r="W74">
            <v>37</v>
          </cell>
          <cell r="AM74" t="str">
            <v>•</v>
          </cell>
          <cell r="AS74" t="str">
            <v>Protection Package Advance  24PRO-PROA</v>
          </cell>
        </row>
        <row r="75">
          <cell r="B75" t="str">
            <v>08P04-PS2-100</v>
          </cell>
          <cell r="C75" t="str">
            <v>08P04-PS2-100</v>
          </cell>
          <cell r="D75" t="str">
            <v>Door Sill Protection Film</v>
          </cell>
          <cell r="E75" t="str">
            <v>Pellicule de protection de seuil de portière</v>
          </cell>
          <cell r="F75" t="str">
            <v>The Door Sill Protection helps provide the lower door lining with protection from scuffing. Black thermoformed PVC with silver screen printing.</v>
          </cell>
          <cell r="G75" t="str">
            <v>La pellicule de protection de seuil de portière aide à protéger des éraflures la garniture inférieure de portière. PVC thermoformé noir avec sérigraphie argentée.</v>
          </cell>
          <cell r="H75">
            <v>0.5</v>
          </cell>
          <cell r="J75">
            <v>124</v>
          </cell>
          <cell r="K75">
            <v>207</v>
          </cell>
          <cell r="L75">
            <v>289.5</v>
          </cell>
          <cell r="N75" t="str">
            <v>•</v>
          </cell>
          <cell r="O75" t="str">
            <v>•</v>
          </cell>
          <cell r="Q75" t="str">
            <v>•</v>
          </cell>
          <cell r="W75">
            <v>42</v>
          </cell>
          <cell r="AK75" t="str">
            <v>•</v>
          </cell>
        </row>
        <row r="76">
          <cell r="B76" t="str">
            <v>08R13-PS2-100</v>
          </cell>
          <cell r="C76" t="str">
            <v>08R13-PS2-100</v>
          </cell>
          <cell r="D76" t="str">
            <v>Sunshade</v>
          </cell>
          <cell r="E76" t="str">
            <v>Pare-soleil</v>
          </cell>
          <cell r="F76" t="str">
            <v>Window Shade provides added comfort for your rear seated passengers by shielding them from the sun’s heat and glare. Includes rear left and right side shade. Integrated pull tabs for ease of operation.</v>
          </cell>
          <cell r="G76" t="str">
            <v>Les pare-soleil offrent un confort accru à vos passagers arrière en les protégeant de la chaleur et de l’éblouissement du soleil. Comprend pare-soleil arrière gauche et droit. Tirettes intégrées pour une utilisation facile.</v>
          </cell>
          <cell r="H76">
            <v>0.5</v>
          </cell>
          <cell r="J76">
            <v>204</v>
          </cell>
          <cell r="K76">
            <v>340</v>
          </cell>
          <cell r="L76">
            <v>422.5</v>
          </cell>
          <cell r="N76" t="str">
            <v>•</v>
          </cell>
          <cell r="O76" t="str">
            <v>•</v>
          </cell>
          <cell r="Q76" t="str">
            <v>•</v>
          </cell>
          <cell r="W76">
            <v>38</v>
          </cell>
          <cell r="AM76" t="str">
            <v>•</v>
          </cell>
        </row>
        <row r="77">
          <cell r="B77" t="str">
            <v>08U25-S5D-116</v>
          </cell>
          <cell r="C77" t="str">
            <v>08U25-S5D-116</v>
          </cell>
          <cell r="D77" t="str">
            <v>Ashtray, cupholder style</v>
          </cell>
          <cell r="E77" t="str">
            <v>Cendrier de type porte-gobelet</v>
          </cell>
          <cell r="F77" t="str">
            <v>Front seat passengers can enjoy the added convenience of an ashtray.</v>
          </cell>
          <cell r="G77" t="str">
            <v>Les passagers avant apprécieront la commodité d'un cendrier.</v>
          </cell>
          <cell r="H77">
            <v>0</v>
          </cell>
          <cell r="J77">
            <v>39</v>
          </cell>
          <cell r="K77">
            <v>65</v>
          </cell>
          <cell r="L77">
            <v>65</v>
          </cell>
          <cell r="N77" t="str">
            <v>•</v>
          </cell>
          <cell r="O77" t="str">
            <v>•</v>
          </cell>
          <cell r="Q77" t="str">
            <v>•</v>
          </cell>
          <cell r="W77">
            <v>250</v>
          </cell>
          <cell r="AP77" t="str">
            <v>•</v>
          </cell>
        </row>
        <row r="78">
          <cell r="B78" t="str">
            <v>08E70-PT9-300CP</v>
          </cell>
          <cell r="C78" t="str">
            <v>08E70-PT9-300CP</v>
          </cell>
          <cell r="D78" t="str">
            <v>Portable Charger</v>
          </cell>
          <cell r="E78" t="str">
            <v>Chargeur portable</v>
          </cell>
          <cell r="F78" t="str">
            <v>The Honda Portable Charging Kit provides the easy route to staying powered up and road ready. Includes a carry bag to stow when not in use.  Vehicle comes standard with one Portable Charging Kit.</v>
          </cell>
          <cell r="G78" t="str">
            <v>L’ensemble de chargeur portatif Honda est la solution simple pour être prêt à démarrer et prendre la route. Comprend un sac de transport pour le ranger lorsqu’il n’est pas utilisé. Un ensemble de chargeur portatif est livré de série avec le véhicule.</v>
          </cell>
          <cell r="H78">
            <v>0</v>
          </cell>
          <cell r="J78">
            <v>513</v>
          </cell>
          <cell r="K78">
            <v>855</v>
          </cell>
          <cell r="L78">
            <v>855</v>
          </cell>
          <cell r="N78" t="str">
            <v>•</v>
          </cell>
          <cell r="O78" t="str">
            <v>•</v>
          </cell>
          <cell r="Q78" t="str">
            <v>•</v>
          </cell>
          <cell r="U78" t="str">
            <v>Vehicle comes standard with 1 portable charging kit. 
Charge up to 23.2 of range miles per hour with an appliance outlet (NEMA 14-50) 
Charge up to 4.2 of range miles per hour with a standard home outlet (NEMA 5-15)</v>
          </cell>
          <cell r="V78" t="str">
            <v>Permet une recharge jusqu’à 23,2 milles d’autonomie par heure avec une prise de courant pour électroménager (NEMA 14-50)
Permet une recharge jusqu’à 4,2 milles d’autonomie par heure avec une prise domestique standard (NEMA 5-15)</v>
          </cell>
          <cell r="AH78" t="str">
            <v>•</v>
          </cell>
        </row>
        <row r="79">
          <cell r="B79">
            <v>86275140</v>
          </cell>
          <cell r="C79">
            <v>86275140</v>
          </cell>
          <cell r="D79" t="str">
            <v>Honda NACS-CCS Adapter</v>
          </cell>
          <cell r="E79" t="str">
            <v>Honda Adaptateur NACS-CCS</v>
          </cell>
          <cell r="F79" t="str">
            <v>Honda Prologue owners will gain access to more than 22,000 selected Tesla Superchargers across North America.</v>
          </cell>
          <cell r="G79" t="str">
            <v>Les propriétaires de véhicules Honda Prologue auront accès à plus de 22 000 Superchargeurs de Tesla sélectionnés en Amérique du Nord.</v>
          </cell>
          <cell r="H79">
            <v>0</v>
          </cell>
          <cell r="J79">
            <v>321</v>
          </cell>
          <cell r="K79">
            <v>400</v>
          </cell>
          <cell r="L79">
            <v>400</v>
          </cell>
          <cell r="N79" t="str">
            <v>•</v>
          </cell>
          <cell r="O79" t="str">
            <v>•</v>
          </cell>
          <cell r="Q79" t="str">
            <v>•</v>
          </cell>
          <cell r="W79">
            <v>7</v>
          </cell>
          <cell r="AH79" t="str">
            <v>•</v>
          </cell>
        </row>
        <row r="80">
          <cell r="B80" t="str">
            <v>TUPP-HONDA</v>
          </cell>
          <cell r="C80" t="str">
            <v>TUCH-NH883P-A1</v>
          </cell>
          <cell r="D80" t="str">
            <v>Paint Pens</v>
          </cell>
          <cell r="E80" t="str">
            <v>Crayon de retouche de peinture</v>
          </cell>
          <cell r="F80" t="str">
            <v>Matched to your original paint colour, keep the Touch-Up Paint Pen on hand to conveniently cover minor scratches should they occur.</v>
          </cell>
          <cell r="G80" t="str">
            <v>Puisque celui-ci est agencé à la couleur de votre peinture d'origine, gardez un crayon de peinture de retouche sous la main pour masquer de petites égratignures imprévues.</v>
          </cell>
          <cell r="H80">
            <v>0</v>
          </cell>
          <cell r="J80">
            <v>13</v>
          </cell>
          <cell r="K80">
            <v>21.5</v>
          </cell>
          <cell r="L80">
            <v>21.5</v>
          </cell>
          <cell r="N80" t="str">
            <v>•</v>
          </cell>
          <cell r="O80" t="str">
            <v>•</v>
          </cell>
          <cell r="Q80" t="str">
            <v>•</v>
          </cell>
          <cell r="W80">
            <v>249</v>
          </cell>
          <cell r="AP80" t="str">
            <v>•</v>
          </cell>
        </row>
        <row r="81">
          <cell r="B81" t="str">
            <v>TUCH-140X-A1</v>
          </cell>
          <cell r="C81" t="str">
            <v>N/A</v>
          </cell>
          <cell r="D81" t="str">
            <v>Snowfall Pearl (140X)</v>
          </cell>
          <cell r="E81" t="str">
            <v>Chute de neige nacrée (140X)</v>
          </cell>
          <cell r="H81">
            <v>0</v>
          </cell>
          <cell r="J81">
            <v>13</v>
          </cell>
          <cell r="K81">
            <v>21.5</v>
          </cell>
          <cell r="L81">
            <v>21.5</v>
          </cell>
          <cell r="N81" t="str">
            <v>•</v>
          </cell>
          <cell r="O81" t="str">
            <v>•</v>
          </cell>
          <cell r="Q81" t="str">
            <v>•</v>
          </cell>
        </row>
        <row r="82">
          <cell r="B82" t="str">
            <v>TUCH-130H-A1</v>
          </cell>
          <cell r="C82" t="str">
            <v>N/A</v>
          </cell>
          <cell r="D82" t="str">
            <v>Mercury Silver Metallic (130H)</v>
          </cell>
          <cell r="E82" t="str">
            <v>Argent mercure métallisé (130H)</v>
          </cell>
          <cell r="H82">
            <v>0</v>
          </cell>
          <cell r="J82">
            <v>13</v>
          </cell>
          <cell r="K82">
            <v>21.5</v>
          </cell>
          <cell r="L82">
            <v>21.5</v>
          </cell>
          <cell r="N82" t="str">
            <v>•</v>
          </cell>
          <cell r="O82" t="str">
            <v>•</v>
          </cell>
          <cell r="Q82" t="str">
            <v>•</v>
          </cell>
        </row>
        <row r="83">
          <cell r="B83" t="str">
            <v>TUCH-170H-A1</v>
          </cell>
          <cell r="C83" t="str">
            <v>N/A</v>
          </cell>
          <cell r="D83" t="str">
            <v>Scarlet Red Metallic (170H)</v>
          </cell>
          <cell r="E83" t="str">
            <v>Rouge écarlate métallisé (170H)</v>
          </cell>
          <cell r="H83">
            <v>0</v>
          </cell>
          <cell r="J83">
            <v>13</v>
          </cell>
          <cell r="K83">
            <v>21.5</v>
          </cell>
          <cell r="L83">
            <v>21.5</v>
          </cell>
          <cell r="N83" t="str">
            <v>•</v>
          </cell>
          <cell r="O83" t="str">
            <v>•</v>
          </cell>
          <cell r="Q83" t="str">
            <v>•</v>
          </cell>
        </row>
        <row r="84">
          <cell r="B84" t="str">
            <v>TUCH-121J-A1</v>
          </cell>
          <cell r="C84" t="str">
            <v>N/A</v>
          </cell>
          <cell r="D84" t="str">
            <v>Pacific Blue Metallic (121J)</v>
          </cell>
          <cell r="E84" t="str">
            <v>Bleu pacifique métallisé (121J)</v>
          </cell>
          <cell r="H84">
            <v>0</v>
          </cell>
          <cell r="J84">
            <v>13</v>
          </cell>
          <cell r="K84">
            <v>21.5</v>
          </cell>
          <cell r="L84">
            <v>21.5</v>
          </cell>
          <cell r="N84" t="str">
            <v>N/A</v>
          </cell>
          <cell r="O84" t="str">
            <v>N/A</v>
          </cell>
          <cell r="Q84" t="str">
            <v>•</v>
          </cell>
        </row>
        <row r="85">
          <cell r="B85" t="str">
            <v>TUCH-8555-A1</v>
          </cell>
          <cell r="C85" t="str">
            <v>N/A</v>
          </cell>
          <cell r="D85" t="str">
            <v>Raven Black (8555)</v>
          </cell>
          <cell r="E85" t="str">
            <v>Noir corbeau (8555)</v>
          </cell>
          <cell r="H85">
            <v>0</v>
          </cell>
          <cell r="J85">
            <v>13</v>
          </cell>
          <cell r="K85">
            <v>21.5</v>
          </cell>
          <cell r="L85">
            <v>21.5</v>
          </cell>
          <cell r="N85" t="str">
            <v>•</v>
          </cell>
          <cell r="O85" t="str">
            <v>•</v>
          </cell>
          <cell r="Q85" t="str">
            <v>•</v>
          </cell>
        </row>
        <row r="86">
          <cell r="B86" t="str">
            <v>TUCH-138P-A1</v>
          </cell>
          <cell r="C86" t="str">
            <v>N/A</v>
          </cell>
          <cell r="D86" t="str">
            <v>Sonic Gray Pearl (138P)</v>
          </cell>
          <cell r="E86" t="str">
            <v>Gris sonique nacré (138P)</v>
          </cell>
          <cell r="H86">
            <v>0</v>
          </cell>
          <cell r="J86">
            <v>13</v>
          </cell>
          <cell r="K86">
            <v>21.5</v>
          </cell>
          <cell r="L86">
            <v>21.5</v>
          </cell>
          <cell r="N86" t="str">
            <v>N/A</v>
          </cell>
          <cell r="O86" t="str">
            <v>N/A</v>
          </cell>
          <cell r="Q86" t="str">
            <v>•</v>
          </cell>
        </row>
        <row r="87">
          <cell r="B87" t="str">
            <v>TUCH-NEEDLES</v>
          </cell>
          <cell r="C87" t="str">
            <v>TUCH-NEEDLES</v>
          </cell>
          <cell r="D87" t="str">
            <v>Find Sanding Needles</v>
          </cell>
          <cell r="E87" t="str">
            <v>Aiguilles abrasives fines</v>
          </cell>
          <cell r="H87">
            <v>0</v>
          </cell>
          <cell r="J87">
            <v>9.5</v>
          </cell>
          <cell r="K87">
            <v>15.75</v>
          </cell>
          <cell r="L87">
            <v>15.75</v>
          </cell>
          <cell r="N87" t="str">
            <v>•</v>
          </cell>
          <cell r="O87" t="str">
            <v>•</v>
          </cell>
          <cell r="Q87" t="str">
            <v>•</v>
          </cell>
          <cell r="U87" t="str">
            <v>Quantity of 5.</v>
          </cell>
          <cell r="V87" t="str">
            <v>Quantité de 5</v>
          </cell>
        </row>
        <row r="88">
          <cell r="B88" t="str">
            <v>TUCH-STICKS</v>
          </cell>
          <cell r="C88" t="str">
            <v>TUCH-STICKS</v>
          </cell>
          <cell r="D88" t="str">
            <v>Fine Sanding Sticks</v>
          </cell>
          <cell r="E88" t="str">
            <v>Bâtons abrasifs fins</v>
          </cell>
          <cell r="H88">
            <v>0</v>
          </cell>
          <cell r="J88">
            <v>2.4500000000000002</v>
          </cell>
          <cell r="K88">
            <v>4</v>
          </cell>
          <cell r="L88">
            <v>4</v>
          </cell>
          <cell r="N88" t="str">
            <v>•</v>
          </cell>
          <cell r="O88" t="str">
            <v>•</v>
          </cell>
          <cell r="Q88" t="str">
            <v>•</v>
          </cell>
          <cell r="U88" t="str">
            <v>Quantity of 5.</v>
          </cell>
          <cell r="V88" t="str">
            <v>Quantité de 5</v>
          </cell>
        </row>
        <row r="89">
          <cell r="B89" t="str">
            <v>TUCH-TIPS</v>
          </cell>
          <cell r="C89" t="str">
            <v>TUCH-TIPS</v>
          </cell>
          <cell r="D89" t="str">
            <v>Paint Pen Replacement Tips</v>
          </cell>
          <cell r="E89" t="str">
            <v>Pointes de remplacement pour stylos de peinture</v>
          </cell>
          <cell r="H89">
            <v>0</v>
          </cell>
          <cell r="J89">
            <v>13.75</v>
          </cell>
          <cell r="K89">
            <v>23</v>
          </cell>
          <cell r="L89">
            <v>23</v>
          </cell>
          <cell r="N89" t="str">
            <v>•</v>
          </cell>
          <cell r="O89" t="str">
            <v>•</v>
          </cell>
          <cell r="Q89" t="str">
            <v>•</v>
          </cell>
          <cell r="U89" t="str">
            <v>Quantity of 25.</v>
          </cell>
          <cell r="V89" t="str">
            <v>Quantité de 25</v>
          </cell>
        </row>
      </sheetData>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B00BA-6C90-4BCB-A2FD-525B2DADAC26}">
  <sheetPr codeName="Sheet1">
    <tabColor theme="1"/>
  </sheetPr>
  <dimension ref="A1:L45"/>
  <sheetViews>
    <sheetView showGridLines="0" zoomScaleNormal="100" workbookViewId="0">
      <selection activeCell="F12" sqref="F12"/>
    </sheetView>
  </sheetViews>
  <sheetFormatPr defaultColWidth="9.140625" defaultRowHeight="12.75" x14ac:dyDescent="0.25"/>
  <cols>
    <col min="1" max="1" width="49.42578125" style="7" customWidth="1"/>
    <col min="2" max="3" width="14.140625" style="7" customWidth="1"/>
    <col min="4" max="16384" width="9.140625" style="7"/>
  </cols>
  <sheetData>
    <row r="1" spans="1:12" ht="81.599999999999994" customHeight="1" thickBot="1" x14ac:dyDescent="0.3">
      <c r="A1" s="1" t="s">
        <v>0</v>
      </c>
      <c r="B1" s="2" t="s">
        <v>1</v>
      </c>
      <c r="C1" s="3"/>
      <c r="D1" s="4"/>
      <c r="E1" s="5"/>
      <c r="F1" s="5"/>
      <c r="G1" s="5"/>
      <c r="H1" s="5"/>
      <c r="I1" s="5"/>
      <c r="J1" s="5"/>
      <c r="K1" s="5"/>
      <c r="L1" s="6"/>
    </row>
    <row r="2" spans="1:12" x14ac:dyDescent="0.25">
      <c r="A2" s="8"/>
      <c r="C2" s="3"/>
      <c r="F2" s="9"/>
      <c r="G2" s="10"/>
      <c r="H2" s="10"/>
      <c r="I2" s="10"/>
      <c r="J2" s="10"/>
      <c r="K2" s="10"/>
      <c r="L2" s="3"/>
    </row>
    <row r="3" spans="1:12" ht="13.5" thickBot="1" x14ac:dyDescent="0.3">
      <c r="A3" s="8"/>
      <c r="B3" s="10"/>
      <c r="C3" s="11"/>
      <c r="E3" s="12"/>
      <c r="F3" s="9"/>
      <c r="G3" s="10"/>
      <c r="H3" s="10"/>
      <c r="I3" s="10"/>
      <c r="J3" s="10"/>
      <c r="K3" s="10"/>
      <c r="L3" s="3"/>
    </row>
    <row r="4" spans="1:12" ht="15.75" thickBot="1" x14ac:dyDescent="0.3">
      <c r="A4" s="8"/>
      <c r="B4" s="13" t="s">
        <v>2</v>
      </c>
      <c r="C4" s="14"/>
      <c r="F4" s="9"/>
      <c r="G4" s="10"/>
      <c r="H4" s="10"/>
      <c r="I4" s="10"/>
      <c r="J4" s="10"/>
      <c r="K4" s="10"/>
      <c r="L4" s="3"/>
    </row>
    <row r="5" spans="1:12" ht="15" x14ac:dyDescent="0.25">
      <c r="B5" s="13" t="s">
        <v>3</v>
      </c>
      <c r="C5" s="14"/>
      <c r="F5" s="9"/>
      <c r="G5" s="10"/>
      <c r="H5" s="10"/>
      <c r="I5" s="10"/>
      <c r="J5" s="10"/>
      <c r="K5" s="10"/>
      <c r="L5" s="3"/>
    </row>
    <row r="6" spans="1:12" x14ac:dyDescent="0.2">
      <c r="A6" s="9"/>
      <c r="B6" s="15" t="s">
        <v>4</v>
      </c>
      <c r="C6" s="16">
        <v>162</v>
      </c>
      <c r="D6" s="3"/>
      <c r="F6" s="9"/>
      <c r="G6" s="10"/>
      <c r="H6" s="10"/>
      <c r="I6" s="10"/>
      <c r="J6" s="10"/>
      <c r="K6" s="10"/>
      <c r="L6" s="3"/>
    </row>
    <row r="7" spans="1:12" x14ac:dyDescent="0.2">
      <c r="A7" s="9"/>
      <c r="B7" s="15" t="s">
        <v>5</v>
      </c>
      <c r="C7" s="16">
        <v>165</v>
      </c>
      <c r="D7" s="3"/>
      <c r="F7" s="9"/>
      <c r="G7" s="10"/>
      <c r="H7" s="10"/>
      <c r="I7" s="10"/>
      <c r="J7" s="10"/>
      <c r="K7" s="10"/>
      <c r="L7" s="3"/>
    </row>
    <row r="8" spans="1:12" x14ac:dyDescent="0.2">
      <c r="A8" s="9"/>
      <c r="B8" s="15" t="s">
        <v>6</v>
      </c>
      <c r="C8" s="16">
        <v>155</v>
      </c>
      <c r="D8" s="3"/>
      <c r="F8" s="9"/>
      <c r="G8" s="10"/>
      <c r="H8" s="10"/>
      <c r="I8" s="10"/>
      <c r="J8" s="10"/>
      <c r="K8" s="10"/>
      <c r="L8" s="3"/>
    </row>
    <row r="9" spans="1:12" x14ac:dyDescent="0.2">
      <c r="A9" s="9"/>
      <c r="B9" s="15" t="s">
        <v>7</v>
      </c>
      <c r="C9" s="16">
        <v>129</v>
      </c>
      <c r="D9" s="3"/>
      <c r="F9" s="9"/>
      <c r="G9" s="10"/>
      <c r="H9" s="10"/>
      <c r="I9" s="10"/>
      <c r="J9" s="10"/>
      <c r="K9" s="10"/>
      <c r="L9" s="3"/>
    </row>
    <row r="10" spans="1:12" x14ac:dyDescent="0.2">
      <c r="A10" s="9"/>
      <c r="B10" s="15" t="s">
        <v>8</v>
      </c>
      <c r="C10" s="16">
        <v>129</v>
      </c>
      <c r="D10" s="3"/>
      <c r="F10" s="9"/>
      <c r="G10" s="10"/>
      <c r="H10" s="10"/>
      <c r="I10" s="10"/>
      <c r="J10" s="10"/>
      <c r="K10" s="10"/>
      <c r="L10" s="3"/>
    </row>
    <row r="11" spans="1:12" ht="13.5" thickBot="1" x14ac:dyDescent="0.25">
      <c r="A11" s="9"/>
      <c r="B11" s="15" t="s">
        <v>9</v>
      </c>
      <c r="C11" s="16">
        <v>129</v>
      </c>
      <c r="D11" s="3"/>
      <c r="F11" s="9"/>
      <c r="G11" s="10"/>
      <c r="H11" s="10"/>
      <c r="I11" s="10"/>
      <c r="J11" s="10"/>
      <c r="K11" s="10"/>
      <c r="L11" s="3"/>
    </row>
    <row r="12" spans="1:12" ht="13.5" thickBot="1" x14ac:dyDescent="0.25">
      <c r="A12" s="9"/>
      <c r="B12" s="15" t="s">
        <v>10</v>
      </c>
      <c r="C12" s="16">
        <v>149</v>
      </c>
      <c r="D12" s="3"/>
      <c r="F12" s="17" t="str">
        <f>prov_cd</f>
        <v>YT</v>
      </c>
      <c r="G12" s="10"/>
      <c r="H12" s="10"/>
      <c r="I12" s="10"/>
      <c r="J12" s="10"/>
      <c r="K12" s="10"/>
      <c r="L12" s="3"/>
    </row>
    <row r="13" spans="1:12" x14ac:dyDescent="0.2">
      <c r="A13" s="9"/>
      <c r="B13" s="15" t="s">
        <v>11</v>
      </c>
      <c r="C13" s="16">
        <v>123</v>
      </c>
      <c r="D13" s="3"/>
      <c r="F13" s="9"/>
      <c r="G13" s="10"/>
      <c r="H13" s="10"/>
      <c r="I13" s="10"/>
      <c r="J13" s="10"/>
      <c r="K13" s="10"/>
      <c r="L13" s="3"/>
    </row>
    <row r="14" spans="1:12" x14ac:dyDescent="0.2">
      <c r="A14" s="9"/>
      <c r="B14" s="15" t="s">
        <v>12</v>
      </c>
      <c r="C14" s="16">
        <v>140</v>
      </c>
      <c r="D14" s="3"/>
      <c r="F14" s="9"/>
      <c r="G14" s="10"/>
      <c r="H14" s="10"/>
      <c r="I14" s="10"/>
      <c r="J14" s="10"/>
      <c r="K14" s="10"/>
      <c r="L14" s="3"/>
    </row>
    <row r="15" spans="1:12" x14ac:dyDescent="0.2">
      <c r="A15" s="9"/>
      <c r="B15" s="15" t="s">
        <v>13</v>
      </c>
      <c r="C15" s="16">
        <v>155</v>
      </c>
      <c r="D15" s="3"/>
      <c r="F15" s="9"/>
      <c r="G15" s="10"/>
      <c r="H15" s="10"/>
      <c r="I15" s="10"/>
      <c r="J15" s="10"/>
      <c r="K15" s="10"/>
      <c r="L15" s="3"/>
    </row>
    <row r="16" spans="1:12" ht="13.5" thickBot="1" x14ac:dyDescent="0.25">
      <c r="A16" s="9"/>
      <c r="B16" s="18" t="s">
        <v>1</v>
      </c>
      <c r="C16" s="19">
        <v>165</v>
      </c>
      <c r="D16" s="3"/>
      <c r="F16" s="9"/>
      <c r="G16" s="10"/>
      <c r="H16" s="10"/>
      <c r="I16" s="10"/>
      <c r="J16" s="10"/>
      <c r="K16" s="10"/>
      <c r="L16" s="3"/>
    </row>
    <row r="17" spans="1:12" x14ac:dyDescent="0.25">
      <c r="A17" s="9"/>
      <c r="D17" s="3"/>
      <c r="F17" s="9"/>
      <c r="G17" s="10"/>
      <c r="H17" s="10"/>
      <c r="I17" s="10"/>
      <c r="J17" s="10"/>
      <c r="K17" s="10"/>
      <c r="L17" s="3"/>
    </row>
    <row r="18" spans="1:12" x14ac:dyDescent="0.25">
      <c r="B18" s="20"/>
      <c r="C18" s="20"/>
      <c r="F18" s="9"/>
      <c r="G18" s="10"/>
      <c r="H18" s="10"/>
      <c r="I18" s="10"/>
      <c r="J18" s="10"/>
      <c r="K18" s="10"/>
      <c r="L18" s="3"/>
    </row>
    <row r="19" spans="1:12" x14ac:dyDescent="0.25">
      <c r="F19" s="9"/>
      <c r="G19" s="10"/>
      <c r="H19" s="10"/>
      <c r="I19" s="10"/>
      <c r="J19" s="10"/>
      <c r="K19" s="10"/>
      <c r="L19" s="3"/>
    </row>
    <row r="20" spans="1:12" x14ac:dyDescent="0.25">
      <c r="F20" s="9"/>
      <c r="G20" s="10"/>
      <c r="H20" s="10"/>
      <c r="I20" s="10"/>
      <c r="J20" s="10"/>
      <c r="K20" s="10"/>
      <c r="L20" s="3"/>
    </row>
    <row r="21" spans="1:12" x14ac:dyDescent="0.25">
      <c r="F21" s="9"/>
      <c r="G21" s="10"/>
      <c r="H21" s="10"/>
      <c r="I21" s="10"/>
      <c r="J21" s="10"/>
      <c r="K21" s="10"/>
      <c r="L21" s="3"/>
    </row>
    <row r="22" spans="1:12" x14ac:dyDescent="0.25">
      <c r="F22" s="9"/>
      <c r="G22" s="10"/>
      <c r="H22" s="10"/>
      <c r="I22" s="10"/>
      <c r="J22" s="10"/>
      <c r="K22" s="10"/>
      <c r="L22" s="3"/>
    </row>
    <row r="23" spans="1:12" x14ac:dyDescent="0.25">
      <c r="A23" s="12" t="s">
        <v>14</v>
      </c>
      <c r="F23" s="9"/>
      <c r="G23" s="10"/>
      <c r="H23" s="10"/>
      <c r="I23" s="10"/>
      <c r="J23" s="10"/>
      <c r="K23" s="10"/>
      <c r="L23" s="3"/>
    </row>
    <row r="24" spans="1:12" x14ac:dyDescent="0.25">
      <c r="A24" s="12" t="s">
        <v>15</v>
      </c>
      <c r="F24" s="9"/>
      <c r="G24" s="10"/>
      <c r="H24" s="10"/>
      <c r="I24" s="10"/>
      <c r="J24" s="10"/>
      <c r="K24" s="10"/>
      <c r="L24" s="3"/>
    </row>
    <row r="25" spans="1:12" x14ac:dyDescent="0.25">
      <c r="F25" s="9"/>
      <c r="G25" s="10"/>
      <c r="H25" s="10"/>
      <c r="I25" s="10"/>
      <c r="J25" s="10"/>
      <c r="K25" s="10"/>
      <c r="L25" s="3"/>
    </row>
    <row r="26" spans="1:12" x14ac:dyDescent="0.25">
      <c r="A26" s="21"/>
      <c r="F26" s="9"/>
      <c r="G26" s="10"/>
      <c r="H26" s="10"/>
      <c r="I26" s="10"/>
      <c r="J26" s="10"/>
      <c r="K26" s="10"/>
      <c r="L26" s="3"/>
    </row>
    <row r="27" spans="1:12" x14ac:dyDescent="0.25">
      <c r="A27" s="21"/>
      <c r="F27" s="9"/>
      <c r="G27" s="10"/>
      <c r="H27" s="10"/>
      <c r="I27" s="10"/>
      <c r="J27" s="10"/>
      <c r="K27" s="10"/>
      <c r="L27" s="3"/>
    </row>
    <row r="28" spans="1:12" x14ac:dyDescent="0.25">
      <c r="F28" s="9"/>
      <c r="G28" s="10"/>
      <c r="H28" s="10"/>
      <c r="I28" s="10"/>
      <c r="J28" s="10"/>
      <c r="K28" s="10"/>
      <c r="L28" s="3"/>
    </row>
    <row r="29" spans="1:12" x14ac:dyDescent="0.25">
      <c r="F29" s="9"/>
      <c r="G29" s="10"/>
      <c r="H29" s="10"/>
      <c r="I29" s="10"/>
      <c r="J29" s="10"/>
      <c r="K29" s="10"/>
      <c r="L29" s="3"/>
    </row>
    <row r="30" spans="1:12" x14ac:dyDescent="0.25">
      <c r="F30" s="9"/>
      <c r="G30" s="10"/>
      <c r="H30" s="10"/>
      <c r="I30" s="10"/>
      <c r="J30" s="10"/>
      <c r="K30" s="10"/>
      <c r="L30" s="3"/>
    </row>
    <row r="31" spans="1:12" x14ac:dyDescent="0.25">
      <c r="F31" s="9"/>
      <c r="G31" s="10"/>
      <c r="H31" s="10"/>
      <c r="I31" s="10"/>
      <c r="J31" s="10"/>
      <c r="K31" s="10"/>
      <c r="L31" s="3"/>
    </row>
    <row r="32" spans="1:12" x14ac:dyDescent="0.25">
      <c r="F32" s="9"/>
      <c r="G32" s="10"/>
      <c r="H32" s="10"/>
      <c r="I32" s="10"/>
      <c r="J32" s="10"/>
      <c r="K32" s="10"/>
      <c r="L32" s="3"/>
    </row>
    <row r="33" spans="6:12" x14ac:dyDescent="0.25">
      <c r="F33" s="9"/>
      <c r="G33" s="10"/>
      <c r="H33" s="10"/>
      <c r="I33" s="10"/>
      <c r="J33" s="10"/>
      <c r="K33" s="10"/>
      <c r="L33" s="3"/>
    </row>
    <row r="34" spans="6:12" x14ac:dyDescent="0.25">
      <c r="F34" s="9"/>
      <c r="G34" s="10"/>
      <c r="H34" s="10"/>
      <c r="I34" s="10"/>
      <c r="J34" s="10"/>
      <c r="K34" s="10"/>
      <c r="L34" s="3"/>
    </row>
    <row r="35" spans="6:12" x14ac:dyDescent="0.25">
      <c r="F35" s="9"/>
      <c r="G35" s="10"/>
      <c r="H35" s="10"/>
      <c r="I35" s="10"/>
      <c r="J35" s="10"/>
      <c r="K35" s="10"/>
      <c r="L35" s="3"/>
    </row>
    <row r="36" spans="6:12" x14ac:dyDescent="0.25">
      <c r="F36" s="9"/>
      <c r="G36" s="10"/>
      <c r="H36" s="10"/>
      <c r="I36" s="10"/>
      <c r="J36" s="10"/>
      <c r="K36" s="10"/>
      <c r="L36" s="3"/>
    </row>
    <row r="37" spans="6:12" x14ac:dyDescent="0.25">
      <c r="F37" s="9"/>
      <c r="G37" s="10"/>
      <c r="H37" s="10"/>
      <c r="I37" s="10"/>
      <c r="J37" s="10"/>
      <c r="K37" s="10"/>
      <c r="L37" s="3"/>
    </row>
    <row r="38" spans="6:12" x14ac:dyDescent="0.25">
      <c r="F38" s="9"/>
      <c r="G38" s="10"/>
      <c r="H38" s="10"/>
      <c r="I38" s="10"/>
      <c r="J38" s="10"/>
      <c r="K38" s="10"/>
      <c r="L38" s="3"/>
    </row>
    <row r="39" spans="6:12" x14ac:dyDescent="0.25">
      <c r="G39" s="20"/>
      <c r="H39" s="20"/>
      <c r="I39" s="20"/>
      <c r="J39" s="8"/>
      <c r="K39" s="10"/>
      <c r="L39" s="3"/>
    </row>
    <row r="40" spans="6:12" x14ac:dyDescent="0.25">
      <c r="J40" s="9"/>
      <c r="K40" s="10"/>
      <c r="L40" s="3"/>
    </row>
    <row r="41" spans="6:12" x14ac:dyDescent="0.25">
      <c r="J41" s="9"/>
      <c r="K41" s="10"/>
      <c r="L41" s="3"/>
    </row>
    <row r="42" spans="6:12" x14ac:dyDescent="0.25">
      <c r="J42" s="9"/>
      <c r="K42" s="10"/>
      <c r="L42" s="3"/>
    </row>
    <row r="43" spans="6:12" x14ac:dyDescent="0.25">
      <c r="J43" s="9"/>
      <c r="K43" s="10"/>
      <c r="L43" s="3"/>
    </row>
    <row r="44" spans="6:12" x14ac:dyDescent="0.25">
      <c r="J44" s="9"/>
      <c r="K44" s="10"/>
      <c r="L44" s="3"/>
    </row>
    <row r="45" spans="6:12" x14ac:dyDescent="0.25">
      <c r="J45" s="9"/>
      <c r="K45" s="10"/>
      <c r="L45" s="3"/>
    </row>
  </sheetData>
  <sheetProtection algorithmName="SHA-512" hashValue="T3T9NLhO9mWHS+JVSePcOvQfSmradgbWDRjrrpDjVWfPs7MSUZG/z9hwZEBDAgyqw3AzGXiZN+VAz50Nrhh/uw==" saltValue="RAR00n0MIDa9yT2vnk+uDg==" spinCount="100000" sheet="1" objects="1" scenarios="1"/>
  <dataValidations count="1">
    <dataValidation type="list" allowBlank="1" showInputMessage="1" showErrorMessage="1" sqref="B1" xr:uid="{F0CEE8FD-2CF8-4F1E-80DC-4A5F0CCB5FD4}">
      <formula1>province_codes</formula1>
    </dataValidation>
  </dataValidations>
  <pageMargins left="0.7" right="0.7" top="0.75" bottom="0.75" header="0.3" footer="0.3"/>
  <pageSetup scale="6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664AE-0034-449D-A2EC-8E739C08BE90}">
  <sheetPr codeName="Sheet4">
    <tabColor rgb="FFC8102E"/>
    <pageSetUpPr fitToPage="1"/>
  </sheetPr>
  <dimension ref="B2:T144"/>
  <sheetViews>
    <sheetView view="pageBreakPreview" zoomScale="75" zoomScaleNormal="60" zoomScaleSheetLayoutView="85" workbookViewId="0">
      <selection activeCell="Q24" sqref="Q24:Q27"/>
    </sheetView>
  </sheetViews>
  <sheetFormatPr defaultColWidth="9.140625" defaultRowHeight="12.75" outlineLevelCol="1" x14ac:dyDescent="0.25"/>
  <cols>
    <col min="1" max="1" width="9.140625" style="27"/>
    <col min="2" max="2" width="8.5703125" style="124" hidden="1" customWidth="1"/>
    <col min="3" max="3" width="38.140625" style="27" customWidth="1"/>
    <col min="4" max="4" width="19.5703125" style="27" customWidth="1"/>
    <col min="5" max="5" width="11.5703125" style="27" bestFit="1" customWidth="1" outlineLevel="1"/>
    <col min="6" max="6" width="11.5703125" style="27" bestFit="1" customWidth="1"/>
    <col min="7" max="7" width="8.5703125" style="27" customWidth="1"/>
    <col min="8" max="8" width="13.5703125" style="27" customWidth="1"/>
    <col min="9" max="9" width="10.5703125" style="27" hidden="1" customWidth="1"/>
    <col min="10" max="11" width="10.5703125" style="27" customWidth="1"/>
    <col min="12" max="12" width="10.5703125" style="27" hidden="1" customWidth="1"/>
    <col min="13" max="13" width="10.5703125" style="27" customWidth="1"/>
    <col min="14" max="16" width="10.5703125" style="27" hidden="1" customWidth="1"/>
    <col min="17" max="17" width="50.42578125" style="27" customWidth="1"/>
    <col min="18" max="18" width="9.140625" style="27" customWidth="1"/>
    <col min="19" max="16384" width="9.140625" style="27"/>
  </cols>
  <sheetData>
    <row r="2" spans="2:20" ht="35.25" customHeight="1" x14ac:dyDescent="0.25">
      <c r="B2" s="22" t="s">
        <v>16</v>
      </c>
      <c r="C2" s="23" t="s">
        <v>17</v>
      </c>
      <c r="D2" s="23"/>
      <c r="E2" s="24"/>
      <c r="F2" s="24"/>
      <c r="G2" s="24"/>
      <c r="H2" s="24"/>
      <c r="I2" s="24"/>
      <c r="J2" s="24"/>
      <c r="K2" s="24"/>
      <c r="L2" s="24"/>
      <c r="M2" s="25"/>
      <c r="N2" s="26"/>
      <c r="O2" s="26"/>
      <c r="P2" s="26"/>
      <c r="Q2" s="26"/>
    </row>
    <row r="3" spans="2:20" ht="26.25" x14ac:dyDescent="0.25">
      <c r="B3" s="22"/>
      <c r="C3" s="28" t="s">
        <v>18</v>
      </c>
      <c r="D3" s="29" t="str">
        <f>'[1]26MY_PROLOGUE_DATA'!C2</f>
        <v>Prologue</v>
      </c>
      <c r="E3" s="30"/>
      <c r="F3" s="30"/>
      <c r="G3" s="30"/>
      <c r="H3" s="30"/>
      <c r="I3" s="30"/>
      <c r="J3" s="30"/>
      <c r="K3" s="30"/>
      <c r="L3" s="30"/>
      <c r="M3" s="31"/>
      <c r="N3" s="26"/>
      <c r="O3" s="26"/>
      <c r="P3" s="26"/>
      <c r="Q3" s="26"/>
    </row>
    <row r="4" spans="2:20" ht="26.25" x14ac:dyDescent="0.25">
      <c r="B4" s="22"/>
      <c r="C4" s="28" t="s">
        <v>19</v>
      </c>
      <c r="D4" s="32">
        <f>'[1]26MY_PROLOGUE_DATA'!$C$3</f>
        <v>2026</v>
      </c>
      <c r="E4" s="33"/>
      <c r="F4" s="33"/>
      <c r="G4" s="33"/>
      <c r="H4" s="33"/>
      <c r="I4" s="33"/>
      <c r="J4" s="33"/>
      <c r="K4" s="33"/>
      <c r="L4" s="33"/>
      <c r="M4" s="34"/>
      <c r="N4" s="26"/>
      <c r="O4" s="26"/>
      <c r="P4" s="26"/>
      <c r="Q4" s="26"/>
    </row>
    <row r="5" spans="2:20" x14ac:dyDescent="0.25">
      <c r="B5" s="22"/>
      <c r="C5" s="35" t="s">
        <v>20</v>
      </c>
      <c r="D5" s="35"/>
      <c r="E5" s="36"/>
      <c r="F5" s="36"/>
      <c r="G5" s="36"/>
      <c r="H5" s="36"/>
      <c r="I5" s="36"/>
      <c r="J5" s="36"/>
      <c r="K5" s="36"/>
      <c r="L5" s="36"/>
      <c r="M5" s="36"/>
      <c r="N5" s="36"/>
      <c r="O5" s="36"/>
      <c r="P5" s="36"/>
      <c r="Q5" s="37"/>
    </row>
    <row r="6" spans="2:20" x14ac:dyDescent="0.25">
      <c r="B6" s="22"/>
      <c r="C6" s="38" t="s">
        <v>21</v>
      </c>
      <c r="D6" s="38"/>
      <c r="E6" s="38"/>
      <c r="F6" s="38"/>
      <c r="G6" s="38"/>
      <c r="H6" s="38"/>
      <c r="I6" s="38"/>
      <c r="J6" s="38"/>
      <c r="K6" s="38"/>
      <c r="L6" s="38"/>
      <c r="M6" s="38"/>
      <c r="N6" s="36"/>
      <c r="O6" s="36"/>
      <c r="P6" s="36"/>
      <c r="Q6" s="37"/>
    </row>
    <row r="7" spans="2:20" x14ac:dyDescent="0.25">
      <c r="B7" s="22"/>
      <c r="C7" s="38" t="s">
        <v>22</v>
      </c>
      <c r="D7" s="38"/>
      <c r="E7" s="38"/>
      <c r="F7" s="38"/>
      <c r="G7" s="38"/>
      <c r="H7" s="38"/>
      <c r="I7" s="38"/>
      <c r="J7" s="38"/>
      <c r="K7" s="38"/>
      <c r="L7" s="38"/>
      <c r="M7" s="38"/>
      <c r="N7" s="36"/>
      <c r="O7" s="36"/>
      <c r="P7" s="36"/>
      <c r="Q7" s="37"/>
    </row>
    <row r="8" spans="2:20" x14ac:dyDescent="0.25">
      <c r="B8" s="22"/>
      <c r="C8" s="38" t="s">
        <v>23</v>
      </c>
      <c r="D8" s="38"/>
      <c r="E8" s="38"/>
      <c r="F8" s="38"/>
      <c r="G8" s="38"/>
      <c r="H8" s="39"/>
      <c r="I8" s="38"/>
      <c r="J8" s="38"/>
      <c r="K8" s="38"/>
      <c r="L8" s="38"/>
      <c r="M8" s="38"/>
      <c r="N8" s="36"/>
      <c r="O8" s="36"/>
      <c r="P8" s="36"/>
      <c r="Q8" s="37"/>
    </row>
    <row r="9" spans="2:20" x14ac:dyDescent="0.25">
      <c r="B9" s="22"/>
      <c r="C9" s="40"/>
      <c r="D9" s="40"/>
      <c r="E9" s="40"/>
      <c r="F9" s="40"/>
      <c r="G9" s="40"/>
      <c r="H9" s="40"/>
      <c r="I9" s="40"/>
      <c r="J9" s="40"/>
      <c r="K9" s="40"/>
      <c r="L9" s="40"/>
      <c r="M9" s="40"/>
      <c r="N9" s="41"/>
      <c r="O9" s="41"/>
      <c r="P9" s="41"/>
      <c r="Q9" s="42"/>
    </row>
    <row r="10" spans="2:20" ht="15" x14ac:dyDescent="0.2">
      <c r="B10" s="22"/>
      <c r="C10" s="43"/>
      <c r="D10" s="43"/>
      <c r="E10" s="43"/>
      <c r="F10" s="43"/>
      <c r="G10" s="43"/>
      <c r="H10" s="44" t="s">
        <v>24</v>
      </c>
      <c r="I10" s="43"/>
      <c r="J10" s="43"/>
      <c r="K10" s="43"/>
      <c r="L10" s="43"/>
      <c r="M10" s="43"/>
      <c r="N10" s="43"/>
      <c r="O10" s="43"/>
      <c r="P10" s="43"/>
      <c r="Q10" s="45"/>
    </row>
    <row r="11" spans="2:20" ht="18.75" x14ac:dyDescent="0.3">
      <c r="B11" s="22"/>
      <c r="C11" s="46" t="s">
        <v>25</v>
      </c>
      <c r="D11" s="47"/>
      <c r="E11" s="48"/>
      <c r="F11" s="48"/>
      <c r="G11" s="49"/>
      <c r="H11" s="50" t="str">
        <f>prov_cd</f>
        <v>YT</v>
      </c>
      <c r="I11" s="51"/>
      <c r="J11" s="43"/>
      <c r="K11" s="43"/>
      <c r="L11" s="43"/>
      <c r="M11" s="43"/>
      <c r="N11" s="43"/>
      <c r="O11" s="43"/>
      <c r="P11" s="43"/>
      <c r="Q11" s="43"/>
    </row>
    <row r="12" spans="2:20" ht="15" x14ac:dyDescent="0.25">
      <c r="B12" s="22"/>
      <c r="C12" s="137" t="s">
        <v>26</v>
      </c>
      <c r="D12" s="137" t="s">
        <v>27</v>
      </c>
      <c r="E12" s="137" t="s">
        <v>28</v>
      </c>
      <c r="F12" s="137" t="s">
        <v>29</v>
      </c>
      <c r="G12" s="137" t="s">
        <v>30</v>
      </c>
      <c r="H12" s="150" t="s">
        <v>31</v>
      </c>
      <c r="I12" s="137" t="s">
        <v>32</v>
      </c>
      <c r="J12" s="137"/>
      <c r="K12" s="137"/>
      <c r="L12" s="137"/>
      <c r="M12" s="137"/>
      <c r="N12" s="137"/>
      <c r="O12" s="137"/>
      <c r="P12" s="137"/>
      <c r="Q12" s="137" t="s">
        <v>33</v>
      </c>
    </row>
    <row r="13" spans="2:20" ht="29.1" customHeight="1" x14ac:dyDescent="0.25">
      <c r="B13" s="22"/>
      <c r="C13" s="137"/>
      <c r="D13" s="137"/>
      <c r="E13" s="137"/>
      <c r="F13" s="137"/>
      <c r="G13" s="137"/>
      <c r="H13" s="150"/>
      <c r="I13" s="52">
        <f>'[1]26MY_PROLOGUE_DATA'!$M$7</f>
        <v>0</v>
      </c>
      <c r="J13" s="52" t="str">
        <f>'[1]26MY_PROLOGUE_DATA'!$N$7</f>
        <v>EX</v>
      </c>
      <c r="K13" s="52" t="str">
        <f>'[1]26MY_PROLOGUE_DATA'!$O$7</f>
        <v>EX-L</v>
      </c>
      <c r="L13" s="52">
        <f>'[1]26MY_PROLOGUE_DATA'!$P$7</f>
        <v>0</v>
      </c>
      <c r="M13" s="52" t="str">
        <f>'[1]26MY_PROLOGUE_DATA'!$Q$7</f>
        <v>Touring</v>
      </c>
      <c r="N13" s="52">
        <f>'[1]26MY_PROLOGUE_DATA'!$T$7</f>
        <v>0</v>
      </c>
      <c r="O13" s="52">
        <f>'[1]26MY_PROLOGUE_DATA'!$T$7</f>
        <v>0</v>
      </c>
      <c r="P13" s="52">
        <f>'[1]26MY_PROLOGUE_DATA'!$T$7</f>
        <v>0</v>
      </c>
      <c r="Q13" s="137"/>
    </row>
    <row r="14" spans="2:20" s="61" customFormat="1" ht="15" x14ac:dyDescent="0.25">
      <c r="B14" s="53" t="s">
        <v>34</v>
      </c>
      <c r="C14" s="54" t="str">
        <f>VLOOKUP(B14,'[1]26MY_PROLOGUE_DATA'!B:AS,3,FALSE)</f>
        <v>Protection Package</v>
      </c>
      <c r="D14" s="55" t="str">
        <f>B14</f>
        <v>24PRO-PRO1</v>
      </c>
      <c r="E14" s="161">
        <f>VLOOKUP(B14,'[1]26MY_PROLOGUE_DATA'!B:AS,9,FALSE)</f>
        <v>301.5</v>
      </c>
      <c r="F14" s="161">
        <f>VLOOKUP(B14,'[1]26MY_PROLOGUE_DATA'!B:AS,10,FALSE)</f>
        <v>558</v>
      </c>
      <c r="G14" s="162">
        <f>VLOOKUP(B14,'[1]26MY_PROLOGUE_DATA'!B:AS,7,FALSE)</f>
        <v>0.2</v>
      </c>
      <c r="H14" s="163">
        <f>VLOOKUP(B14,'[1]26MY_PROLOGUE_DATA'!B:AS,11,FALSE)</f>
        <v>591</v>
      </c>
      <c r="I14" s="157">
        <f>VLOOKUP(B14,'[1]26MY_PROLOGUE_DATA'!B:AS,12,FALSE)</f>
        <v>0</v>
      </c>
      <c r="J14" s="157" t="str">
        <f>VLOOKUP(B14,'[1]26MY_PROLOGUE_DATA'!B:AS,13,FALSE)</f>
        <v>•</v>
      </c>
      <c r="K14" s="157" t="str">
        <f>VLOOKUP(B14,'[1]26MY_PROLOGUE_DATA'!B:AS,14,FALSE)</f>
        <v>•</v>
      </c>
      <c r="L14" s="157">
        <f>VLOOKUP(B14,'[1]26MY_PROLOGUE_DATA'!B:AS,15,FALSE)</f>
        <v>0</v>
      </c>
      <c r="M14" s="157" t="str">
        <f>VLOOKUP($B14,'[1]26MY_PROLOGUE_DATA'!$B:$AS,16,FALSE)</f>
        <v>•</v>
      </c>
      <c r="N14" s="157">
        <f>VLOOKUP($B14,'[1]26MY_PROLOGUE_DATA'!$B:$AS,17,FALSE)</f>
        <v>0</v>
      </c>
      <c r="O14" s="157">
        <f>VLOOKUP($B14,'[1]26MY_PROLOGUE_DATA'!$B:$AS,18,FALSE)</f>
        <v>0</v>
      </c>
      <c r="P14" s="157">
        <f>VLOOKUP(B14,'[1]26MY_PROLOGUE_DATA'!B:AS,19,FALSE)</f>
        <v>0</v>
      </c>
      <c r="Q14" s="147" t="str">
        <f>IF(VLOOKUP(B14,'[1]26MY_PROLOGUE_DATA'!B:AS,20,FALSE)="","",VLOOKUP(B14,'[1]26MY_PROLOGUE_DATA'!B:AS,20,FALSE))</f>
        <v>10% Discount applied</v>
      </c>
      <c r="R14" s="60"/>
      <c r="S14" s="60"/>
      <c r="T14" s="60"/>
    </row>
    <row r="15" spans="2:20" s="61" customFormat="1" ht="15" x14ac:dyDescent="0.25">
      <c r="B15" s="53" t="s">
        <v>35</v>
      </c>
      <c r="C15" s="62" t="str">
        <f>VLOOKUP(B15,'[1]26MY_PROLOGUE_DATA'!B:AS,3,FALSE)</f>
        <v>All Season Floor Mats</v>
      </c>
      <c r="D15" s="63" t="str">
        <f t="shared" ref="D15:D16" si="0">B15</f>
        <v>08P17-PS2-110</v>
      </c>
      <c r="E15" s="161"/>
      <c r="F15" s="161"/>
      <c r="G15" s="162"/>
      <c r="H15" s="163"/>
      <c r="I15" s="157"/>
      <c r="J15" s="157"/>
      <c r="K15" s="157"/>
      <c r="L15" s="157"/>
      <c r="M15" s="157"/>
      <c r="N15" s="157"/>
      <c r="O15" s="157"/>
      <c r="P15" s="157"/>
      <c r="Q15" s="148"/>
      <c r="R15" s="60"/>
      <c r="S15" s="60"/>
      <c r="T15" s="60"/>
    </row>
    <row r="16" spans="2:20" s="61" customFormat="1" ht="15" x14ac:dyDescent="0.25">
      <c r="B16" s="53" t="s">
        <v>36</v>
      </c>
      <c r="C16" s="62" t="str">
        <f>VLOOKUP(B16,'[1]26MY_PROLOGUE_DATA'!B:AS,3,FALSE)</f>
        <v>Cargo Tray</v>
      </c>
      <c r="D16" s="64" t="str">
        <f t="shared" si="0"/>
        <v>08U45-PS2-100</v>
      </c>
      <c r="E16" s="161"/>
      <c r="F16" s="161"/>
      <c r="G16" s="162"/>
      <c r="H16" s="163"/>
      <c r="I16" s="157"/>
      <c r="J16" s="157"/>
      <c r="K16" s="157"/>
      <c r="L16" s="157"/>
      <c r="M16" s="157"/>
      <c r="N16" s="157"/>
      <c r="O16" s="157"/>
      <c r="P16" s="157"/>
      <c r="Q16" s="149"/>
      <c r="R16" s="60"/>
      <c r="S16" s="60"/>
      <c r="T16" s="60"/>
    </row>
    <row r="17" spans="2:20" s="61" customFormat="1" ht="7.15" customHeight="1" x14ac:dyDescent="0.25">
      <c r="B17" s="53"/>
      <c r="C17" s="66"/>
      <c r="D17" s="67"/>
      <c r="E17" s="67"/>
      <c r="F17" s="67"/>
      <c r="G17" s="67"/>
      <c r="H17" s="67"/>
      <c r="I17" s="67"/>
      <c r="J17" s="67"/>
      <c r="K17" s="67"/>
      <c r="L17" s="67"/>
      <c r="M17" s="67"/>
      <c r="N17" s="67"/>
      <c r="O17" s="67"/>
      <c r="P17" s="67"/>
      <c r="Q17" s="68"/>
      <c r="R17" s="60"/>
      <c r="S17" s="60"/>
    </row>
    <row r="18" spans="2:20" s="61" customFormat="1" ht="15" x14ac:dyDescent="0.25">
      <c r="B18" s="53" t="s">
        <v>37</v>
      </c>
      <c r="C18" s="54" t="str">
        <f>VLOOKUP(B18,'[1]26MY_PROLOGUE_DATA'!B:AS,3,FALSE)</f>
        <v>Protection Package Advance</v>
      </c>
      <c r="D18" s="55" t="str">
        <f>B18</f>
        <v>24PRO-PROA</v>
      </c>
      <c r="E18" s="138">
        <f>VLOOKUP(B18,'[1]26MY_PROLOGUE_DATA'!B:AS,9,FALSE)</f>
        <v>664.2</v>
      </c>
      <c r="F18" s="138">
        <f>VLOOKUP(B18,'[1]26MY_PROLOGUE_DATA'!B:AS,10,FALSE)</f>
        <v>1107</v>
      </c>
      <c r="G18" s="141">
        <f>VLOOKUP(B18,'[1]26MY_PROLOGUE_DATA'!B:AS,7,FALSE)</f>
        <v>0.5</v>
      </c>
      <c r="H18" s="144">
        <f>VLOOKUP(B18,'[1]26MY_PROLOGUE_DATA'!B:AS,11,FALSE)</f>
        <v>1189.5</v>
      </c>
      <c r="I18" s="158">
        <f>VLOOKUP(B18,'[1]26MY_PROLOGUE_DATA'!B:AS,12,FALSE)</f>
        <v>0</v>
      </c>
      <c r="J18" s="151" t="str">
        <f>VLOOKUP(B18,'[1]26MY_PROLOGUE_DATA'!B:AS,13,FALSE)</f>
        <v>•</v>
      </c>
      <c r="K18" s="151" t="str">
        <f>VLOOKUP(B18,'[1]26MY_PROLOGUE_DATA'!B:AS,14,FALSE)</f>
        <v>•</v>
      </c>
      <c r="L18" s="151">
        <f>VLOOKUP(B18,'[1]26MY_PROLOGUE_DATA'!B:AS,15,FALSE)</f>
        <v>0</v>
      </c>
      <c r="M18" s="151" t="str">
        <f>VLOOKUP($B18,'[1]26MY_PROLOGUE_DATA'!$B:$AS,16,FALSE)</f>
        <v>•</v>
      </c>
      <c r="N18" s="151">
        <f>VLOOKUP($B18,'[1]26MY_PROLOGUE_DATA'!$B:$AS,17,FALSE)</f>
        <v>0</v>
      </c>
      <c r="O18" s="151">
        <f>VLOOKUP($B18,'[1]26MY_PROLOGUE_DATA'!$B:$AS,18,FALSE)</f>
        <v>0</v>
      </c>
      <c r="P18" s="151">
        <f>VLOOKUP(B18,'[1]26MY_PROLOGUE_DATA'!B:AS,19,FALSE)</f>
        <v>0</v>
      </c>
      <c r="Q18" s="147" t="str">
        <f>IF(VLOOKUP(B18,'[1]26MY_PROLOGUE_DATA'!B:AS,20,FALSE)="","",VLOOKUP(B18,'[1]26MY_PROLOGUE_DATA'!B:AS,20,FALSE))</f>
        <v>10% Discount applied</v>
      </c>
      <c r="R18" s="60"/>
      <c r="S18" s="60"/>
      <c r="T18" s="60"/>
    </row>
    <row r="19" spans="2:20" s="61" customFormat="1" ht="15" x14ac:dyDescent="0.25">
      <c r="B19" s="53" t="s">
        <v>35</v>
      </c>
      <c r="C19" s="62" t="str">
        <f>VLOOKUP(B19,'[1]26MY_PROLOGUE_DATA'!B:AS,3,FALSE)</f>
        <v>All Season Floor Mats</v>
      </c>
      <c r="D19" s="63" t="str">
        <f t="shared" ref="D19:D22" si="1">B19</f>
        <v>08P17-PS2-110</v>
      </c>
      <c r="E19" s="139"/>
      <c r="F19" s="139"/>
      <c r="G19" s="142"/>
      <c r="H19" s="145"/>
      <c r="I19" s="159"/>
      <c r="J19" s="152"/>
      <c r="K19" s="152"/>
      <c r="L19" s="152"/>
      <c r="M19" s="152"/>
      <c r="N19" s="152"/>
      <c r="O19" s="152"/>
      <c r="P19" s="152"/>
      <c r="Q19" s="148"/>
      <c r="R19" s="60"/>
      <c r="S19" s="60"/>
      <c r="T19" s="60"/>
    </row>
    <row r="20" spans="2:20" s="61" customFormat="1" ht="15" x14ac:dyDescent="0.25">
      <c r="B20" s="53" t="s">
        <v>36</v>
      </c>
      <c r="C20" s="62" t="str">
        <f>VLOOKUP(B20,'[1]26MY_PROLOGUE_DATA'!B:AS,3,FALSE)</f>
        <v>Cargo Tray</v>
      </c>
      <c r="D20" s="63" t="str">
        <f t="shared" si="1"/>
        <v>08U45-PS2-100</v>
      </c>
      <c r="E20" s="139"/>
      <c r="F20" s="139"/>
      <c r="G20" s="142"/>
      <c r="H20" s="145"/>
      <c r="I20" s="159"/>
      <c r="J20" s="152"/>
      <c r="K20" s="152"/>
      <c r="L20" s="152"/>
      <c r="M20" s="152"/>
      <c r="N20" s="152"/>
      <c r="O20" s="152"/>
      <c r="P20" s="152"/>
      <c r="Q20" s="148"/>
      <c r="R20" s="60"/>
      <c r="S20" s="60"/>
      <c r="T20" s="60"/>
    </row>
    <row r="21" spans="2:20" s="61" customFormat="1" ht="15" x14ac:dyDescent="0.25">
      <c r="B21" s="53" t="s">
        <v>38</v>
      </c>
      <c r="C21" s="62" t="str">
        <f>VLOOKUP(B21,'[1]26MY_PROLOGUE_DATA'!B:AS,3,FALSE)</f>
        <v>Cargo Cover</v>
      </c>
      <c r="D21" s="63" t="str">
        <f t="shared" si="1"/>
        <v>08Z07-PS2-310</v>
      </c>
      <c r="E21" s="139"/>
      <c r="F21" s="139"/>
      <c r="G21" s="142"/>
      <c r="H21" s="145"/>
      <c r="I21" s="159"/>
      <c r="J21" s="152"/>
      <c r="K21" s="152"/>
      <c r="L21" s="152"/>
      <c r="M21" s="152"/>
      <c r="N21" s="152"/>
      <c r="O21" s="152"/>
      <c r="P21" s="152"/>
      <c r="Q21" s="148"/>
      <c r="R21" s="60"/>
      <c r="S21" s="60"/>
      <c r="T21" s="60"/>
    </row>
    <row r="22" spans="2:20" s="61" customFormat="1" ht="15" customHeight="1" x14ac:dyDescent="0.25">
      <c r="B22" s="53" t="s">
        <v>39</v>
      </c>
      <c r="C22" s="62" t="str">
        <f>VLOOKUP(B22,'[1]26MY_PROLOGUE_DATA'!B:AS,3,FALSE)</f>
        <v>Seat Back Protector</v>
      </c>
      <c r="D22" s="64" t="str">
        <f t="shared" si="1"/>
        <v>08P30-PS2-100</v>
      </c>
      <c r="E22" s="140"/>
      <c r="F22" s="140"/>
      <c r="G22" s="143"/>
      <c r="H22" s="146"/>
      <c r="I22" s="160"/>
      <c r="J22" s="153"/>
      <c r="K22" s="153"/>
      <c r="L22" s="153"/>
      <c r="M22" s="153"/>
      <c r="N22" s="153"/>
      <c r="O22" s="153"/>
      <c r="P22" s="153"/>
      <c r="Q22" s="149"/>
      <c r="R22" s="60"/>
      <c r="S22" s="60"/>
      <c r="T22" s="60"/>
    </row>
    <row r="23" spans="2:20" s="61" customFormat="1" ht="7.15" customHeight="1" x14ac:dyDescent="0.25">
      <c r="B23" s="53"/>
      <c r="C23" s="66"/>
      <c r="D23" s="67"/>
      <c r="E23" s="67"/>
      <c r="F23" s="67"/>
      <c r="G23" s="67"/>
      <c r="H23" s="67"/>
      <c r="I23" s="67"/>
      <c r="J23" s="67"/>
      <c r="K23" s="67"/>
      <c r="L23" s="67"/>
      <c r="M23" s="67"/>
      <c r="N23" s="67"/>
      <c r="O23" s="67"/>
      <c r="P23" s="67"/>
      <c r="Q23" s="68"/>
      <c r="R23" s="60"/>
      <c r="S23" s="60"/>
    </row>
    <row r="24" spans="2:20" s="61" customFormat="1" ht="15" x14ac:dyDescent="0.25">
      <c r="B24" s="53" t="s">
        <v>40</v>
      </c>
      <c r="C24" s="54" t="str">
        <f>VLOOKUP(B24,'[1]26MY_PROLOGUE_DATA'!B:AS,3,FALSE)</f>
        <v>Black Emblem Set</v>
      </c>
      <c r="D24" s="55" t="str">
        <f>B24</f>
        <v>24PRO-EMB1</v>
      </c>
      <c r="E24" s="138">
        <f>VLOOKUP(B24,'[1]26MY_PROLOGUE_DATA'!B:AS,9,FALSE)</f>
        <v>146.70000000000002</v>
      </c>
      <c r="F24" s="138">
        <f>VLOOKUP(B24,'[1]26MY_PROLOGUE_DATA'!B:AS,10,FALSE)</f>
        <v>244.8</v>
      </c>
      <c r="G24" s="141">
        <f>VLOOKUP(B24,'[1]26MY_PROLOGUE_DATA'!B:AS,7,FALSE)</f>
        <v>0.89999999999999991</v>
      </c>
      <c r="H24" s="144">
        <f>VLOOKUP(B24,'[1]26MY_PROLOGUE_DATA'!B:AS,11,FALSE)</f>
        <v>393.29999999999995</v>
      </c>
      <c r="I24" s="151">
        <f>VLOOKUP(B24,'[1]26MY_PROLOGUE_DATA'!B:AS,12,FALSE)</f>
        <v>0</v>
      </c>
      <c r="J24" s="151" t="str">
        <f>VLOOKUP(B24,'[1]26MY_PROLOGUE_DATA'!B:AS,13,FALSE)</f>
        <v>•</v>
      </c>
      <c r="K24" s="151" t="str">
        <f>VLOOKUP(B24,'[1]26MY_PROLOGUE_DATA'!B:AS,14,FALSE)</f>
        <v>•</v>
      </c>
      <c r="L24" s="151">
        <f>VLOOKUP(B24,'[1]26MY_PROLOGUE_DATA'!B:AS,15,FALSE)</f>
        <v>0</v>
      </c>
      <c r="M24" s="151" t="str">
        <f>VLOOKUP($B24,'[1]26MY_PROLOGUE_DATA'!$B:$AS,16,FALSE)</f>
        <v>N/A</v>
      </c>
      <c r="N24" s="151">
        <f>VLOOKUP($B24,'[1]26MY_PROLOGUE_DATA'!$B:$AS,17,FALSE)</f>
        <v>0</v>
      </c>
      <c r="O24" s="151">
        <f>VLOOKUP($B24,'[1]26MY_PROLOGUE_DATA'!$B:$AS,18,FALSE)</f>
        <v>0</v>
      </c>
      <c r="P24" s="151">
        <f>VLOOKUP(B24,'[1]26MY_PROLOGUE_DATA'!B:AS,19,FALSE)</f>
        <v>0</v>
      </c>
      <c r="Q24" s="147" t="str">
        <f>IF(VLOOKUP(B24,'[1]26MY_PROLOGUE_DATA'!B:AS,20,FALSE)="","",VLOOKUP(B24,'[1]26MY_PROLOGUE_DATA'!B:AS,20,FALSE))</f>
        <v>10% Discount applied</v>
      </c>
      <c r="R24" s="60"/>
      <c r="S24" s="60"/>
      <c r="T24" s="60"/>
    </row>
    <row r="25" spans="2:20" s="61" customFormat="1" ht="30" x14ac:dyDescent="0.25">
      <c r="B25" s="53" t="s">
        <v>41</v>
      </c>
      <c r="C25" s="70" t="str">
        <f>VLOOKUP(B25,'[1]26MY_PROLOGUE_DATA'!B:AS,3,FALSE)</f>
        <v>Black Emblems - Honda Logo Front/Rear &amp; Prologue</v>
      </c>
      <c r="D25" s="63" t="str">
        <f t="shared" ref="D25:D27" si="2">B25</f>
        <v>08F20-PS2-100</v>
      </c>
      <c r="E25" s="139"/>
      <c r="F25" s="139"/>
      <c r="G25" s="142"/>
      <c r="H25" s="145"/>
      <c r="I25" s="152"/>
      <c r="J25" s="152"/>
      <c r="K25" s="152"/>
      <c r="L25" s="152"/>
      <c r="M25" s="152"/>
      <c r="N25" s="152"/>
      <c r="O25" s="152"/>
      <c r="P25" s="152"/>
      <c r="Q25" s="148"/>
      <c r="R25" s="60"/>
      <c r="S25" s="60"/>
      <c r="T25" s="60"/>
    </row>
    <row r="26" spans="2:20" s="61" customFormat="1" ht="15" x14ac:dyDescent="0.25">
      <c r="B26" s="53" t="s">
        <v>42</v>
      </c>
      <c r="C26" s="62" t="str">
        <f>VLOOKUP(B26,'[1]26MY_PROLOGUE_DATA'!B:AS,3,FALSE)</f>
        <v>Black Emblems AWD</v>
      </c>
      <c r="D26" s="63" t="str">
        <f t="shared" si="2"/>
        <v>08F20-PS2-100C</v>
      </c>
      <c r="E26" s="139"/>
      <c r="F26" s="139"/>
      <c r="G26" s="142"/>
      <c r="H26" s="145"/>
      <c r="I26" s="152"/>
      <c r="J26" s="152"/>
      <c r="K26" s="152"/>
      <c r="L26" s="152"/>
      <c r="M26" s="152"/>
      <c r="N26" s="152"/>
      <c r="O26" s="152"/>
      <c r="P26" s="152"/>
      <c r="Q26" s="148"/>
      <c r="R26" s="60"/>
      <c r="S26" s="60"/>
      <c r="T26" s="60"/>
    </row>
    <row r="27" spans="2:20" s="61" customFormat="1" ht="15" customHeight="1" x14ac:dyDescent="0.25">
      <c r="B27" s="53" t="s">
        <v>43</v>
      </c>
      <c r="C27" s="62" t="str">
        <f>VLOOKUP(B27,'[1]26MY_PROLOGUE_DATA'!B:AS,3,FALSE)</f>
        <v>Black Emblems "e:"</v>
      </c>
      <c r="D27" s="64" t="str">
        <f t="shared" si="2"/>
        <v>08F20-PS2-100D</v>
      </c>
      <c r="E27" s="140"/>
      <c r="F27" s="140"/>
      <c r="G27" s="143"/>
      <c r="H27" s="146"/>
      <c r="I27" s="153"/>
      <c r="J27" s="153"/>
      <c r="K27" s="153"/>
      <c r="L27" s="153"/>
      <c r="M27" s="153"/>
      <c r="N27" s="153"/>
      <c r="O27" s="153"/>
      <c r="P27" s="153"/>
      <c r="Q27" s="149"/>
      <c r="R27" s="60"/>
      <c r="S27" s="60"/>
      <c r="T27" s="60"/>
    </row>
    <row r="28" spans="2:20" s="61" customFormat="1" ht="7.15" customHeight="1" x14ac:dyDescent="0.25">
      <c r="B28" s="53"/>
      <c r="C28" s="66"/>
      <c r="D28" s="67"/>
      <c r="E28" s="67"/>
      <c r="F28" s="67"/>
      <c r="G28" s="67"/>
      <c r="H28" s="67"/>
      <c r="I28" s="67"/>
      <c r="J28" s="67"/>
      <c r="K28" s="67"/>
      <c r="L28" s="67"/>
      <c r="M28" s="67"/>
      <c r="N28" s="67"/>
      <c r="O28" s="67"/>
      <c r="P28" s="67"/>
      <c r="Q28" s="68"/>
      <c r="R28" s="60"/>
      <c r="S28" s="60"/>
    </row>
    <row r="29" spans="2:20" s="61" customFormat="1" ht="15" x14ac:dyDescent="0.25">
      <c r="B29" s="53" t="s">
        <v>44</v>
      </c>
      <c r="C29" s="54" t="str">
        <f>VLOOKUP(B29,'[1]26MY_PROLOGUE_DATA'!B:AS,3,FALSE)</f>
        <v>Black Emblem Set</v>
      </c>
      <c r="D29" s="55" t="str">
        <f>B29</f>
        <v>24PRO-EMB2</v>
      </c>
      <c r="E29" s="138">
        <f>VLOOKUP(B29,'[1]26MY_PROLOGUE_DATA'!B:AS,9,FALSE)</f>
        <v>189</v>
      </c>
      <c r="F29" s="138">
        <f>VLOOKUP(B29,'[1]26MY_PROLOGUE_DATA'!B:AS,10,FALSE)</f>
        <v>315</v>
      </c>
      <c r="G29" s="141">
        <f>VLOOKUP(B29,'[1]26MY_PROLOGUE_DATA'!B:AS,7,FALSE)</f>
        <v>0.99999999999999989</v>
      </c>
      <c r="H29" s="144">
        <f>VLOOKUP(B29,'[1]26MY_PROLOGUE_DATA'!B:AS,11,FALSE)</f>
        <v>480</v>
      </c>
      <c r="I29" s="151">
        <f>VLOOKUP(B29,'[1]26MY_PROLOGUE_DATA'!B:AS,12,FALSE)</f>
        <v>0</v>
      </c>
      <c r="J29" s="151" t="str">
        <f>VLOOKUP(B29,'[1]26MY_PROLOGUE_DATA'!B:AS,13,FALSE)</f>
        <v>N/A</v>
      </c>
      <c r="K29" s="151" t="str">
        <f>VLOOKUP(B29,'[1]26MY_PROLOGUE_DATA'!B:AS,14,FALSE)</f>
        <v>N/A</v>
      </c>
      <c r="L29" s="151">
        <f>VLOOKUP(B29,'[1]26MY_PROLOGUE_DATA'!B:AS,15,FALSE)</f>
        <v>0</v>
      </c>
      <c r="M29" s="151" t="str">
        <f>VLOOKUP($B29,'[1]26MY_PROLOGUE_DATA'!$B:$AS,16,FALSE)</f>
        <v>•</v>
      </c>
      <c r="N29" s="151">
        <f>VLOOKUP($B29,'[1]26MY_PROLOGUE_DATA'!$B:$AS,17,FALSE)</f>
        <v>0</v>
      </c>
      <c r="O29" s="151">
        <f>VLOOKUP($B29,'[1]26MY_PROLOGUE_DATA'!$B:$AS,18,FALSE)</f>
        <v>0</v>
      </c>
      <c r="P29" s="151">
        <f>VLOOKUP(B29,'[1]26MY_PROLOGUE_DATA'!B:AS,19,FALSE)</f>
        <v>0</v>
      </c>
      <c r="Q29" s="147" t="str">
        <f>IF(VLOOKUP(B29,'[1]26MY_PROLOGUE_DATA'!B:AS,20,FALSE)="","",VLOOKUP(B29,'[1]26MY_PROLOGUE_DATA'!B:AS,20,FALSE))</f>
        <v>10% Discount applied</v>
      </c>
      <c r="R29" s="60"/>
      <c r="S29" s="60"/>
      <c r="T29" s="60"/>
    </row>
    <row r="30" spans="2:20" s="61" customFormat="1" ht="30" x14ac:dyDescent="0.25">
      <c r="B30" s="53" t="s">
        <v>41</v>
      </c>
      <c r="C30" s="70" t="str">
        <f>VLOOKUP(B30,'[1]26MY_PROLOGUE_DATA'!B:AS,3,FALSE)</f>
        <v>Black Emblems - Honda Logo Front/Rear &amp; Prologue</v>
      </c>
      <c r="D30" s="63" t="str">
        <f t="shared" ref="D30:D33" si="3">B30</f>
        <v>08F20-PS2-100</v>
      </c>
      <c r="E30" s="139"/>
      <c r="F30" s="139"/>
      <c r="G30" s="142"/>
      <c r="H30" s="145"/>
      <c r="I30" s="152"/>
      <c r="J30" s="152"/>
      <c r="K30" s="152"/>
      <c r="L30" s="152"/>
      <c r="M30" s="152"/>
      <c r="N30" s="152"/>
      <c r="O30" s="152"/>
      <c r="P30" s="152"/>
      <c r="Q30" s="148"/>
      <c r="R30" s="60"/>
      <c r="S30" s="60"/>
      <c r="T30" s="60"/>
    </row>
    <row r="31" spans="2:20" s="61" customFormat="1" ht="15" x14ac:dyDescent="0.25">
      <c r="B31" s="53" t="s">
        <v>42</v>
      </c>
      <c r="C31" s="62" t="str">
        <f>VLOOKUP(B31,'[1]26MY_PROLOGUE_DATA'!B:AS,3,FALSE)</f>
        <v>Black Emblems AWD</v>
      </c>
      <c r="D31" s="63" t="str">
        <f t="shared" si="3"/>
        <v>08F20-PS2-100C</v>
      </c>
      <c r="E31" s="139"/>
      <c r="F31" s="139"/>
      <c r="G31" s="142"/>
      <c r="H31" s="145"/>
      <c r="I31" s="152"/>
      <c r="J31" s="152"/>
      <c r="K31" s="152"/>
      <c r="L31" s="152"/>
      <c r="M31" s="152"/>
      <c r="N31" s="152"/>
      <c r="O31" s="152"/>
      <c r="P31" s="152"/>
      <c r="Q31" s="148"/>
      <c r="R31" s="60"/>
      <c r="S31" s="60"/>
      <c r="T31" s="60"/>
    </row>
    <row r="32" spans="2:20" s="61" customFormat="1" ht="15" x14ac:dyDescent="0.25">
      <c r="B32" s="53" t="s">
        <v>45</v>
      </c>
      <c r="C32" s="62" t="str">
        <f>VLOOKUP(B32,'[1]26MY_PROLOGUE_DATA'!B:AS,3,FALSE)</f>
        <v>Black Emblems Touring</v>
      </c>
      <c r="D32" s="63" t="str">
        <f t="shared" si="3"/>
        <v>08F20-PS2-100A</v>
      </c>
      <c r="E32" s="139"/>
      <c r="F32" s="139"/>
      <c r="G32" s="142"/>
      <c r="H32" s="145"/>
      <c r="I32" s="152"/>
      <c r="J32" s="152"/>
      <c r="K32" s="152"/>
      <c r="L32" s="152"/>
      <c r="M32" s="152"/>
      <c r="N32" s="152"/>
      <c r="O32" s="152"/>
      <c r="P32" s="152"/>
      <c r="Q32" s="148"/>
      <c r="R32" s="60"/>
      <c r="S32" s="60"/>
      <c r="T32" s="60"/>
    </row>
    <row r="33" spans="2:20" s="61" customFormat="1" ht="15" customHeight="1" x14ac:dyDescent="0.25">
      <c r="B33" s="53" t="s">
        <v>43</v>
      </c>
      <c r="C33" s="62" t="str">
        <f>VLOOKUP(B33,'[1]26MY_PROLOGUE_DATA'!B:AS,3,FALSE)</f>
        <v>Black Emblems "e:"</v>
      </c>
      <c r="D33" s="64" t="str">
        <f t="shared" si="3"/>
        <v>08F20-PS2-100D</v>
      </c>
      <c r="E33" s="140"/>
      <c r="F33" s="140"/>
      <c r="G33" s="143"/>
      <c r="H33" s="146"/>
      <c r="I33" s="153"/>
      <c r="J33" s="153"/>
      <c r="K33" s="153"/>
      <c r="L33" s="153"/>
      <c r="M33" s="153"/>
      <c r="N33" s="153"/>
      <c r="O33" s="153"/>
      <c r="P33" s="153"/>
      <c r="Q33" s="149"/>
      <c r="R33" s="60"/>
      <c r="S33" s="60"/>
      <c r="T33" s="60"/>
    </row>
    <row r="34" spans="2:20" s="61" customFormat="1" ht="7.15" customHeight="1" x14ac:dyDescent="0.25">
      <c r="B34" s="53"/>
      <c r="C34" s="66"/>
      <c r="D34" s="67"/>
      <c r="E34" s="67"/>
      <c r="F34" s="67"/>
      <c r="G34" s="67"/>
      <c r="H34" s="67"/>
      <c r="I34" s="67"/>
      <c r="J34" s="67"/>
      <c r="K34" s="67"/>
      <c r="L34" s="67"/>
      <c r="M34" s="67"/>
      <c r="N34" s="67"/>
      <c r="O34" s="67"/>
      <c r="P34" s="67"/>
      <c r="Q34" s="68"/>
      <c r="R34" s="60"/>
      <c r="S34" s="60"/>
    </row>
    <row r="35" spans="2:20" s="61" customFormat="1" ht="60" customHeight="1" x14ac:dyDescent="0.25">
      <c r="B35" s="53" t="s">
        <v>46</v>
      </c>
      <c r="C35" s="54" t="str">
        <f>VLOOKUP(B35,'[1]26MY_PROLOGUE_DATA'!B:AS,3,FALSE)</f>
        <v xml:space="preserve">Towing Package </v>
      </c>
      <c r="D35" s="55" t="str">
        <f>B35</f>
        <v>24PRO-TOWSA1 or 24PRO-TOWSA2</v>
      </c>
      <c r="E35" s="154">
        <f>VLOOKUP(B35,'[1]26MY_PROLOGUE_DATA'!B:AS,9,FALSE)</f>
        <v>1227.6000000000001</v>
      </c>
      <c r="F35" s="138">
        <f>VLOOKUP(B35,'[1]26MY_PROLOGUE_DATA'!B:AS,10,FALSE)</f>
        <v>2031.3</v>
      </c>
      <c r="G35" s="141">
        <f>VLOOKUP(B35,'[1]26MY_PROLOGUE_DATA'!B:AS,7,FALSE)</f>
        <v>2.2999999999999998</v>
      </c>
      <c r="H35" s="144">
        <f>VLOOKUP(B35,'[1]26MY_PROLOGUE_DATA'!B:AS,11,FALSE)</f>
        <v>2410.7999999999997</v>
      </c>
      <c r="I35" s="151">
        <f>VLOOKUP(B35,'[1]26MY_PROLOGUE_DATA'!B:AS,12,FALSE)</f>
        <v>0</v>
      </c>
      <c r="J35" s="151" t="str">
        <f>VLOOKUP(B35,'[1]26MY_PROLOGUE_DATA'!B:AS,13,FALSE)</f>
        <v>•</v>
      </c>
      <c r="K35" s="151" t="str">
        <f>VLOOKUP(B35,'[1]26MY_PROLOGUE_DATA'!B:AS,14,FALSE)</f>
        <v>•</v>
      </c>
      <c r="L35" s="151">
        <f>VLOOKUP(B35,'[1]26MY_PROLOGUE_DATA'!B:AS,15,FALSE)</f>
        <v>0</v>
      </c>
      <c r="M35" s="151" t="str">
        <f>VLOOKUP($B35,'[1]26MY_PROLOGUE_DATA'!$B:$AS,16,FALSE)</f>
        <v>•</v>
      </c>
      <c r="N35" s="151">
        <f>VLOOKUP($B35,'[1]26MY_PROLOGUE_DATA'!$B:$AS,17,FALSE)</f>
        <v>0</v>
      </c>
      <c r="O35" s="151">
        <f>VLOOKUP($B35,'[1]26MY_PROLOGUE_DATA'!$B:$AS,18,FALSE)</f>
        <v>0</v>
      </c>
      <c r="P35" s="151">
        <f>VLOOKUP(B35,'[1]26MY_PROLOGUE_DATA'!B:AS,19,FALSE)</f>
        <v>0</v>
      </c>
      <c r="Q35" s="147" t="str">
        <f>IF(VLOOKUP(B35,'[1]26MY_PROLOGUE_DATA'!B:AS,20,FALSE)="","",VLOOKUP(B35,'[1]26MY_PROLOGUE_DATA'!B:AS,20,FALSE))</f>
        <v>10% Discount Applied.
24PRO-TOW-SA1: 1-7/8" Trailer Hitch Ball
24PRO-TOW-SA2: 2" Trailer Hitch Ball</v>
      </c>
      <c r="R35" s="60"/>
      <c r="S35" s="60"/>
      <c r="T35" s="60"/>
    </row>
    <row r="36" spans="2:20" s="61" customFormat="1" ht="15" x14ac:dyDescent="0.25">
      <c r="B36" s="53">
        <v>84933501</v>
      </c>
      <c r="C36" s="62" t="str">
        <f>VLOOKUP(B36,'[1]26MY_PROLOGUE_DATA'!B:AS,3,FALSE)</f>
        <v>Trailer Hitch with Harness</v>
      </c>
      <c r="D36" s="64">
        <f t="shared" ref="D36:D40" si="4">B36</f>
        <v>84933501</v>
      </c>
      <c r="E36" s="155"/>
      <c r="F36" s="139"/>
      <c r="G36" s="142"/>
      <c r="H36" s="145"/>
      <c r="I36" s="152"/>
      <c r="J36" s="152"/>
      <c r="K36" s="152"/>
      <c r="L36" s="152"/>
      <c r="M36" s="152"/>
      <c r="N36" s="152"/>
      <c r="O36" s="152"/>
      <c r="P36" s="152"/>
      <c r="Q36" s="148"/>
      <c r="R36" s="60"/>
      <c r="S36" s="60"/>
      <c r="T36" s="60"/>
    </row>
    <row r="37" spans="2:20" s="61" customFormat="1" ht="15" x14ac:dyDescent="0.25">
      <c r="B37" s="53" t="s">
        <v>47</v>
      </c>
      <c r="C37" s="62" t="str">
        <f>VLOOKUP(B37,'[1]26MY_PROLOGUE_DATA'!B:AS,3,FALSE)</f>
        <v>Rear Lower Garnish for Hitch</v>
      </c>
      <c r="D37" s="64" t="str">
        <f t="shared" si="4"/>
        <v>08F24-PS2-310A</v>
      </c>
      <c r="E37" s="155"/>
      <c r="F37" s="139"/>
      <c r="G37" s="142"/>
      <c r="H37" s="145"/>
      <c r="I37" s="152"/>
      <c r="J37" s="152"/>
      <c r="K37" s="152"/>
      <c r="L37" s="152"/>
      <c r="M37" s="152"/>
      <c r="N37" s="152"/>
      <c r="O37" s="152"/>
      <c r="P37" s="152"/>
      <c r="Q37" s="148"/>
      <c r="R37" s="60"/>
      <c r="S37" s="60"/>
      <c r="T37" s="60"/>
    </row>
    <row r="38" spans="2:20" s="61" customFormat="1" ht="15" x14ac:dyDescent="0.25">
      <c r="B38" s="53" t="s">
        <v>48</v>
      </c>
      <c r="C38" s="62" t="str">
        <f>VLOOKUP(B38,'[1]26MY_PROLOGUE_DATA'!B:AS,3,FALSE)</f>
        <v>Trailer Hitch Ball Mount</v>
      </c>
      <c r="D38" s="64" t="str">
        <f t="shared" si="4"/>
        <v>08L92-PS2-100A</v>
      </c>
      <c r="E38" s="155"/>
      <c r="F38" s="139"/>
      <c r="G38" s="142"/>
      <c r="H38" s="145"/>
      <c r="I38" s="152"/>
      <c r="J38" s="152"/>
      <c r="K38" s="152"/>
      <c r="L38" s="152"/>
      <c r="M38" s="152"/>
      <c r="N38" s="152"/>
      <c r="O38" s="152"/>
      <c r="P38" s="152"/>
      <c r="Q38" s="148"/>
      <c r="R38" s="60"/>
      <c r="S38" s="60"/>
      <c r="T38" s="60"/>
    </row>
    <row r="39" spans="2:20" s="61" customFormat="1" ht="15" x14ac:dyDescent="0.25">
      <c r="B39" s="53" t="s">
        <v>49</v>
      </c>
      <c r="C39" s="62" t="str">
        <f>VLOOKUP(B39,'[1]26MY_PROLOGUE_DATA'!B:AS,3,FALSE)</f>
        <v>Trailer Hitch Locking Pin</v>
      </c>
      <c r="D39" s="64" t="str">
        <f t="shared" si="4"/>
        <v>08L92-SJC-300A</v>
      </c>
      <c r="E39" s="155"/>
      <c r="F39" s="139"/>
      <c r="G39" s="142"/>
      <c r="H39" s="146"/>
      <c r="I39" s="152"/>
      <c r="J39" s="152"/>
      <c r="K39" s="152"/>
      <c r="L39" s="152"/>
      <c r="M39" s="152"/>
      <c r="N39" s="152"/>
      <c r="O39" s="152"/>
      <c r="P39" s="152"/>
      <c r="Q39" s="148"/>
      <c r="R39" s="60"/>
      <c r="S39" s="60"/>
      <c r="T39" s="60"/>
    </row>
    <row r="40" spans="2:20" s="61" customFormat="1" ht="30" x14ac:dyDescent="0.25">
      <c r="B40" s="53" t="s">
        <v>50</v>
      </c>
      <c r="C40" s="62" t="str">
        <f>VLOOKUP(B40,'[1]26MY_PROLOGUE_DATA'!B:AS,3,FALSE)</f>
        <v xml:space="preserve">Trailer Hitch Ball - 1-7/8" or 2" </v>
      </c>
      <c r="D40" s="63" t="str">
        <f t="shared" si="4"/>
        <v>08L92-S9V-300G or 
08L92-S9V-300H</v>
      </c>
      <c r="E40" s="156"/>
      <c r="F40" s="140"/>
      <c r="G40" s="143"/>
      <c r="H40" s="69"/>
      <c r="I40" s="153"/>
      <c r="J40" s="153"/>
      <c r="K40" s="153"/>
      <c r="L40" s="153"/>
      <c r="M40" s="153"/>
      <c r="N40" s="153"/>
      <c r="O40" s="153"/>
      <c r="P40" s="153"/>
      <c r="Q40" s="149"/>
      <c r="R40" s="60"/>
      <c r="S40" s="60"/>
      <c r="T40" s="60"/>
    </row>
    <row r="41" spans="2:20" s="73" customFormat="1" ht="15" customHeight="1" x14ac:dyDescent="0.25">
      <c r="B41" s="71"/>
      <c r="C41" s="48"/>
      <c r="D41" s="48"/>
      <c r="E41" s="48"/>
      <c r="F41" s="48"/>
      <c r="G41" s="49"/>
      <c r="H41" s="48"/>
      <c r="I41" s="48"/>
      <c r="J41" s="48"/>
      <c r="K41" s="48"/>
      <c r="L41" s="48"/>
      <c r="M41" s="48"/>
      <c r="N41" s="48"/>
      <c r="O41" s="48"/>
      <c r="P41" s="48"/>
      <c r="Q41" s="72"/>
    </row>
    <row r="42" spans="2:20" s="75" customFormat="1" ht="18.75" x14ac:dyDescent="0.3">
      <c r="B42" s="53"/>
      <c r="C42" s="46" t="s">
        <v>51</v>
      </c>
      <c r="D42" s="46"/>
      <c r="E42" s="74"/>
      <c r="F42" s="74"/>
      <c r="G42" s="74"/>
      <c r="H42" s="74"/>
      <c r="I42" s="74"/>
      <c r="J42" s="74"/>
      <c r="K42" s="74"/>
      <c r="L42" s="74"/>
      <c r="M42" s="74"/>
      <c r="N42" s="74"/>
      <c r="O42" s="74"/>
      <c r="P42" s="74"/>
      <c r="Q42" s="74"/>
    </row>
    <row r="43" spans="2:20" s="61" customFormat="1" ht="15" customHeight="1" x14ac:dyDescent="0.25">
      <c r="B43" s="53"/>
      <c r="C43" s="137" t="s">
        <v>26</v>
      </c>
      <c r="D43" s="137" t="s">
        <v>27</v>
      </c>
      <c r="E43" s="137" t="s">
        <v>28</v>
      </c>
      <c r="F43" s="137" t="s">
        <v>29</v>
      </c>
      <c r="G43" s="137" t="s">
        <v>30</v>
      </c>
      <c r="H43" s="150" t="s">
        <v>31</v>
      </c>
      <c r="I43" s="137" t="s">
        <v>32</v>
      </c>
      <c r="J43" s="137"/>
      <c r="K43" s="137"/>
      <c r="L43" s="137"/>
      <c r="M43" s="137"/>
      <c r="N43" s="137"/>
      <c r="O43" s="137"/>
      <c r="P43" s="137"/>
      <c r="Q43" s="137" t="s">
        <v>33</v>
      </c>
    </row>
    <row r="44" spans="2:20" s="61" customFormat="1" ht="29.1" customHeight="1" x14ac:dyDescent="0.25">
      <c r="B44" s="76"/>
      <c r="C44" s="137"/>
      <c r="D44" s="137"/>
      <c r="E44" s="137"/>
      <c r="F44" s="137"/>
      <c r="G44" s="137"/>
      <c r="H44" s="150"/>
      <c r="I44" s="52">
        <f>'[1]26MY_PROLOGUE_DATA'!$M$7</f>
        <v>0</v>
      </c>
      <c r="J44" s="52" t="str">
        <f>'[1]26MY_PROLOGUE_DATA'!$N$7</f>
        <v>EX</v>
      </c>
      <c r="K44" s="52" t="str">
        <f>'[1]26MY_PROLOGUE_DATA'!$O$7</f>
        <v>EX-L</v>
      </c>
      <c r="L44" s="52">
        <f>'[1]26MY_PROLOGUE_DATA'!$P$7</f>
        <v>0</v>
      </c>
      <c r="M44" s="52" t="str">
        <f>'[1]26MY_PROLOGUE_DATA'!$Q$7</f>
        <v>Touring</v>
      </c>
      <c r="N44" s="52">
        <f>'[1]26MY_PROLOGUE_DATA'!$T$7</f>
        <v>0</v>
      </c>
      <c r="O44" s="52">
        <f>'[1]26MY_PROLOGUE_DATA'!$T$7</f>
        <v>0</v>
      </c>
      <c r="P44" s="52">
        <f>'[1]26MY_PROLOGUE_DATA'!$T$7</f>
        <v>0</v>
      </c>
      <c r="Q44" s="137"/>
    </row>
    <row r="45" spans="2:20" s="73" customFormat="1" ht="15" customHeight="1" x14ac:dyDescent="0.25">
      <c r="B45" s="71" t="s">
        <v>52</v>
      </c>
      <c r="C45" s="77" t="str">
        <f>VLOOKUP(B45,'[1]26MY_PROLOGUE_DATA'!B:AS,3,FALSE)</f>
        <v xml:space="preserve">19" Alloy Wheel </v>
      </c>
      <c r="D45" s="78" t="str">
        <f>B45</f>
        <v>08W19-PS2-100</v>
      </c>
      <c r="E45" s="56">
        <f>VLOOKUP(B45,'[1]26MY_PROLOGUE_DATA'!B:AS,9,FALSE)</f>
        <v>1996</v>
      </c>
      <c r="F45" s="56">
        <f>VLOOKUP(B45,'[1]26MY_PROLOGUE_DATA'!B:AS,10,FALSE)</f>
        <v>3196</v>
      </c>
      <c r="G45" s="57">
        <f>VLOOKUP(B45,'[1]26MY_PROLOGUE_DATA'!B:AS,7,FALSE)</f>
        <v>1.8</v>
      </c>
      <c r="H45" s="58">
        <f>VLOOKUP(B45,'[1]26MY_PROLOGUE_DATA'!B:AS,11,FALSE)</f>
        <v>3493</v>
      </c>
      <c r="I45" s="59">
        <f>VLOOKUP(B45,'[1]26MY_PROLOGUE_DATA'!B:AS,12,FALSE)</f>
        <v>0</v>
      </c>
      <c r="J45" s="59" t="str">
        <f>VLOOKUP(B45,'[1]26MY_PROLOGUE_DATA'!B:AS,13,FALSE)</f>
        <v>E</v>
      </c>
      <c r="K45" s="59" t="str">
        <f>VLOOKUP(B45,'[1]26MY_PROLOGUE_DATA'!B:AS,14,FALSE)</f>
        <v>E</v>
      </c>
      <c r="L45" s="59">
        <f>VLOOKUP(B45,'[1]26MY_PROLOGUE_DATA'!B:AS,15,FALSE)</f>
        <v>0</v>
      </c>
      <c r="M45" s="59" t="str">
        <f>VLOOKUP($B45,'[1]26MY_PROLOGUE_DATA'!$B:$AS,16,FALSE)</f>
        <v>N/A</v>
      </c>
      <c r="N45" s="59">
        <f>VLOOKUP($B45,'[1]26MY_PROLOGUE_DATA'!$B:$AS,17,FALSE)</f>
        <v>0</v>
      </c>
      <c r="O45" s="59">
        <f>VLOOKUP($B45,'[1]26MY_PROLOGUE_DATA'!$B:$AS,18,FALSE)</f>
        <v>0</v>
      </c>
      <c r="P45" s="59">
        <f>VLOOKUP(B45,'[1]26MY_PROLOGUE_DATA'!B:AS,19,FALSE)</f>
        <v>0</v>
      </c>
      <c r="Q45" s="79" t="str">
        <f>IF(VLOOKUP(B45,'[1]26MY_PROLOGUE_DATA'!B:AS,20,FALSE)="","",VLOOKUP(B45,'[1]26MY_PROLOGUE_DATA'!B:AS,20,FALSE))</f>
        <v>Priced as a set of 4 wheels. Tires sold separately.</v>
      </c>
    </row>
    <row r="46" spans="2:20" s="61" customFormat="1" ht="16.5" x14ac:dyDescent="0.25">
      <c r="B46" s="76">
        <v>85548789</v>
      </c>
      <c r="C46" s="77" t="str">
        <f>VLOOKUP(B46,'[1]26MY_PROLOGUE_DATA'!B:AS,3,FALSE)</f>
        <v>Wheel Locks Chrome</v>
      </c>
      <c r="D46" s="80">
        <f t="shared" ref="D46:D48" si="5">B46</f>
        <v>85548789</v>
      </c>
      <c r="E46" s="56">
        <f>VLOOKUP(B46,'[1]26MY_PROLOGUE_DATA'!B:AS,9,FALSE)</f>
        <v>164</v>
      </c>
      <c r="F46" s="56">
        <f>VLOOKUP(B46,'[1]26MY_PROLOGUE_DATA'!B:AS,10,FALSE)</f>
        <v>273</v>
      </c>
      <c r="G46" s="57">
        <f>VLOOKUP(B46,'[1]26MY_PROLOGUE_DATA'!B:AS,7,FALSE)</f>
        <v>0.2</v>
      </c>
      <c r="H46" s="58">
        <f>VLOOKUP(B46,'[1]26MY_PROLOGUE_DATA'!B:AS,11,FALSE)</f>
        <v>306</v>
      </c>
      <c r="I46" s="59">
        <f>VLOOKUP(B46,'[1]26MY_PROLOGUE_DATA'!B:AS,12,FALSE)</f>
        <v>0</v>
      </c>
      <c r="J46" s="59" t="str">
        <f>VLOOKUP(B46,'[1]26MY_PROLOGUE_DATA'!B:AS,13,FALSE)</f>
        <v>•</v>
      </c>
      <c r="K46" s="59" t="str">
        <f>VLOOKUP(B46,'[1]26MY_PROLOGUE_DATA'!B:AS,14,FALSE)</f>
        <v>•</v>
      </c>
      <c r="L46" s="59">
        <f>VLOOKUP(B46,'[1]26MY_PROLOGUE_DATA'!B:AS,15,FALSE)</f>
        <v>0</v>
      </c>
      <c r="M46" s="59" t="str">
        <f>VLOOKUP($B46,'[1]26MY_PROLOGUE_DATA'!$B:$AS,16,FALSE)</f>
        <v>•</v>
      </c>
      <c r="N46" s="59">
        <f>VLOOKUP($B46,'[1]26MY_PROLOGUE_DATA'!$B:$AS,17,FALSE)</f>
        <v>0</v>
      </c>
      <c r="O46" s="59">
        <f>VLOOKUP($B46,'[1]26MY_PROLOGUE_DATA'!$B:$AS,18,FALSE)</f>
        <v>0</v>
      </c>
      <c r="P46" s="59">
        <f>VLOOKUP(B46,'[1]26MY_PROLOGUE_DATA'!B:AS,19,FALSE)</f>
        <v>0</v>
      </c>
      <c r="Q46" s="79" t="str">
        <f>IF(VLOOKUP(B46,'[1]26MY_PROLOGUE_DATA'!B:AS,20,FALSE)="","",VLOOKUP(B46,'[1]26MY_PROLOGUE_DATA'!B:AS,20,FALSE))</f>
        <v/>
      </c>
    </row>
    <row r="47" spans="2:20" s="61" customFormat="1" ht="16.5" x14ac:dyDescent="0.25">
      <c r="B47" s="76">
        <v>85039001</v>
      </c>
      <c r="C47" s="77" t="str">
        <f>VLOOKUP(B47,'[1]26MY_PROLOGUE_DATA'!B:AS,3,FALSE)</f>
        <v>Wheel Locks Black</v>
      </c>
      <c r="D47" s="80">
        <f t="shared" si="5"/>
        <v>85039001</v>
      </c>
      <c r="E47" s="56">
        <f>VLOOKUP(B47,'[1]26MY_PROLOGUE_DATA'!B:AS,9,FALSE)</f>
        <v>222</v>
      </c>
      <c r="F47" s="56">
        <f>VLOOKUP(B47,'[1]26MY_PROLOGUE_DATA'!B:AS,10,FALSE)</f>
        <v>370</v>
      </c>
      <c r="G47" s="57">
        <f>VLOOKUP(B47,'[1]26MY_PROLOGUE_DATA'!B:AS,7,FALSE)</f>
        <v>0.2</v>
      </c>
      <c r="H47" s="58">
        <f>VLOOKUP(B47,'[1]26MY_PROLOGUE_DATA'!B:AS,11,FALSE)</f>
        <v>403</v>
      </c>
      <c r="I47" s="59">
        <f>VLOOKUP(B47,'[1]26MY_PROLOGUE_DATA'!B:AS,12,FALSE)</f>
        <v>0</v>
      </c>
      <c r="J47" s="59" t="str">
        <f>VLOOKUP(B47,'[1]26MY_PROLOGUE_DATA'!B:AS,13,FALSE)</f>
        <v>•</v>
      </c>
      <c r="K47" s="59" t="str">
        <f>VLOOKUP(B47,'[1]26MY_PROLOGUE_DATA'!B:AS,14,FALSE)</f>
        <v>•</v>
      </c>
      <c r="L47" s="59">
        <f>VLOOKUP(B47,'[1]26MY_PROLOGUE_DATA'!B:AS,15,FALSE)</f>
        <v>0</v>
      </c>
      <c r="M47" s="59" t="str">
        <f>VLOOKUP($B47,'[1]26MY_PROLOGUE_DATA'!$B:$AS,16,FALSE)</f>
        <v>•</v>
      </c>
      <c r="N47" s="59">
        <f>VLOOKUP($B47,'[1]26MY_PROLOGUE_DATA'!$B:$AS,17,FALSE)</f>
        <v>0</v>
      </c>
      <c r="O47" s="59">
        <f>VLOOKUP($B47,'[1]26MY_PROLOGUE_DATA'!$B:$AS,18,FALSE)</f>
        <v>0</v>
      </c>
      <c r="P47" s="59">
        <f>VLOOKUP(B47,'[1]26MY_PROLOGUE_DATA'!B:AS,19,FALSE)</f>
        <v>0</v>
      </c>
      <c r="Q47" s="79" t="str">
        <f>IF(VLOOKUP(B47,'[1]26MY_PROLOGUE_DATA'!B:AS,20,FALSE)="","",VLOOKUP(B47,'[1]26MY_PROLOGUE_DATA'!B:AS,20,FALSE))</f>
        <v/>
      </c>
    </row>
    <row r="48" spans="2:20" s="61" customFormat="1" ht="16.5" x14ac:dyDescent="0.25">
      <c r="B48" s="76">
        <v>85105297</v>
      </c>
      <c r="C48" s="77" t="str">
        <f>VLOOKUP(B48,'[1]26MY_PROLOGUE_DATA'!B:AS,3,FALSE)</f>
        <v>Wheel Lug Nuts, Black</v>
      </c>
      <c r="D48" s="80">
        <f t="shared" si="5"/>
        <v>85105297</v>
      </c>
      <c r="E48" s="56">
        <f>VLOOKUP(B48,'[1]26MY_PROLOGUE_DATA'!B:AS,9,FALSE)</f>
        <v>410</v>
      </c>
      <c r="F48" s="56">
        <f>VLOOKUP(B48,'[1]26MY_PROLOGUE_DATA'!B:AS,10,FALSE)</f>
        <v>683</v>
      </c>
      <c r="G48" s="57">
        <f>VLOOKUP(B48,'[1]26MY_PROLOGUE_DATA'!B:AS,7,FALSE)</f>
        <v>1.6</v>
      </c>
      <c r="H48" s="58">
        <f>VLOOKUP(B48,'[1]26MY_PROLOGUE_DATA'!B:AS,11,FALSE)</f>
        <v>947</v>
      </c>
      <c r="I48" s="59">
        <f>VLOOKUP(B48,'[1]26MY_PROLOGUE_DATA'!B:AS,12,FALSE)</f>
        <v>0</v>
      </c>
      <c r="J48" s="59" t="str">
        <f>VLOOKUP(B48,'[1]26MY_PROLOGUE_DATA'!B:AS,13,FALSE)</f>
        <v>•</v>
      </c>
      <c r="K48" s="59" t="str">
        <f>VLOOKUP(B48,'[1]26MY_PROLOGUE_DATA'!B:AS,14,FALSE)</f>
        <v>•</v>
      </c>
      <c r="L48" s="59">
        <f>VLOOKUP(B48,'[1]26MY_PROLOGUE_DATA'!B:AS,15,FALSE)</f>
        <v>0</v>
      </c>
      <c r="M48" s="59" t="str">
        <f>VLOOKUP($B48,'[1]26MY_PROLOGUE_DATA'!$B:$AS,16,FALSE)</f>
        <v>•</v>
      </c>
      <c r="N48" s="59">
        <f>VLOOKUP($B48,'[1]26MY_PROLOGUE_DATA'!$B:$AS,17,FALSE)</f>
        <v>0</v>
      </c>
      <c r="O48" s="59">
        <f>VLOOKUP($B48,'[1]26MY_PROLOGUE_DATA'!$B:$AS,18,FALSE)</f>
        <v>0</v>
      </c>
      <c r="P48" s="59">
        <f>VLOOKUP(B48,'[1]26MY_PROLOGUE_DATA'!B:AS,19,FALSE)</f>
        <v>0</v>
      </c>
      <c r="Q48" s="79" t="str">
        <f>IF(VLOOKUP(B48,'[1]26MY_PROLOGUE_DATA'!B:AS,20,FALSE)="","",VLOOKUP(B48,'[1]26MY_PROLOGUE_DATA'!B:AS,20,FALSE))</f>
        <v/>
      </c>
    </row>
    <row r="49" spans="2:17" s="73" customFormat="1" ht="10.5" customHeight="1" x14ac:dyDescent="0.25">
      <c r="B49" s="71"/>
      <c r="C49" s="81"/>
      <c r="D49" s="82"/>
      <c r="E49" s="83"/>
      <c r="F49" s="83"/>
      <c r="G49" s="84"/>
      <c r="H49" s="85"/>
      <c r="I49" s="86"/>
      <c r="J49" s="60"/>
      <c r="K49" s="86"/>
      <c r="L49" s="86"/>
      <c r="M49" s="86"/>
      <c r="N49" s="86"/>
      <c r="O49" s="86"/>
      <c r="P49" s="86"/>
      <c r="Q49" s="87"/>
    </row>
    <row r="50" spans="2:17" s="75" customFormat="1" ht="18.75" x14ac:dyDescent="0.3">
      <c r="B50" s="88"/>
      <c r="C50" s="46" t="s">
        <v>53</v>
      </c>
      <c r="D50" s="46"/>
      <c r="E50" s="74"/>
      <c r="F50" s="74"/>
      <c r="G50" s="74"/>
      <c r="H50" s="74"/>
      <c r="I50" s="74"/>
      <c r="J50" s="86"/>
      <c r="K50" s="74"/>
      <c r="L50" s="74"/>
      <c r="M50" s="74"/>
      <c r="N50" s="74"/>
      <c r="O50" s="74"/>
      <c r="P50" s="74"/>
      <c r="Q50" s="74"/>
    </row>
    <row r="51" spans="2:17" s="61" customFormat="1" ht="15" customHeight="1" x14ac:dyDescent="0.25">
      <c r="B51" s="76"/>
      <c r="C51" s="137" t="s">
        <v>26</v>
      </c>
      <c r="D51" s="137" t="s">
        <v>27</v>
      </c>
      <c r="E51" s="137" t="s">
        <v>28</v>
      </c>
      <c r="F51" s="137" t="s">
        <v>29</v>
      </c>
      <c r="G51" s="137" t="s">
        <v>30</v>
      </c>
      <c r="H51" s="150" t="s">
        <v>31</v>
      </c>
      <c r="I51" s="137" t="s">
        <v>32</v>
      </c>
      <c r="J51" s="137"/>
      <c r="K51" s="137"/>
      <c r="L51" s="137"/>
      <c r="M51" s="137"/>
      <c r="N51" s="137"/>
      <c r="O51" s="137"/>
      <c r="P51" s="137"/>
      <c r="Q51" s="137" t="s">
        <v>33</v>
      </c>
    </row>
    <row r="52" spans="2:17" s="61" customFormat="1" ht="16.5" x14ac:dyDescent="0.25">
      <c r="B52" s="76"/>
      <c r="C52" s="137"/>
      <c r="D52" s="137"/>
      <c r="E52" s="137"/>
      <c r="F52" s="137"/>
      <c r="G52" s="137"/>
      <c r="H52" s="150"/>
      <c r="I52" s="52">
        <f>'[1]26MY_PROLOGUE_DATA'!$M$7</f>
        <v>0</v>
      </c>
      <c r="J52" s="52" t="str">
        <f>'[1]26MY_PROLOGUE_DATA'!$N$7</f>
        <v>EX</v>
      </c>
      <c r="K52" s="52" t="str">
        <f>'[1]26MY_PROLOGUE_DATA'!$O$7</f>
        <v>EX-L</v>
      </c>
      <c r="L52" s="52">
        <f>'[1]26MY_PROLOGUE_DATA'!$P$7</f>
        <v>0</v>
      </c>
      <c r="M52" s="52" t="str">
        <f>'[1]26MY_PROLOGUE_DATA'!$Q$7</f>
        <v>Touring</v>
      </c>
      <c r="N52" s="52">
        <f>'[1]26MY_PROLOGUE_DATA'!$T$7</f>
        <v>0</v>
      </c>
      <c r="O52" s="52">
        <f>'[1]26MY_PROLOGUE_DATA'!$T$7</f>
        <v>0</v>
      </c>
      <c r="P52" s="52">
        <f>'[1]26MY_PROLOGUE_DATA'!$T$7</f>
        <v>0</v>
      </c>
      <c r="Q52" s="137"/>
    </row>
    <row r="53" spans="2:17" s="73" customFormat="1" ht="15" customHeight="1" x14ac:dyDescent="0.25">
      <c r="B53" s="71" t="s">
        <v>54</v>
      </c>
      <c r="C53" s="77" t="str">
        <f>VLOOKUP(B53,'[1]26MY_PROLOGUE_DATA'!B:AS,3,FALSE)</f>
        <v>Front Grille</v>
      </c>
      <c r="D53" s="78" t="str">
        <f>B53</f>
        <v>08F21-PS2-100</v>
      </c>
      <c r="E53" s="56">
        <f>VLOOKUP(B53,'[1]26MY_PROLOGUE_DATA'!B:AS,9,FALSE)</f>
        <v>273</v>
      </c>
      <c r="F53" s="56">
        <f>VLOOKUP(B53,'[1]26MY_PROLOGUE_DATA'!B:AS,10,FALSE)</f>
        <v>455</v>
      </c>
      <c r="G53" s="57">
        <f>VLOOKUP(B53,'[1]26MY_PROLOGUE_DATA'!B:AS,7,FALSE)</f>
        <v>2</v>
      </c>
      <c r="H53" s="58">
        <f>VLOOKUP(B53,'[1]26MY_PROLOGUE_DATA'!B:AS,11,FALSE)</f>
        <v>785</v>
      </c>
      <c r="I53" s="59">
        <f>VLOOKUP(B53,'[1]26MY_PROLOGUE_DATA'!B:AS,12,FALSE)</f>
        <v>0</v>
      </c>
      <c r="J53" s="59" t="str">
        <f>VLOOKUP(B53,'[1]26MY_PROLOGUE_DATA'!B:AS,13,FALSE)</f>
        <v>•</v>
      </c>
      <c r="K53" s="59" t="str">
        <f>VLOOKUP(B53,'[1]26MY_PROLOGUE_DATA'!B:AS,14,FALSE)</f>
        <v>•</v>
      </c>
      <c r="L53" s="59">
        <f>VLOOKUP(B53,'[1]26MY_PROLOGUE_DATA'!B:AS,15,FALSE)</f>
        <v>0</v>
      </c>
      <c r="M53" s="59" t="str">
        <f>VLOOKUP($B53,'[1]26MY_PROLOGUE_DATA'!$B:$AS,16,FALSE)</f>
        <v>•</v>
      </c>
      <c r="N53" s="59">
        <f>VLOOKUP($B53,'[1]26MY_PROLOGUE_DATA'!$B:$AS,17,FALSE)</f>
        <v>0</v>
      </c>
      <c r="O53" s="59">
        <f>VLOOKUP($B53,'[1]26MY_PROLOGUE_DATA'!$B:$AS,18,FALSE)</f>
        <v>0</v>
      </c>
      <c r="P53" s="59">
        <f>VLOOKUP(B53,'[1]26MY_PROLOGUE_DATA'!B:AS,19,FALSE)</f>
        <v>0</v>
      </c>
      <c r="Q53" s="79" t="str">
        <f>IF(VLOOKUP(B53,'[1]26MY_PROLOGUE_DATA'!B:AS,20,FALSE)="","",VLOOKUP(B53,'[1]26MY_PROLOGUE_DATA'!B:AS,20,FALSE))</f>
        <v/>
      </c>
    </row>
    <row r="54" spans="2:17" s="73" customFormat="1" ht="15" customHeight="1" x14ac:dyDescent="0.25">
      <c r="B54" s="76" t="s">
        <v>55</v>
      </c>
      <c r="C54" s="77" t="str">
        <f>VLOOKUP(B54,'[1]26MY_PROLOGUE_DATA'!B:AS,3,FALSE)</f>
        <v>Front Lower Garnish</v>
      </c>
      <c r="D54" s="78" t="str">
        <f t="shared" ref="D54:D59" si="6">B54</f>
        <v>08F23-PS2-110A</v>
      </c>
      <c r="E54" s="56">
        <f>VLOOKUP(B54,'[1]26MY_PROLOGUE_DATA'!B:AS,9,FALSE)</f>
        <v>364</v>
      </c>
      <c r="F54" s="56">
        <f>VLOOKUP(B54,'[1]26MY_PROLOGUE_DATA'!B:AS,10,FALSE)</f>
        <v>607</v>
      </c>
      <c r="G54" s="57">
        <f>VLOOKUP(B54,'[1]26MY_PROLOGUE_DATA'!B:AS,7,FALSE)</f>
        <v>1.8</v>
      </c>
      <c r="H54" s="58">
        <f>VLOOKUP(B54,'[1]26MY_PROLOGUE_DATA'!B:AS,11,FALSE)</f>
        <v>904</v>
      </c>
      <c r="I54" s="59">
        <f>VLOOKUP(B54,'[1]26MY_PROLOGUE_DATA'!B:AS,12,FALSE)</f>
        <v>0</v>
      </c>
      <c r="J54" s="59" t="str">
        <f>VLOOKUP(B54,'[1]26MY_PROLOGUE_DATA'!B:AS,13,FALSE)</f>
        <v>N/A</v>
      </c>
      <c r="K54" s="59" t="str">
        <f>VLOOKUP(B54,'[1]26MY_PROLOGUE_DATA'!B:AS,14,FALSE)</f>
        <v>•</v>
      </c>
      <c r="L54" s="59">
        <f>VLOOKUP(B54,'[1]26MY_PROLOGUE_DATA'!B:AS,15,FALSE)</f>
        <v>0</v>
      </c>
      <c r="M54" s="59" t="str">
        <f>VLOOKUP($B54,'[1]26MY_PROLOGUE_DATA'!$B:$AS,16,FALSE)</f>
        <v>•</v>
      </c>
      <c r="N54" s="59">
        <f>VLOOKUP($B54,'[1]26MY_PROLOGUE_DATA'!$B:$AS,17,FALSE)</f>
        <v>0</v>
      </c>
      <c r="O54" s="59">
        <f>VLOOKUP($B54,'[1]26MY_PROLOGUE_DATA'!$B:$AS,18,FALSE)</f>
        <v>0</v>
      </c>
      <c r="P54" s="59">
        <f>VLOOKUP(B54,'[1]26MY_PROLOGUE_DATA'!B:AS,19,FALSE)</f>
        <v>0</v>
      </c>
      <c r="Q54" s="79" t="str">
        <f>IF(VLOOKUP(B54,'[1]26MY_PROLOGUE_DATA'!B:AS,20,FALSE)="","",VLOOKUP(B54,'[1]26MY_PROLOGUE_DATA'!B:AS,20,FALSE))</f>
        <v/>
      </c>
    </row>
    <row r="55" spans="2:17" s="73" customFormat="1" ht="15" customHeight="1" x14ac:dyDescent="0.25">
      <c r="B55" s="76" t="s">
        <v>56</v>
      </c>
      <c r="C55" s="77" t="str">
        <f>VLOOKUP(B55,'[1]26MY_PROLOGUE_DATA'!B:AS,3,FALSE)</f>
        <v>Door Mid Door Garnish</v>
      </c>
      <c r="D55" s="78" t="str">
        <f t="shared" si="6"/>
        <v>08F57-PS2-100A</v>
      </c>
      <c r="E55" s="56">
        <f>VLOOKUP(B55,'[1]26MY_PROLOGUE_DATA'!B:AS,9,FALSE)</f>
        <v>204</v>
      </c>
      <c r="F55" s="56">
        <f>VLOOKUP(B55,'[1]26MY_PROLOGUE_DATA'!B:AS,10,FALSE)</f>
        <v>340</v>
      </c>
      <c r="G55" s="57">
        <f>VLOOKUP(B55,'[1]26MY_PROLOGUE_DATA'!B:AS,7,FALSE)</f>
        <v>0.4</v>
      </c>
      <c r="H55" s="58">
        <f>VLOOKUP(B55,'[1]26MY_PROLOGUE_DATA'!B:AS,11,FALSE)</f>
        <v>406</v>
      </c>
      <c r="I55" s="59">
        <f>VLOOKUP(B55,'[1]26MY_PROLOGUE_DATA'!B:AS,12,FALSE)</f>
        <v>0</v>
      </c>
      <c r="J55" s="59" t="str">
        <f>VLOOKUP(B55,'[1]26MY_PROLOGUE_DATA'!B:AS,13,FALSE)</f>
        <v>•</v>
      </c>
      <c r="K55" s="59" t="str">
        <f>VLOOKUP(B55,'[1]26MY_PROLOGUE_DATA'!B:AS,14,FALSE)</f>
        <v>•</v>
      </c>
      <c r="L55" s="59">
        <f>VLOOKUP(B55,'[1]26MY_PROLOGUE_DATA'!B:AS,15,FALSE)</f>
        <v>0</v>
      </c>
      <c r="M55" s="59" t="str">
        <f>VLOOKUP($B55,'[1]26MY_PROLOGUE_DATA'!$B:$AS,16,FALSE)</f>
        <v>•</v>
      </c>
      <c r="N55" s="59">
        <f>VLOOKUP($B55,'[1]26MY_PROLOGUE_DATA'!$B:$AS,17,FALSE)</f>
        <v>0</v>
      </c>
      <c r="O55" s="59">
        <f>VLOOKUP($B55,'[1]26MY_PROLOGUE_DATA'!$B:$AS,18,FALSE)</f>
        <v>0</v>
      </c>
      <c r="P55" s="59">
        <f>VLOOKUP(B55,'[1]26MY_PROLOGUE_DATA'!B:AS,19,FALSE)</f>
        <v>0</v>
      </c>
      <c r="Q55" s="79" t="str">
        <f>IF(VLOOKUP(B55,'[1]26MY_PROLOGUE_DATA'!B:AS,20,FALSE)="","",VLOOKUP(B55,'[1]26MY_PROLOGUE_DATA'!B:AS,20,FALSE))</f>
        <v/>
      </c>
    </row>
    <row r="56" spans="2:17" s="73" customFormat="1" ht="15" customHeight="1" x14ac:dyDescent="0.25">
      <c r="B56" s="76" t="s">
        <v>57</v>
      </c>
      <c r="C56" s="77" t="str">
        <f>VLOOKUP(B56,'[1]26MY_PROLOGUE_DATA'!B:AS,3,FALSE)</f>
        <v>Door Lower Garnish</v>
      </c>
      <c r="D56" s="78" t="str">
        <f t="shared" si="6"/>
        <v>08F57-PS2-110</v>
      </c>
      <c r="E56" s="56">
        <f>VLOOKUP(B56,'[1]26MY_PROLOGUE_DATA'!B:AS,9,FALSE)</f>
        <v>364</v>
      </c>
      <c r="F56" s="56">
        <f>VLOOKUP(B56,'[1]26MY_PROLOGUE_DATA'!B:AS,10,FALSE)</f>
        <v>607</v>
      </c>
      <c r="G56" s="57">
        <f>VLOOKUP(B56,'[1]26MY_PROLOGUE_DATA'!B:AS,7,FALSE)</f>
        <v>1.2</v>
      </c>
      <c r="H56" s="58">
        <f>VLOOKUP(B56,'[1]26MY_PROLOGUE_DATA'!B:AS,11,FALSE)</f>
        <v>805</v>
      </c>
      <c r="I56" s="59">
        <f>VLOOKUP(B56,'[1]26MY_PROLOGUE_DATA'!B:AS,12,FALSE)</f>
        <v>0</v>
      </c>
      <c r="J56" s="59" t="str">
        <f>VLOOKUP(B56,'[1]26MY_PROLOGUE_DATA'!B:AS,13,FALSE)</f>
        <v>•</v>
      </c>
      <c r="K56" s="59" t="str">
        <f>VLOOKUP(B56,'[1]26MY_PROLOGUE_DATA'!B:AS,14,FALSE)</f>
        <v>•</v>
      </c>
      <c r="L56" s="59">
        <f>VLOOKUP(B56,'[1]26MY_PROLOGUE_DATA'!B:AS,15,FALSE)</f>
        <v>0</v>
      </c>
      <c r="M56" s="59" t="str">
        <f>VLOOKUP($B56,'[1]26MY_PROLOGUE_DATA'!$B:$AS,16,FALSE)</f>
        <v>•</v>
      </c>
      <c r="N56" s="59">
        <f>VLOOKUP($B56,'[1]26MY_PROLOGUE_DATA'!$B:$AS,17,FALSE)</f>
        <v>0</v>
      </c>
      <c r="O56" s="59">
        <f>VLOOKUP($B56,'[1]26MY_PROLOGUE_DATA'!$B:$AS,18,FALSE)</f>
        <v>0</v>
      </c>
      <c r="P56" s="59">
        <f>VLOOKUP(B56,'[1]26MY_PROLOGUE_DATA'!B:AS,19,FALSE)</f>
        <v>0</v>
      </c>
      <c r="Q56" s="79" t="str">
        <f>IF(VLOOKUP(B56,'[1]26MY_PROLOGUE_DATA'!B:AS,20,FALSE)="","",VLOOKUP(B56,'[1]26MY_PROLOGUE_DATA'!B:AS,20,FALSE))</f>
        <v/>
      </c>
    </row>
    <row r="57" spans="2:17" s="73" customFormat="1" ht="15" customHeight="1" x14ac:dyDescent="0.25">
      <c r="B57" s="76" t="s">
        <v>58</v>
      </c>
      <c r="C57" s="77" t="str">
        <f>VLOOKUP(B57,'[1]26MY_PROLOGUE_DATA'!B:AS,3,FALSE)</f>
        <v>Rear Lower Garnish</v>
      </c>
      <c r="D57" s="78" t="str">
        <f t="shared" si="6"/>
        <v>08F24-PS2-110</v>
      </c>
      <c r="E57" s="56">
        <f>VLOOKUP(B57,'[1]26MY_PROLOGUE_DATA'!B:AS,9,FALSE)</f>
        <v>228</v>
      </c>
      <c r="F57" s="56">
        <f>VLOOKUP(B57,'[1]26MY_PROLOGUE_DATA'!B:AS,10,FALSE)</f>
        <v>380</v>
      </c>
      <c r="G57" s="57">
        <f>VLOOKUP(B57,'[1]26MY_PROLOGUE_DATA'!B:AS,7,FALSE)</f>
        <v>1.5</v>
      </c>
      <c r="H57" s="58">
        <f>VLOOKUP(B57,'[1]26MY_PROLOGUE_DATA'!B:AS,11,FALSE)</f>
        <v>627.5</v>
      </c>
      <c r="I57" s="59">
        <f>VLOOKUP(B57,'[1]26MY_PROLOGUE_DATA'!B:AS,12,FALSE)</f>
        <v>0</v>
      </c>
      <c r="J57" s="59" t="str">
        <f>VLOOKUP(B57,'[1]26MY_PROLOGUE_DATA'!B:AS,13,FALSE)</f>
        <v>•</v>
      </c>
      <c r="K57" s="59" t="str">
        <f>VLOOKUP(B57,'[1]26MY_PROLOGUE_DATA'!B:AS,14,FALSE)</f>
        <v>•</v>
      </c>
      <c r="L57" s="59">
        <f>VLOOKUP(B57,'[1]26MY_PROLOGUE_DATA'!B:AS,15,FALSE)</f>
        <v>0</v>
      </c>
      <c r="M57" s="59" t="str">
        <f>VLOOKUP($B57,'[1]26MY_PROLOGUE_DATA'!$B:$AS,16,FALSE)</f>
        <v>•</v>
      </c>
      <c r="N57" s="59">
        <f>VLOOKUP($B57,'[1]26MY_PROLOGUE_DATA'!$B:$AS,17,FALSE)</f>
        <v>0</v>
      </c>
      <c r="O57" s="59">
        <f>VLOOKUP($B57,'[1]26MY_PROLOGUE_DATA'!$B:$AS,18,FALSE)</f>
        <v>0</v>
      </c>
      <c r="P57" s="59">
        <f>VLOOKUP(B57,'[1]26MY_PROLOGUE_DATA'!B:AS,19,FALSE)</f>
        <v>0</v>
      </c>
      <c r="Q57" s="79" t="str">
        <f>IF(VLOOKUP(B57,'[1]26MY_PROLOGUE_DATA'!B:AS,20,FALSE)="","",VLOOKUP(B57,'[1]26MY_PROLOGUE_DATA'!B:AS,20,FALSE))</f>
        <v/>
      </c>
    </row>
    <row r="58" spans="2:17" s="73" customFormat="1" ht="15" customHeight="1" x14ac:dyDescent="0.25">
      <c r="B58" s="76" t="s">
        <v>59</v>
      </c>
      <c r="C58" s="77" t="str">
        <f>VLOOKUP(B58,'[1]26MY_PROLOGUE_DATA'!B:AS,3,FALSE)</f>
        <v>Fender Flares</v>
      </c>
      <c r="D58" s="78" t="str">
        <f t="shared" si="6"/>
        <v>08P21-PS2-100</v>
      </c>
      <c r="E58" s="56">
        <f>VLOOKUP(B58,'[1]26MY_PROLOGUE_DATA'!B:AS,9,FALSE)</f>
        <v>590</v>
      </c>
      <c r="F58" s="56">
        <f>VLOOKUP(B58,'[1]26MY_PROLOGUE_DATA'!B:AS,10,FALSE)</f>
        <v>983</v>
      </c>
      <c r="G58" s="57">
        <f>VLOOKUP(B58,'[1]26MY_PROLOGUE_DATA'!B:AS,7,FALSE)</f>
        <v>1.2</v>
      </c>
      <c r="H58" s="58">
        <f>VLOOKUP(B58,'[1]26MY_PROLOGUE_DATA'!B:AS,11,FALSE)</f>
        <v>1181</v>
      </c>
      <c r="I58" s="59">
        <f>VLOOKUP(B58,'[1]26MY_PROLOGUE_DATA'!B:AS,12,FALSE)</f>
        <v>0</v>
      </c>
      <c r="J58" s="59" t="str">
        <f>VLOOKUP(B58,'[1]26MY_PROLOGUE_DATA'!B:AS,13,FALSE)</f>
        <v>N/A</v>
      </c>
      <c r="K58" s="59" t="str">
        <f>VLOOKUP(B58,'[1]26MY_PROLOGUE_DATA'!B:AS,14,FALSE)</f>
        <v>•</v>
      </c>
      <c r="L58" s="59">
        <f>VLOOKUP(B58,'[1]26MY_PROLOGUE_DATA'!B:AS,15,FALSE)</f>
        <v>0</v>
      </c>
      <c r="M58" s="59" t="str">
        <f>VLOOKUP($B58,'[1]26MY_PROLOGUE_DATA'!$B:$AS,16,FALSE)</f>
        <v>•</v>
      </c>
      <c r="N58" s="59">
        <f>VLOOKUP($B58,'[1]26MY_PROLOGUE_DATA'!$B:$AS,17,FALSE)</f>
        <v>0</v>
      </c>
      <c r="O58" s="59">
        <f>VLOOKUP($B58,'[1]26MY_PROLOGUE_DATA'!$B:$AS,18,FALSE)</f>
        <v>0</v>
      </c>
      <c r="P58" s="59">
        <f>VLOOKUP(B58,'[1]26MY_PROLOGUE_DATA'!B:AS,19,FALSE)</f>
        <v>0</v>
      </c>
      <c r="Q58" s="79" t="str">
        <f>IF(VLOOKUP(B58,'[1]26MY_PROLOGUE_DATA'!B:AS,20,FALSE)="","",VLOOKUP(B58,'[1]26MY_PROLOGUE_DATA'!B:AS,20,FALSE))</f>
        <v>Replaces Splash Guards</v>
      </c>
    </row>
    <row r="59" spans="2:17" s="73" customFormat="1" ht="15" customHeight="1" x14ac:dyDescent="0.25">
      <c r="B59" s="71" t="s">
        <v>60</v>
      </c>
      <c r="C59" s="77" t="str">
        <f>VLOOKUP(B59,'[1]26MY_PROLOGUE_DATA'!B:AS,3,FALSE)</f>
        <v>Door Visor</v>
      </c>
      <c r="D59" s="78" t="str">
        <f t="shared" si="6"/>
        <v>08R04-PS2-100</v>
      </c>
      <c r="E59" s="56">
        <f>VLOOKUP(B59,'[1]26MY_PROLOGUE_DATA'!B:AS,9,FALSE)</f>
        <v>196</v>
      </c>
      <c r="F59" s="56">
        <f>VLOOKUP(B59,'[1]26MY_PROLOGUE_DATA'!B:AS,10,FALSE)</f>
        <v>327</v>
      </c>
      <c r="G59" s="57">
        <f>VLOOKUP(B59,'[1]26MY_PROLOGUE_DATA'!B:AS,7,FALSE)</f>
        <v>0.6</v>
      </c>
      <c r="H59" s="58">
        <f>VLOOKUP(B59,'[1]26MY_PROLOGUE_DATA'!B:AS,11,FALSE)</f>
        <v>426</v>
      </c>
      <c r="I59" s="59">
        <f>VLOOKUP(B59,'[1]26MY_PROLOGUE_DATA'!B:AS,12,FALSE)</f>
        <v>0</v>
      </c>
      <c r="J59" s="59" t="str">
        <f>VLOOKUP(B59,'[1]26MY_PROLOGUE_DATA'!B:AS,13,FALSE)</f>
        <v>•</v>
      </c>
      <c r="K59" s="59" t="str">
        <f>VLOOKUP(B59,'[1]26MY_PROLOGUE_DATA'!B:AS,14,FALSE)</f>
        <v>•</v>
      </c>
      <c r="L59" s="59">
        <f>VLOOKUP(B59,'[1]26MY_PROLOGUE_DATA'!B:AS,15,FALSE)</f>
        <v>0</v>
      </c>
      <c r="M59" s="59" t="str">
        <f>VLOOKUP($B59,'[1]26MY_PROLOGUE_DATA'!$B:$AS,16,FALSE)</f>
        <v>•</v>
      </c>
      <c r="N59" s="59">
        <f>VLOOKUP($B59,'[1]26MY_PROLOGUE_DATA'!$B:$AS,17,FALSE)</f>
        <v>0</v>
      </c>
      <c r="O59" s="59">
        <f>VLOOKUP($B59,'[1]26MY_PROLOGUE_DATA'!$B:$AS,18,FALSE)</f>
        <v>0</v>
      </c>
      <c r="P59" s="59">
        <f>VLOOKUP(B59,'[1]26MY_PROLOGUE_DATA'!B:AS,19,FALSE)</f>
        <v>0</v>
      </c>
      <c r="Q59" s="79" t="str">
        <f>IF(VLOOKUP(B59,'[1]26MY_PROLOGUE_DATA'!B:AS,20,FALSE)="","",VLOOKUP(B59,'[1]26MY_PROLOGUE_DATA'!B:AS,20,FALSE))</f>
        <v/>
      </c>
    </row>
    <row r="60" spans="2:17" s="73" customFormat="1" ht="15" customHeight="1" x14ac:dyDescent="0.25">
      <c r="B60" s="71" t="s">
        <v>61</v>
      </c>
      <c r="C60" s="89" t="str">
        <f>VLOOKUP(B60,'[1]26MY_PROLOGUE_DATA'!B:AS,3,FALSE)</f>
        <v>Emblems</v>
      </c>
      <c r="D60" s="90"/>
      <c r="E60" s="91"/>
      <c r="F60" s="91"/>
      <c r="G60" s="91"/>
      <c r="H60" s="91"/>
      <c r="I60" s="91"/>
      <c r="J60" s="91"/>
      <c r="K60" s="91"/>
      <c r="L60" s="91"/>
      <c r="M60" s="91"/>
      <c r="N60" s="91"/>
      <c r="O60" s="91"/>
      <c r="P60" s="91"/>
      <c r="Q60" s="65"/>
    </row>
    <row r="61" spans="2:17" s="73" customFormat="1" ht="30" x14ac:dyDescent="0.25">
      <c r="B61" s="71" t="s">
        <v>41</v>
      </c>
      <c r="C61" s="92" t="str">
        <f>VLOOKUP(B61,'[1]26MY_PROLOGUE_DATA'!B:AS,3,FALSE)</f>
        <v>Black Emblems - Honda Logo Front/Rear &amp; Prologue</v>
      </c>
      <c r="D61" s="78" t="str">
        <f t="shared" ref="D61:D81" si="7">B61</f>
        <v>08F20-PS2-100</v>
      </c>
      <c r="E61" s="56">
        <f>VLOOKUP(B61,'[1]26MY_PROLOGUE_DATA'!B:AS,9,FALSE)</f>
        <v>97</v>
      </c>
      <c r="F61" s="56">
        <f>VLOOKUP(B61,'[1]26MY_PROLOGUE_DATA'!B:AS,10,FALSE)</f>
        <v>162</v>
      </c>
      <c r="G61" s="57">
        <f>VLOOKUP(B61,'[1]26MY_PROLOGUE_DATA'!B:AS,7,FALSE)</f>
        <v>0.7</v>
      </c>
      <c r="H61" s="58">
        <f>VLOOKUP(B61,'[1]26MY_PROLOGUE_DATA'!B:AS,11,FALSE)</f>
        <v>277.5</v>
      </c>
      <c r="I61" s="59">
        <f>VLOOKUP(B61,'[1]26MY_PROLOGUE_DATA'!B:AS,12,FALSE)</f>
        <v>0</v>
      </c>
      <c r="J61" s="59" t="str">
        <f>VLOOKUP(B61,'[1]26MY_PROLOGUE_DATA'!B:AS,13,FALSE)</f>
        <v>•</v>
      </c>
      <c r="K61" s="59" t="str">
        <f>VLOOKUP(B61,'[1]26MY_PROLOGUE_DATA'!B:AS,14,FALSE)</f>
        <v>•</v>
      </c>
      <c r="L61" s="59">
        <f>VLOOKUP(B61,'[1]26MY_PROLOGUE_DATA'!B:AS,15,FALSE)</f>
        <v>0</v>
      </c>
      <c r="M61" s="59" t="str">
        <f>VLOOKUP($B61,'[1]26MY_PROLOGUE_DATA'!$B:$AS,16,FALSE)</f>
        <v>•</v>
      </c>
      <c r="N61" s="59">
        <f>VLOOKUP($B61,'[1]26MY_PROLOGUE_DATA'!$B:$AS,17,FALSE)</f>
        <v>0</v>
      </c>
      <c r="O61" s="59">
        <f>VLOOKUP($B61,'[1]26MY_PROLOGUE_DATA'!$B:$AS,18,FALSE)</f>
        <v>0</v>
      </c>
      <c r="P61" s="59">
        <f>VLOOKUP(B61,'[1]26MY_PROLOGUE_DATA'!B:AS,19,FALSE)</f>
        <v>0</v>
      </c>
      <c r="Q61" s="79" t="str">
        <f>IF(VLOOKUP(B61,'[1]26MY_PROLOGUE_DATA'!B:AS,20,FALSE)="","",VLOOKUP(B61,'[1]26MY_PROLOGUE_DATA'!B:AS,20,FALSE))</f>
        <v/>
      </c>
    </row>
    <row r="62" spans="2:17" s="73" customFormat="1" ht="15" customHeight="1" x14ac:dyDescent="0.25">
      <c r="B62" s="71" t="s">
        <v>45</v>
      </c>
      <c r="C62" s="93" t="str">
        <f>VLOOKUP(B62,'[1]26MY_PROLOGUE_DATA'!B:AS,3,FALSE)</f>
        <v>Black Emblems Touring</v>
      </c>
      <c r="D62" s="78" t="str">
        <f t="shared" si="7"/>
        <v>08F20-PS2-100A</v>
      </c>
      <c r="E62" s="56">
        <f>VLOOKUP(B62,'[1]26MY_PROLOGUE_DATA'!B:AS,9,FALSE)</f>
        <v>47</v>
      </c>
      <c r="F62" s="56">
        <f>VLOOKUP(B62,'[1]26MY_PROLOGUE_DATA'!B:AS,10,FALSE)</f>
        <v>78</v>
      </c>
      <c r="G62" s="57">
        <f>VLOOKUP(B62,'[1]26MY_PROLOGUE_DATA'!B:AS,7,FALSE)</f>
        <v>0.1</v>
      </c>
      <c r="H62" s="58">
        <f>VLOOKUP(B62,'[1]26MY_PROLOGUE_DATA'!B:AS,11,FALSE)</f>
        <v>94.5</v>
      </c>
      <c r="I62" s="59">
        <f>VLOOKUP(B62,'[1]26MY_PROLOGUE_DATA'!B:AS,12,FALSE)</f>
        <v>0</v>
      </c>
      <c r="J62" s="59" t="str">
        <f>VLOOKUP(B62,'[1]26MY_PROLOGUE_DATA'!B:AS,13,FALSE)</f>
        <v>N/A</v>
      </c>
      <c r="K62" s="59" t="str">
        <f>VLOOKUP(B62,'[1]26MY_PROLOGUE_DATA'!B:AS,14,FALSE)</f>
        <v>N/A</v>
      </c>
      <c r="L62" s="59">
        <f>VLOOKUP(B62,'[1]26MY_PROLOGUE_DATA'!B:AS,15,FALSE)</f>
        <v>0</v>
      </c>
      <c r="M62" s="59" t="str">
        <f>VLOOKUP($B62,'[1]26MY_PROLOGUE_DATA'!$B:$AS,16,FALSE)</f>
        <v>•</v>
      </c>
      <c r="N62" s="59">
        <f>VLOOKUP($B62,'[1]26MY_PROLOGUE_DATA'!$B:$AS,17,FALSE)</f>
        <v>0</v>
      </c>
      <c r="O62" s="59">
        <f>VLOOKUP($B62,'[1]26MY_PROLOGUE_DATA'!$B:$AS,18,FALSE)</f>
        <v>0</v>
      </c>
      <c r="P62" s="59">
        <f>VLOOKUP(B62,'[1]26MY_PROLOGUE_DATA'!B:AS,19,FALSE)</f>
        <v>0</v>
      </c>
      <c r="Q62" s="79" t="str">
        <f>IF(VLOOKUP(B62,'[1]26MY_PROLOGUE_DATA'!B:AS,20,FALSE)="","",VLOOKUP(B62,'[1]26MY_PROLOGUE_DATA'!B:AS,20,FALSE))</f>
        <v/>
      </c>
    </row>
    <row r="63" spans="2:17" s="73" customFormat="1" ht="15" customHeight="1" x14ac:dyDescent="0.25">
      <c r="B63" s="71" t="s">
        <v>42</v>
      </c>
      <c r="C63" s="93" t="str">
        <f>VLOOKUP(B63,'[1]26MY_PROLOGUE_DATA'!B:AS,3,FALSE)</f>
        <v>Black Emblems AWD</v>
      </c>
      <c r="D63" s="78" t="str">
        <f t="shared" si="7"/>
        <v>08F20-PS2-100C</v>
      </c>
      <c r="E63" s="56">
        <f>VLOOKUP(B63,'[1]26MY_PROLOGUE_DATA'!B:AS,9,FALSE)</f>
        <v>33</v>
      </c>
      <c r="F63" s="56">
        <f>VLOOKUP(B63,'[1]26MY_PROLOGUE_DATA'!B:AS,10,FALSE)</f>
        <v>55</v>
      </c>
      <c r="G63" s="57">
        <f>VLOOKUP(B63,'[1]26MY_PROLOGUE_DATA'!B:AS,7,FALSE)</f>
        <v>0.1</v>
      </c>
      <c r="H63" s="58">
        <f>VLOOKUP(B63,'[1]26MY_PROLOGUE_DATA'!B:AS,11,FALSE)</f>
        <v>71.5</v>
      </c>
      <c r="I63" s="59">
        <f>VLOOKUP(B63,'[1]26MY_PROLOGUE_DATA'!B:AS,12,FALSE)</f>
        <v>0</v>
      </c>
      <c r="J63" s="59" t="str">
        <f>VLOOKUP(B63,'[1]26MY_PROLOGUE_DATA'!B:AS,13,FALSE)</f>
        <v>•</v>
      </c>
      <c r="K63" s="59" t="str">
        <f>VLOOKUP(B63,'[1]26MY_PROLOGUE_DATA'!B:AS,14,FALSE)</f>
        <v>•</v>
      </c>
      <c r="L63" s="59">
        <f>VLOOKUP(B63,'[1]26MY_PROLOGUE_DATA'!B:AS,15,FALSE)</f>
        <v>0</v>
      </c>
      <c r="M63" s="59" t="str">
        <f>VLOOKUP($B63,'[1]26MY_PROLOGUE_DATA'!$B:$AS,16,FALSE)</f>
        <v>•</v>
      </c>
      <c r="N63" s="59">
        <f>VLOOKUP($B63,'[1]26MY_PROLOGUE_DATA'!$B:$AS,17,FALSE)</f>
        <v>0</v>
      </c>
      <c r="O63" s="59">
        <f>VLOOKUP($B63,'[1]26MY_PROLOGUE_DATA'!$B:$AS,18,FALSE)</f>
        <v>0</v>
      </c>
      <c r="P63" s="59">
        <f>VLOOKUP(B63,'[1]26MY_PROLOGUE_DATA'!B:AS,19,FALSE)</f>
        <v>0</v>
      </c>
      <c r="Q63" s="79" t="str">
        <f>IF(VLOOKUP(B63,'[1]26MY_PROLOGUE_DATA'!B:AS,20,FALSE)="","",VLOOKUP(B63,'[1]26MY_PROLOGUE_DATA'!B:AS,20,FALSE))</f>
        <v/>
      </c>
    </row>
    <row r="64" spans="2:17" s="73" customFormat="1" ht="15" customHeight="1" x14ac:dyDescent="0.25">
      <c r="B64" s="71" t="s">
        <v>43</v>
      </c>
      <c r="C64" s="93" t="str">
        <f>VLOOKUP(B64,'[1]26MY_PROLOGUE_DATA'!B:AS,3,FALSE)</f>
        <v>Black Emblems "e:"</v>
      </c>
      <c r="D64" s="78" t="str">
        <f t="shared" si="7"/>
        <v>08F20-PS2-100D</v>
      </c>
      <c r="E64" s="56">
        <f>VLOOKUP(B64,'[1]26MY_PROLOGUE_DATA'!B:AS,9,FALSE)</f>
        <v>33</v>
      </c>
      <c r="F64" s="56">
        <f>VLOOKUP(B64,'[1]26MY_PROLOGUE_DATA'!B:AS,10,FALSE)</f>
        <v>55</v>
      </c>
      <c r="G64" s="57">
        <f>VLOOKUP(B64,'[1]26MY_PROLOGUE_DATA'!B:AS,7,FALSE)</f>
        <v>0.1</v>
      </c>
      <c r="H64" s="58">
        <f>VLOOKUP(B64,'[1]26MY_PROLOGUE_DATA'!B:AS,11,FALSE)</f>
        <v>71.5</v>
      </c>
      <c r="I64" s="59">
        <f>VLOOKUP(B64,'[1]26MY_PROLOGUE_DATA'!B:AS,12,FALSE)</f>
        <v>0</v>
      </c>
      <c r="J64" s="59" t="str">
        <f>VLOOKUP(B64,'[1]26MY_PROLOGUE_DATA'!B:AS,13,FALSE)</f>
        <v>•</v>
      </c>
      <c r="K64" s="59" t="str">
        <f>VLOOKUP(B64,'[1]26MY_PROLOGUE_DATA'!B:AS,14,FALSE)</f>
        <v>•</v>
      </c>
      <c r="L64" s="59">
        <f>VLOOKUP(B64,'[1]26MY_PROLOGUE_DATA'!B:AS,15,FALSE)</f>
        <v>0</v>
      </c>
      <c r="M64" s="59" t="str">
        <f>VLOOKUP($B64,'[1]26MY_PROLOGUE_DATA'!$B:$AS,16,FALSE)</f>
        <v>•</v>
      </c>
      <c r="N64" s="59">
        <f>VLOOKUP($B64,'[1]26MY_PROLOGUE_DATA'!$B:$AS,17,FALSE)</f>
        <v>0</v>
      </c>
      <c r="O64" s="59">
        <f>VLOOKUP($B64,'[1]26MY_PROLOGUE_DATA'!$B:$AS,18,FALSE)</f>
        <v>0</v>
      </c>
      <c r="P64" s="59">
        <f>VLOOKUP(B64,'[1]26MY_PROLOGUE_DATA'!B:AS,19,FALSE)</f>
        <v>0</v>
      </c>
      <c r="Q64" s="79" t="str">
        <f>IF(VLOOKUP(B64,'[1]26MY_PROLOGUE_DATA'!B:AS,20,FALSE)="","",VLOOKUP(B64,'[1]26MY_PROLOGUE_DATA'!B:AS,20,FALSE))</f>
        <v/>
      </c>
    </row>
    <row r="65" spans="2:17" s="73" customFormat="1" ht="15" customHeight="1" x14ac:dyDescent="0.25">
      <c r="B65" s="71" t="s">
        <v>62</v>
      </c>
      <c r="C65" s="77" t="str">
        <f>VLOOKUP(B65,'[1]26MY_PROLOGUE_DATA'!B:AS,3,FALSE)</f>
        <v>Door Edge Film</v>
      </c>
      <c r="D65" s="78" t="str">
        <f t="shared" si="7"/>
        <v>08P20-PS2-100</v>
      </c>
      <c r="E65" s="56">
        <f>VLOOKUP(B65,'[1]26MY_PROLOGUE_DATA'!B:AS,9,FALSE)</f>
        <v>55</v>
      </c>
      <c r="F65" s="56">
        <f>VLOOKUP(B65,'[1]26MY_PROLOGUE_DATA'!B:AS,10,FALSE)</f>
        <v>92</v>
      </c>
      <c r="G65" s="57">
        <f>VLOOKUP(B65,'[1]26MY_PROLOGUE_DATA'!B:AS,7,FALSE)</f>
        <v>0.4</v>
      </c>
      <c r="H65" s="58">
        <f>VLOOKUP(B65,'[1]26MY_PROLOGUE_DATA'!B:AS,11,FALSE)</f>
        <v>158</v>
      </c>
      <c r="I65" s="59">
        <f>VLOOKUP(B65,'[1]26MY_PROLOGUE_DATA'!B:AS,12,FALSE)</f>
        <v>0</v>
      </c>
      <c r="J65" s="59" t="str">
        <f>VLOOKUP(B65,'[1]26MY_PROLOGUE_DATA'!B:AS,13,FALSE)</f>
        <v>•</v>
      </c>
      <c r="K65" s="59" t="str">
        <f>VLOOKUP(B65,'[1]26MY_PROLOGUE_DATA'!B:AS,14,FALSE)</f>
        <v>•</v>
      </c>
      <c r="L65" s="59">
        <f>VLOOKUP(B65,'[1]26MY_PROLOGUE_DATA'!B:AS,15,FALSE)</f>
        <v>0</v>
      </c>
      <c r="M65" s="59" t="str">
        <f>VLOOKUP($B65,'[1]26MY_PROLOGUE_DATA'!$B:$AS,16,FALSE)</f>
        <v>•</v>
      </c>
      <c r="N65" s="59">
        <f>VLOOKUP($B65,'[1]26MY_PROLOGUE_DATA'!$B:$AS,17,FALSE)</f>
        <v>0</v>
      </c>
      <c r="O65" s="59">
        <f>VLOOKUP($B65,'[1]26MY_PROLOGUE_DATA'!$B:$AS,18,FALSE)</f>
        <v>0</v>
      </c>
      <c r="P65" s="59">
        <f>VLOOKUP(B65,'[1]26MY_PROLOGUE_DATA'!B:AS,19,FALSE)</f>
        <v>0</v>
      </c>
      <c r="Q65" s="79" t="str">
        <f>IF(VLOOKUP(B65,'[1]26MY_PROLOGUE_DATA'!B:AS,20,FALSE)="","",VLOOKUP(B65,'[1]26MY_PROLOGUE_DATA'!B:AS,20,FALSE))</f>
        <v>Cannot be installed with Door Edge Guard</v>
      </c>
    </row>
    <row r="66" spans="2:17" s="73" customFormat="1" ht="15" customHeight="1" x14ac:dyDescent="0.25">
      <c r="B66" s="71" t="s">
        <v>63</v>
      </c>
      <c r="C66" s="77" t="str">
        <f>VLOOKUP(B66,'[1]26MY_PROLOGUE_DATA'!B:AS,3,FALSE)</f>
        <v>Door Handle Protection Film</v>
      </c>
      <c r="D66" s="78" t="str">
        <f t="shared" si="7"/>
        <v>08P48-PS2-100</v>
      </c>
      <c r="E66" s="56">
        <f>VLOOKUP(B66,'[1]26MY_PROLOGUE_DATA'!B:AS,9,FALSE)</f>
        <v>47</v>
      </c>
      <c r="F66" s="56">
        <f>VLOOKUP(B66,'[1]26MY_PROLOGUE_DATA'!B:AS,10,FALSE)</f>
        <v>78</v>
      </c>
      <c r="G66" s="57">
        <f>VLOOKUP(B66,'[1]26MY_PROLOGUE_DATA'!B:AS,7,FALSE)</f>
        <v>0.4</v>
      </c>
      <c r="H66" s="58">
        <f>VLOOKUP(B66,'[1]26MY_PROLOGUE_DATA'!B:AS,11,FALSE)</f>
        <v>144</v>
      </c>
      <c r="I66" s="59">
        <f>VLOOKUP(B66,'[1]26MY_PROLOGUE_DATA'!B:AS,12,FALSE)</f>
        <v>0</v>
      </c>
      <c r="J66" s="59" t="str">
        <f>VLOOKUP(B66,'[1]26MY_PROLOGUE_DATA'!B:AS,13,FALSE)</f>
        <v>•</v>
      </c>
      <c r="K66" s="59" t="str">
        <f>VLOOKUP(B66,'[1]26MY_PROLOGUE_DATA'!B:AS,14,FALSE)</f>
        <v>•</v>
      </c>
      <c r="L66" s="59">
        <f>VLOOKUP(B66,'[1]26MY_PROLOGUE_DATA'!B:AS,15,FALSE)</f>
        <v>0</v>
      </c>
      <c r="M66" s="59" t="str">
        <f>VLOOKUP($B66,'[1]26MY_PROLOGUE_DATA'!$B:$AS,16,FALSE)</f>
        <v>•</v>
      </c>
      <c r="N66" s="59">
        <f>VLOOKUP($B66,'[1]26MY_PROLOGUE_DATA'!$B:$AS,17,FALSE)</f>
        <v>0</v>
      </c>
      <c r="O66" s="59">
        <f>VLOOKUP($B66,'[1]26MY_PROLOGUE_DATA'!$B:$AS,18,FALSE)</f>
        <v>0</v>
      </c>
      <c r="P66" s="59">
        <f>VLOOKUP(B66,'[1]26MY_PROLOGUE_DATA'!B:AS,19,FALSE)</f>
        <v>0</v>
      </c>
      <c r="Q66" s="79" t="str">
        <f>IF(VLOOKUP(B66,'[1]26MY_PROLOGUE_DATA'!B:AS,20,FALSE)="","",VLOOKUP(B66,'[1]26MY_PROLOGUE_DATA'!B:AS,20,FALSE))</f>
        <v/>
      </c>
    </row>
    <row r="67" spans="2:17" s="73" customFormat="1" ht="15" customHeight="1" x14ac:dyDescent="0.25">
      <c r="B67" s="71" t="s">
        <v>64</v>
      </c>
      <c r="C67" s="77" t="str">
        <f>VLOOKUP(B67,'[1]26MY_PROLOGUE_DATA'!B:AS,3,FALSE)</f>
        <v>Rear Bumper Protection Film</v>
      </c>
      <c r="D67" s="78" t="str">
        <f t="shared" si="7"/>
        <v>08P48-PS2-100A</v>
      </c>
      <c r="E67" s="56">
        <f>VLOOKUP(B67,'[1]26MY_PROLOGUE_DATA'!B:AS,9,FALSE)</f>
        <v>84</v>
      </c>
      <c r="F67" s="56">
        <f>VLOOKUP(B67,'[1]26MY_PROLOGUE_DATA'!B:AS,10,FALSE)</f>
        <v>140</v>
      </c>
      <c r="G67" s="57">
        <f>VLOOKUP(B67,'[1]26MY_PROLOGUE_DATA'!B:AS,7,FALSE)</f>
        <v>0.2</v>
      </c>
      <c r="H67" s="58">
        <f>VLOOKUP(B67,'[1]26MY_PROLOGUE_DATA'!B:AS,11,FALSE)</f>
        <v>173</v>
      </c>
      <c r="I67" s="59">
        <f>VLOOKUP(B67,'[1]26MY_PROLOGUE_DATA'!B:AS,12,FALSE)</f>
        <v>0</v>
      </c>
      <c r="J67" s="59" t="str">
        <f>VLOOKUP(B67,'[1]26MY_PROLOGUE_DATA'!B:AS,13,FALSE)</f>
        <v>•</v>
      </c>
      <c r="K67" s="59" t="str">
        <f>VLOOKUP(B67,'[1]26MY_PROLOGUE_DATA'!B:AS,14,FALSE)</f>
        <v>•</v>
      </c>
      <c r="L67" s="59">
        <f>VLOOKUP(B67,'[1]26MY_PROLOGUE_DATA'!B:AS,15,FALSE)</f>
        <v>0</v>
      </c>
      <c r="M67" s="59" t="str">
        <f>VLOOKUP($B67,'[1]26MY_PROLOGUE_DATA'!$B:$AS,16,FALSE)</f>
        <v>•</v>
      </c>
      <c r="N67" s="59">
        <f>VLOOKUP($B67,'[1]26MY_PROLOGUE_DATA'!$B:$AS,17,FALSE)</f>
        <v>0</v>
      </c>
      <c r="O67" s="59">
        <f>VLOOKUP($B67,'[1]26MY_PROLOGUE_DATA'!$B:$AS,18,FALSE)</f>
        <v>0</v>
      </c>
      <c r="P67" s="59">
        <f>VLOOKUP(B67,'[1]26MY_PROLOGUE_DATA'!B:AS,19,FALSE)</f>
        <v>0</v>
      </c>
      <c r="Q67" s="79" t="str">
        <f>IF(VLOOKUP(B67,'[1]26MY_PROLOGUE_DATA'!B:AS,20,FALSE)="","",VLOOKUP(B67,'[1]26MY_PROLOGUE_DATA'!B:AS,20,FALSE))</f>
        <v/>
      </c>
    </row>
    <row r="68" spans="2:17" s="73" customFormat="1" ht="15" customHeight="1" x14ac:dyDescent="0.25">
      <c r="B68" s="71">
        <v>84933501</v>
      </c>
      <c r="C68" s="77" t="str">
        <f>VLOOKUP(B68,'[1]26MY_PROLOGUE_DATA'!B:AS,3,FALSE)</f>
        <v>Trailer Hitch with Harness</v>
      </c>
      <c r="D68" s="80">
        <f t="shared" si="7"/>
        <v>84933501</v>
      </c>
      <c r="E68" s="94">
        <f>VLOOKUP(B68,'[1]26MY_PROLOGUE_DATA'!B:AS,9,FALSE)</f>
        <v>1060</v>
      </c>
      <c r="F68" s="56">
        <f>VLOOKUP(B68,'[1]26MY_PROLOGUE_DATA'!B:AS,10,FALSE)</f>
        <v>1765</v>
      </c>
      <c r="G68" s="57">
        <f>VLOOKUP(B68,'[1]26MY_PROLOGUE_DATA'!B:AS,7,FALSE)</f>
        <v>0.8</v>
      </c>
      <c r="H68" s="95">
        <f>VLOOKUP(B68,'[1]26MY_PROLOGUE_DATA'!B:AS,11,FALSE)</f>
        <v>1897</v>
      </c>
      <c r="I68" s="59">
        <f>VLOOKUP(B68,'[1]26MY_PROLOGUE_DATA'!B:AS,12,FALSE)</f>
        <v>0</v>
      </c>
      <c r="J68" s="59" t="str">
        <f>VLOOKUP(B68,'[1]26MY_PROLOGUE_DATA'!B:AS,13,FALSE)</f>
        <v>•</v>
      </c>
      <c r="K68" s="59" t="str">
        <f>VLOOKUP(B68,'[1]26MY_PROLOGUE_DATA'!B:AS,14,FALSE)</f>
        <v>•</v>
      </c>
      <c r="L68" s="59">
        <f>VLOOKUP(B68,'[1]26MY_PROLOGUE_DATA'!B:AS,15,FALSE)</f>
        <v>0</v>
      </c>
      <c r="M68" s="59" t="str">
        <f>VLOOKUP($B68,'[1]26MY_PROLOGUE_DATA'!$B:$AS,16,FALSE)</f>
        <v>•</v>
      </c>
      <c r="N68" s="59">
        <f>VLOOKUP($B68,'[1]26MY_PROLOGUE_DATA'!$B:$AS,17,FALSE)</f>
        <v>0</v>
      </c>
      <c r="O68" s="59">
        <f>VLOOKUP($B68,'[1]26MY_PROLOGUE_DATA'!$B:$AS,18,FALSE)</f>
        <v>0</v>
      </c>
      <c r="P68" s="59">
        <f>VLOOKUP(B68,'[1]26MY_PROLOGUE_DATA'!B:AS,19,FALSE)</f>
        <v>0</v>
      </c>
      <c r="Q68" s="79" t="str">
        <f>IF(VLOOKUP(B68,'[1]26MY_PROLOGUE_DATA'!B:AS,20,FALSE)="","",VLOOKUP(B68,'[1]26MY_PROLOGUE_DATA'!B:AS,20,FALSE))</f>
        <v/>
      </c>
    </row>
    <row r="69" spans="2:17" s="73" customFormat="1" ht="15" customHeight="1" x14ac:dyDescent="0.25">
      <c r="B69" s="71" t="s">
        <v>47</v>
      </c>
      <c r="C69" s="77" t="str">
        <f>VLOOKUP(B69,'[1]26MY_PROLOGUE_DATA'!B:AS,3,FALSE)</f>
        <v>Rear Lower Garnish for Hitch</v>
      </c>
      <c r="D69" s="78" t="str">
        <f t="shared" si="7"/>
        <v>08F24-PS2-310A</v>
      </c>
      <c r="E69" s="56">
        <f>VLOOKUP(B69,'[1]26MY_PROLOGUE_DATA'!B:AS,9,FALSE)</f>
        <v>115</v>
      </c>
      <c r="F69" s="56">
        <f>VLOOKUP(B69,'[1]26MY_PROLOGUE_DATA'!B:AS,10,FALSE)</f>
        <v>190</v>
      </c>
      <c r="G69" s="57">
        <f>VLOOKUP(B69,'[1]26MY_PROLOGUE_DATA'!B:AS,7,FALSE)</f>
        <v>1.5</v>
      </c>
      <c r="H69" s="58">
        <f>VLOOKUP(B69,'[1]26MY_PROLOGUE_DATA'!B:AS,11,FALSE)</f>
        <v>437.5</v>
      </c>
      <c r="I69" s="59">
        <f>VLOOKUP(B69,'[1]26MY_PROLOGUE_DATA'!B:AS,12,FALSE)</f>
        <v>0</v>
      </c>
      <c r="J69" s="59" t="str">
        <f>VLOOKUP(B69,'[1]26MY_PROLOGUE_DATA'!B:AS,13,FALSE)</f>
        <v>•</v>
      </c>
      <c r="K69" s="59" t="str">
        <f>VLOOKUP(B69,'[1]26MY_PROLOGUE_DATA'!B:AS,14,FALSE)</f>
        <v>•</v>
      </c>
      <c r="L69" s="59">
        <f>VLOOKUP(B69,'[1]26MY_PROLOGUE_DATA'!B:AS,15,FALSE)</f>
        <v>0</v>
      </c>
      <c r="M69" s="59" t="str">
        <f>VLOOKUP($B69,'[1]26MY_PROLOGUE_DATA'!$B:$AS,16,FALSE)</f>
        <v>•</v>
      </c>
      <c r="N69" s="59">
        <f>VLOOKUP($B69,'[1]26MY_PROLOGUE_DATA'!$B:$AS,17,FALSE)</f>
        <v>0</v>
      </c>
      <c r="O69" s="59">
        <f>VLOOKUP($B69,'[1]26MY_PROLOGUE_DATA'!$B:$AS,18,FALSE)</f>
        <v>0</v>
      </c>
      <c r="P69" s="59">
        <f>VLOOKUP(B69,'[1]26MY_PROLOGUE_DATA'!B:AS,19,FALSE)</f>
        <v>0</v>
      </c>
      <c r="Q69" s="79" t="str">
        <f>IF(VLOOKUP(B69,'[1]26MY_PROLOGUE_DATA'!B:AS,20,FALSE)="","",VLOOKUP(B69,'[1]26MY_PROLOGUE_DATA'!B:AS,20,FALSE))</f>
        <v xml:space="preserve">Does not come with trailer hitch receiver cover. </v>
      </c>
    </row>
    <row r="70" spans="2:17" s="73" customFormat="1" ht="15" customHeight="1" x14ac:dyDescent="0.25">
      <c r="B70" s="71" t="s">
        <v>48</v>
      </c>
      <c r="C70" s="77" t="str">
        <f>VLOOKUP(B70,'[1]26MY_PROLOGUE_DATA'!B:AS,3,FALSE)</f>
        <v>Trailer Hitch Ball Mount</v>
      </c>
      <c r="D70" s="78" t="str">
        <f t="shared" si="7"/>
        <v>08L92-PS2-100A</v>
      </c>
      <c r="E70" s="56">
        <f>VLOOKUP(B70,'[1]26MY_PROLOGUE_DATA'!B:AS,9,FALSE)</f>
        <v>55</v>
      </c>
      <c r="F70" s="56">
        <f>VLOOKUP(B70,'[1]26MY_PROLOGUE_DATA'!B:AS,10,FALSE)</f>
        <v>92</v>
      </c>
      <c r="G70" s="57">
        <f>VLOOKUP(B70,'[1]26MY_PROLOGUE_DATA'!B:AS,7,FALSE)</f>
        <v>0</v>
      </c>
      <c r="H70" s="58">
        <f>VLOOKUP(B70,'[1]26MY_PROLOGUE_DATA'!B:AS,11,FALSE)</f>
        <v>92</v>
      </c>
      <c r="I70" s="59">
        <f>VLOOKUP(B70,'[1]26MY_PROLOGUE_DATA'!B:AS,12,FALSE)</f>
        <v>0</v>
      </c>
      <c r="J70" s="59" t="str">
        <f>VLOOKUP(B70,'[1]26MY_PROLOGUE_DATA'!B:AS,13,FALSE)</f>
        <v>•</v>
      </c>
      <c r="K70" s="59" t="str">
        <f>VLOOKUP(B70,'[1]26MY_PROLOGUE_DATA'!B:AS,14,FALSE)</f>
        <v>•</v>
      </c>
      <c r="L70" s="59">
        <f>VLOOKUP(B70,'[1]26MY_PROLOGUE_DATA'!B:AS,15,FALSE)</f>
        <v>0</v>
      </c>
      <c r="M70" s="59" t="str">
        <f>VLOOKUP($B70,'[1]26MY_PROLOGUE_DATA'!$B:$AS,16,FALSE)</f>
        <v>•</v>
      </c>
      <c r="N70" s="59">
        <f>VLOOKUP($B70,'[1]26MY_PROLOGUE_DATA'!$B:$AS,17,FALSE)</f>
        <v>0</v>
      </c>
      <c r="O70" s="59">
        <f>VLOOKUP($B70,'[1]26MY_PROLOGUE_DATA'!$B:$AS,18,FALSE)</f>
        <v>0</v>
      </c>
      <c r="P70" s="59">
        <f>VLOOKUP(B70,'[1]26MY_PROLOGUE_DATA'!B:AS,19,FALSE)</f>
        <v>0</v>
      </c>
      <c r="Q70" s="79" t="str">
        <f>IF(VLOOKUP(B70,'[1]26MY_PROLOGUE_DATA'!B:AS,20,FALSE)="","",VLOOKUP(B70,'[1]26MY_PROLOGUE_DATA'!B:AS,20,FALSE))</f>
        <v/>
      </c>
    </row>
    <row r="71" spans="2:17" s="73" customFormat="1" ht="15" customHeight="1" x14ac:dyDescent="0.25">
      <c r="B71" s="71" t="s">
        <v>49</v>
      </c>
      <c r="C71" s="77" t="str">
        <f>VLOOKUP(B71,'[1]26MY_PROLOGUE_DATA'!B:AS,3,FALSE)</f>
        <v>Trailer Hitch Locking Pin</v>
      </c>
      <c r="D71" s="78" t="str">
        <f t="shared" si="7"/>
        <v>08L92-SJC-300A</v>
      </c>
      <c r="E71" s="56">
        <f>VLOOKUP(B71,'[1]26MY_PROLOGUE_DATA'!B:AS,9,FALSE)</f>
        <v>106</v>
      </c>
      <c r="F71" s="56">
        <f>VLOOKUP(B71,'[1]26MY_PROLOGUE_DATA'!B:AS,10,FALSE)</f>
        <v>163</v>
      </c>
      <c r="G71" s="57">
        <f>VLOOKUP(B71,'[1]26MY_PROLOGUE_DATA'!B:AS,7,FALSE)</f>
        <v>0</v>
      </c>
      <c r="H71" s="58">
        <f>VLOOKUP(B71,'[1]26MY_PROLOGUE_DATA'!B:AS,11,FALSE)</f>
        <v>163</v>
      </c>
      <c r="I71" s="59">
        <f>VLOOKUP(B71,'[1]26MY_PROLOGUE_DATA'!B:AS,12,FALSE)</f>
        <v>0</v>
      </c>
      <c r="J71" s="59" t="str">
        <f>VLOOKUP(B71,'[1]26MY_PROLOGUE_DATA'!B:AS,13,FALSE)</f>
        <v>•</v>
      </c>
      <c r="K71" s="59" t="str">
        <f>VLOOKUP(B71,'[1]26MY_PROLOGUE_DATA'!B:AS,14,FALSE)</f>
        <v>•</v>
      </c>
      <c r="L71" s="59">
        <f>VLOOKUP(B71,'[1]26MY_PROLOGUE_DATA'!B:AS,15,FALSE)</f>
        <v>0</v>
      </c>
      <c r="M71" s="59" t="str">
        <f>VLOOKUP($B71,'[1]26MY_PROLOGUE_DATA'!$B:$AS,16,FALSE)</f>
        <v>•</v>
      </c>
      <c r="N71" s="59">
        <f>VLOOKUP($B71,'[1]26MY_PROLOGUE_DATA'!$B:$AS,17,FALSE)</f>
        <v>0</v>
      </c>
      <c r="O71" s="59">
        <f>VLOOKUP($B71,'[1]26MY_PROLOGUE_DATA'!$B:$AS,18,FALSE)</f>
        <v>0</v>
      </c>
      <c r="P71" s="59">
        <f>VLOOKUP(B71,'[1]26MY_PROLOGUE_DATA'!B:AS,19,FALSE)</f>
        <v>0</v>
      </c>
      <c r="Q71" s="79" t="str">
        <f>IF(VLOOKUP(B71,'[1]26MY_PROLOGUE_DATA'!B:AS,20,FALSE)="","",VLOOKUP(B71,'[1]26MY_PROLOGUE_DATA'!B:AS,20,FALSE))</f>
        <v/>
      </c>
    </row>
    <row r="72" spans="2:17" s="73" customFormat="1" ht="15" customHeight="1" x14ac:dyDescent="0.25">
      <c r="B72" s="71" t="s">
        <v>65</v>
      </c>
      <c r="C72" s="77" t="str">
        <f>VLOOKUP(B72,'[1]26MY_PROLOGUE_DATA'!B:AS,3,FALSE)</f>
        <v>Trailer Hitch Ball - 1-7/8"</v>
      </c>
      <c r="D72" s="78" t="str">
        <f t="shared" si="7"/>
        <v>08L92-S9V-300G</v>
      </c>
      <c r="E72" s="56">
        <f>VLOOKUP(B72,'[1]26MY_PROLOGUE_DATA'!B:AS,9,FALSE)</f>
        <v>28</v>
      </c>
      <c r="F72" s="56">
        <f>VLOOKUP(B72,'[1]26MY_PROLOGUE_DATA'!B:AS,10,FALSE)</f>
        <v>47</v>
      </c>
      <c r="G72" s="57">
        <f>VLOOKUP(B72,'[1]26MY_PROLOGUE_DATA'!B:AS,7,FALSE)</f>
        <v>0</v>
      </c>
      <c r="H72" s="58">
        <f>VLOOKUP(B72,'[1]26MY_PROLOGUE_DATA'!B:AS,11,FALSE)</f>
        <v>47</v>
      </c>
      <c r="I72" s="59">
        <f>VLOOKUP(B72,'[1]26MY_PROLOGUE_DATA'!B:AS,12,FALSE)</f>
        <v>0</v>
      </c>
      <c r="J72" s="59" t="str">
        <f>VLOOKUP(B72,'[1]26MY_PROLOGUE_DATA'!B:AS,13,FALSE)</f>
        <v>•</v>
      </c>
      <c r="K72" s="59" t="str">
        <f>VLOOKUP(B72,'[1]26MY_PROLOGUE_DATA'!B:AS,14,FALSE)</f>
        <v>•</v>
      </c>
      <c r="L72" s="59">
        <f>VLOOKUP(B72,'[1]26MY_PROLOGUE_DATA'!B:AS,15,FALSE)</f>
        <v>0</v>
      </c>
      <c r="M72" s="59" t="str">
        <f>VLOOKUP($B72,'[1]26MY_PROLOGUE_DATA'!$B:$AS,16,FALSE)</f>
        <v>•</v>
      </c>
      <c r="N72" s="59">
        <f>VLOOKUP($B72,'[1]26MY_PROLOGUE_DATA'!$B:$AS,17,FALSE)</f>
        <v>0</v>
      </c>
      <c r="O72" s="59">
        <f>VLOOKUP($B72,'[1]26MY_PROLOGUE_DATA'!$B:$AS,18,FALSE)</f>
        <v>0</v>
      </c>
      <c r="P72" s="59">
        <f>VLOOKUP(B72,'[1]26MY_PROLOGUE_DATA'!B:AS,19,FALSE)</f>
        <v>0</v>
      </c>
      <c r="Q72" s="79" t="str">
        <f>IF(VLOOKUP(B72,'[1]26MY_PROLOGUE_DATA'!B:AS,20,FALSE)="","",VLOOKUP(B72,'[1]26MY_PROLOGUE_DATA'!B:AS,20,FALSE))</f>
        <v/>
      </c>
    </row>
    <row r="73" spans="2:17" s="73" customFormat="1" ht="15" customHeight="1" x14ac:dyDescent="0.25">
      <c r="B73" s="71" t="s">
        <v>66</v>
      </c>
      <c r="C73" s="77" t="str">
        <f>VLOOKUP(B73,'[1]26MY_PROLOGUE_DATA'!B:AS,3,FALSE)</f>
        <v>Trailer Hitch Ball - 2"</v>
      </c>
      <c r="D73" s="78" t="str">
        <f t="shared" si="7"/>
        <v>08L92-S9V-300H</v>
      </c>
      <c r="E73" s="56">
        <f>VLOOKUP(B73,'[1]26MY_PROLOGUE_DATA'!B:AS,9,FALSE)</f>
        <v>28</v>
      </c>
      <c r="F73" s="56">
        <f>VLOOKUP(B73,'[1]26MY_PROLOGUE_DATA'!B:AS,10,FALSE)</f>
        <v>47</v>
      </c>
      <c r="G73" s="57">
        <f>VLOOKUP(B73,'[1]26MY_PROLOGUE_DATA'!B:AS,7,FALSE)</f>
        <v>0</v>
      </c>
      <c r="H73" s="58">
        <f>VLOOKUP(B73,'[1]26MY_PROLOGUE_DATA'!B:AS,11,FALSE)</f>
        <v>47</v>
      </c>
      <c r="I73" s="59">
        <f>VLOOKUP(B73,'[1]26MY_PROLOGUE_DATA'!B:AS,12,FALSE)</f>
        <v>0</v>
      </c>
      <c r="J73" s="59" t="str">
        <f>VLOOKUP(B73,'[1]26MY_PROLOGUE_DATA'!B:AS,13,FALSE)</f>
        <v>•</v>
      </c>
      <c r="K73" s="59" t="str">
        <f>VLOOKUP(B73,'[1]26MY_PROLOGUE_DATA'!B:AS,14,FALSE)</f>
        <v>•</v>
      </c>
      <c r="L73" s="59">
        <f>VLOOKUP(B73,'[1]26MY_PROLOGUE_DATA'!B:AS,15,FALSE)</f>
        <v>0</v>
      </c>
      <c r="M73" s="59" t="str">
        <f>VLOOKUP($B73,'[1]26MY_PROLOGUE_DATA'!$B:$AS,16,FALSE)</f>
        <v>•</v>
      </c>
      <c r="N73" s="59">
        <f>VLOOKUP($B73,'[1]26MY_PROLOGUE_DATA'!$B:$AS,17,FALSE)</f>
        <v>0</v>
      </c>
      <c r="O73" s="59">
        <f>VLOOKUP($B73,'[1]26MY_PROLOGUE_DATA'!$B:$AS,18,FALSE)</f>
        <v>0</v>
      </c>
      <c r="P73" s="59">
        <f>VLOOKUP(B73,'[1]26MY_PROLOGUE_DATA'!B:AS,19,FALSE)</f>
        <v>0</v>
      </c>
      <c r="Q73" s="79" t="str">
        <f>IF(VLOOKUP(B73,'[1]26MY_PROLOGUE_DATA'!B:AS,20,FALSE)="","",VLOOKUP(B73,'[1]26MY_PROLOGUE_DATA'!B:AS,20,FALSE))</f>
        <v/>
      </c>
    </row>
    <row r="74" spans="2:17" s="73" customFormat="1" ht="15" customHeight="1" x14ac:dyDescent="0.25">
      <c r="B74" s="71" t="s">
        <v>67</v>
      </c>
      <c r="C74" s="77" t="str">
        <f>VLOOKUP(B74,'[1]26MY_PROLOGUE_DATA'!B:AS,3,FALSE)</f>
        <v>Crossbars</v>
      </c>
      <c r="D74" s="78" t="str">
        <f t="shared" si="7"/>
        <v>08L04-PS2-300</v>
      </c>
      <c r="E74" s="56">
        <f>VLOOKUP(B74,'[1]26MY_PROLOGUE_DATA'!B:AS,9,FALSE)</f>
        <v>509</v>
      </c>
      <c r="F74" s="56">
        <f>VLOOKUP(B74,'[1]26MY_PROLOGUE_DATA'!B:AS,10,FALSE)</f>
        <v>848</v>
      </c>
      <c r="G74" s="57">
        <f>VLOOKUP(B74,'[1]26MY_PROLOGUE_DATA'!B:AS,7,FALSE)</f>
        <v>0.3</v>
      </c>
      <c r="H74" s="58">
        <f>VLOOKUP(B74,'[1]26MY_PROLOGUE_DATA'!B:AS,11,FALSE)</f>
        <v>897.5</v>
      </c>
      <c r="I74" s="59">
        <f>VLOOKUP(B74,'[1]26MY_PROLOGUE_DATA'!B:AS,12,FALSE)</f>
        <v>0</v>
      </c>
      <c r="J74" s="59" t="str">
        <f>VLOOKUP(B74,'[1]26MY_PROLOGUE_DATA'!B:AS,13,FALSE)</f>
        <v>N/A</v>
      </c>
      <c r="K74" s="59" t="str">
        <f>VLOOKUP(B74,'[1]26MY_PROLOGUE_DATA'!B:AS,14,FALSE)</f>
        <v>•</v>
      </c>
      <c r="L74" s="59">
        <f>VLOOKUP(B74,'[1]26MY_PROLOGUE_DATA'!B:AS,15,FALSE)</f>
        <v>0</v>
      </c>
      <c r="M74" s="59" t="str">
        <f>VLOOKUP($B74,'[1]26MY_PROLOGUE_DATA'!$B:$AS,16,FALSE)</f>
        <v>•</v>
      </c>
      <c r="N74" s="59">
        <f>VLOOKUP($B74,'[1]26MY_PROLOGUE_DATA'!$B:$AS,17,FALSE)</f>
        <v>0</v>
      </c>
      <c r="O74" s="59">
        <f>VLOOKUP($B74,'[1]26MY_PROLOGUE_DATA'!$B:$AS,18,FALSE)</f>
        <v>0</v>
      </c>
      <c r="P74" s="59">
        <f>VLOOKUP(B74,'[1]26MY_PROLOGUE_DATA'!B:AS,19,FALSE)</f>
        <v>0</v>
      </c>
      <c r="Q74" s="79" t="str">
        <f>IF(VLOOKUP(B74,'[1]26MY_PROLOGUE_DATA'!B:AS,20,FALSE)="","",VLOOKUP(B74,'[1]26MY_PROLOGUE_DATA'!B:AS,20,FALSE))</f>
        <v/>
      </c>
    </row>
    <row r="75" spans="2:17" s="73" customFormat="1" ht="15" customHeight="1" x14ac:dyDescent="0.25">
      <c r="B75" s="71" t="s">
        <v>68</v>
      </c>
      <c r="C75" s="89" t="str">
        <f>VLOOKUP(B75,'[1]26MY_PROLOGUE_DATA'!B:AS,3,FALSE)</f>
        <v xml:space="preserve">Roof Attachments </v>
      </c>
      <c r="D75" s="90"/>
      <c r="E75" s="91"/>
      <c r="F75" s="91"/>
      <c r="G75" s="91"/>
      <c r="H75" s="91"/>
      <c r="I75" s="91"/>
      <c r="J75" s="91"/>
      <c r="K75" s="91"/>
      <c r="L75" s="91"/>
      <c r="M75" s="91"/>
      <c r="N75" s="91"/>
      <c r="O75" s="91"/>
      <c r="P75" s="91"/>
      <c r="Q75" s="65"/>
    </row>
    <row r="76" spans="2:17" s="73" customFormat="1" ht="16.5" x14ac:dyDescent="0.25">
      <c r="B76" s="71" t="s">
        <v>69</v>
      </c>
      <c r="C76" s="96" t="str">
        <f>VLOOKUP(B76,'[1]26MY_PROLOGUE_DATA'!B:AS,3,FALSE)</f>
        <v>Roof Ski/Snowboard Attachment</v>
      </c>
      <c r="D76" s="78" t="str">
        <f t="shared" si="7"/>
        <v>08L03-E09-300C</v>
      </c>
      <c r="E76" s="56">
        <f>VLOOKUP(B76,'[1]26MY_PROLOGUE_DATA'!B:AS,9,FALSE)</f>
        <v>415</v>
      </c>
      <c r="F76" s="56">
        <f>VLOOKUP(B76,'[1]26MY_PROLOGUE_DATA'!B:AS,10,FALSE)</f>
        <v>692</v>
      </c>
      <c r="G76" s="57">
        <f>VLOOKUP(B76,'[1]26MY_PROLOGUE_DATA'!B:AS,7,FALSE)</f>
        <v>0.2</v>
      </c>
      <c r="H76" s="58">
        <f>VLOOKUP(B76,'[1]26MY_PROLOGUE_DATA'!B:AS,11,FALSE)</f>
        <v>725</v>
      </c>
      <c r="I76" s="59">
        <f>VLOOKUP(B76,'[1]26MY_PROLOGUE_DATA'!B:AS,12,FALSE)</f>
        <v>0</v>
      </c>
      <c r="J76" s="59" t="str">
        <f>VLOOKUP(B76,'[1]26MY_PROLOGUE_DATA'!B:AS,13,FALSE)</f>
        <v>N/A</v>
      </c>
      <c r="K76" s="59" t="str">
        <f>VLOOKUP(B76,'[1]26MY_PROLOGUE_DATA'!B:AS,14,FALSE)</f>
        <v>•</v>
      </c>
      <c r="L76" s="59">
        <f>VLOOKUP(B76,'[1]26MY_PROLOGUE_DATA'!B:AS,15,FALSE)</f>
        <v>0</v>
      </c>
      <c r="M76" s="59" t="str">
        <f>VLOOKUP($B76,'[1]26MY_PROLOGUE_DATA'!$B:$AS,16,FALSE)</f>
        <v>•</v>
      </c>
      <c r="N76" s="59">
        <f>VLOOKUP($B76,'[1]26MY_PROLOGUE_DATA'!$B:$AS,17,FALSE)</f>
        <v>0</v>
      </c>
      <c r="O76" s="59">
        <f>VLOOKUP($B76,'[1]26MY_PROLOGUE_DATA'!$B:$AS,18,FALSE)</f>
        <v>0</v>
      </c>
      <c r="P76" s="59">
        <f>VLOOKUP(B76,'[1]26MY_PROLOGUE_DATA'!B:AS,19,FALSE)</f>
        <v>0</v>
      </c>
      <c r="Q76" s="147" t="str">
        <f>IF(VLOOKUP(B76,'[1]26MY_PROLOGUE_DATA'!B:AS,20,FALSE)="","",VLOOKUP(B76,'[1]26MY_PROLOGUE_DATA'!B:AS,20,FALSE))</f>
        <v>Requires Crossbars.</v>
      </c>
    </row>
    <row r="77" spans="2:17" s="73" customFormat="1" ht="16.5" x14ac:dyDescent="0.25">
      <c r="B77" s="71" t="s">
        <v>70</v>
      </c>
      <c r="C77" s="96" t="str">
        <f>VLOOKUP(B77,'[1]26MY_PROLOGUE_DATA'!B:AS,3,FALSE)</f>
        <v>Roof Bicycle Attachment - Frame mount</v>
      </c>
      <c r="D77" s="78" t="str">
        <f t="shared" si="7"/>
        <v>08L07-E09-101</v>
      </c>
      <c r="E77" s="56">
        <f>VLOOKUP(B77,'[1]26MY_PROLOGUE_DATA'!B:AS,9,FALSE)</f>
        <v>383</v>
      </c>
      <c r="F77" s="56">
        <f>VLOOKUP(B77,'[1]26MY_PROLOGUE_DATA'!B:AS,10,FALSE)</f>
        <v>547</v>
      </c>
      <c r="G77" s="57">
        <f>VLOOKUP(B77,'[1]26MY_PROLOGUE_DATA'!B:AS,7,FALSE)</f>
        <v>0.6</v>
      </c>
      <c r="H77" s="58">
        <f>VLOOKUP(B77,'[1]26MY_PROLOGUE_DATA'!B:AS,11,FALSE)</f>
        <v>646</v>
      </c>
      <c r="I77" s="59">
        <f>VLOOKUP(B77,'[1]26MY_PROLOGUE_DATA'!B:AS,12,FALSE)</f>
        <v>0</v>
      </c>
      <c r="J77" s="59" t="str">
        <f>VLOOKUP(B77,'[1]26MY_PROLOGUE_DATA'!B:AS,13,FALSE)</f>
        <v>N/A</v>
      </c>
      <c r="K77" s="59" t="str">
        <f>VLOOKUP(B77,'[1]26MY_PROLOGUE_DATA'!B:AS,14,FALSE)</f>
        <v>•</v>
      </c>
      <c r="L77" s="59">
        <f>VLOOKUP(B77,'[1]26MY_PROLOGUE_DATA'!B:AS,15,FALSE)</f>
        <v>0</v>
      </c>
      <c r="M77" s="59" t="str">
        <f>VLOOKUP($B77,'[1]26MY_PROLOGUE_DATA'!$B:$AS,16,FALSE)</f>
        <v>•</v>
      </c>
      <c r="N77" s="59">
        <f>VLOOKUP($B77,'[1]26MY_PROLOGUE_DATA'!$B:$AS,17,FALSE)</f>
        <v>0</v>
      </c>
      <c r="O77" s="59">
        <f>VLOOKUP($B77,'[1]26MY_PROLOGUE_DATA'!$B:$AS,18,FALSE)</f>
        <v>0</v>
      </c>
      <c r="P77" s="59">
        <f>VLOOKUP(B77,'[1]26MY_PROLOGUE_DATA'!B:AS,19,FALSE)</f>
        <v>0</v>
      </c>
      <c r="Q77" s="148"/>
    </row>
    <row r="78" spans="2:17" s="73" customFormat="1" ht="15" customHeight="1" x14ac:dyDescent="0.25">
      <c r="B78" s="71" t="s">
        <v>71</v>
      </c>
      <c r="C78" s="96" t="str">
        <f>VLOOKUP(B78,'[1]26MY_PROLOGUE_DATA'!B:AS,3,FALSE)</f>
        <v>Bicycle Attachment - Fork Mount</v>
      </c>
      <c r="D78" s="78" t="str">
        <f t="shared" si="7"/>
        <v>08L07-E09-300A</v>
      </c>
      <c r="E78" s="56">
        <f>VLOOKUP(B78,'[1]26MY_PROLOGUE_DATA'!B:AS,9,FALSE)</f>
        <v>292</v>
      </c>
      <c r="F78" s="56">
        <f>VLOOKUP(B78,'[1]26MY_PROLOGUE_DATA'!B:AS,10,FALSE)</f>
        <v>487</v>
      </c>
      <c r="G78" s="57">
        <f>VLOOKUP(B78,'[1]26MY_PROLOGUE_DATA'!B:AS,7,FALSE)</f>
        <v>0.4</v>
      </c>
      <c r="H78" s="58">
        <f>VLOOKUP(B78,'[1]26MY_PROLOGUE_DATA'!B:AS,11,FALSE)</f>
        <v>553</v>
      </c>
      <c r="I78" s="59">
        <f>VLOOKUP(B78,'[1]26MY_PROLOGUE_DATA'!B:AS,12,FALSE)</f>
        <v>0</v>
      </c>
      <c r="J78" s="59" t="str">
        <f>VLOOKUP(B78,'[1]26MY_PROLOGUE_DATA'!B:AS,13,FALSE)</f>
        <v>N/A</v>
      </c>
      <c r="K78" s="59" t="str">
        <f>VLOOKUP(B78,'[1]26MY_PROLOGUE_DATA'!B:AS,14,FALSE)</f>
        <v>•</v>
      </c>
      <c r="L78" s="59">
        <f>VLOOKUP(B78,'[1]26MY_PROLOGUE_DATA'!B:AS,15,FALSE)</f>
        <v>0</v>
      </c>
      <c r="M78" s="59" t="str">
        <f>VLOOKUP($B78,'[1]26MY_PROLOGUE_DATA'!$B:$AS,16,FALSE)</f>
        <v>•</v>
      </c>
      <c r="N78" s="59">
        <f>VLOOKUP($B78,'[1]26MY_PROLOGUE_DATA'!$B:$AS,17,FALSE)</f>
        <v>0</v>
      </c>
      <c r="O78" s="59">
        <f>VLOOKUP($B78,'[1]26MY_PROLOGUE_DATA'!$B:$AS,18,FALSE)</f>
        <v>0</v>
      </c>
      <c r="P78" s="59">
        <f>VLOOKUP(B78,'[1]26MY_PROLOGUE_DATA'!B:AS,19,FALSE)</f>
        <v>0</v>
      </c>
      <c r="Q78" s="148"/>
    </row>
    <row r="79" spans="2:17" s="73" customFormat="1" ht="15" customHeight="1" x14ac:dyDescent="0.25">
      <c r="B79" s="71" t="s">
        <v>72</v>
      </c>
      <c r="C79" s="96" t="str">
        <f>VLOOKUP(B79,'[1]26MY_PROLOGUE_DATA'!B:AS,3,FALSE)</f>
        <v>Roof Box Short</v>
      </c>
      <c r="D79" s="78" t="str">
        <f t="shared" si="7"/>
        <v>08L20-E09-300B</v>
      </c>
      <c r="E79" s="56">
        <f>VLOOKUP(B79,'[1]26MY_PROLOGUE_DATA'!B:AS,9,FALSE)</f>
        <v>799</v>
      </c>
      <c r="F79" s="56">
        <f>VLOOKUP(B79,'[1]26MY_PROLOGUE_DATA'!B:AS,10,FALSE)</f>
        <v>1332</v>
      </c>
      <c r="G79" s="57">
        <f>VLOOKUP(B79,'[1]26MY_PROLOGUE_DATA'!B:AS,7,FALSE)</f>
        <v>0.2</v>
      </c>
      <c r="H79" s="58">
        <f>VLOOKUP(B79,'[1]26MY_PROLOGUE_DATA'!B:AS,11,FALSE)</f>
        <v>1365</v>
      </c>
      <c r="I79" s="59">
        <f>VLOOKUP(B79,'[1]26MY_PROLOGUE_DATA'!B:AS,12,FALSE)</f>
        <v>0</v>
      </c>
      <c r="J79" s="59" t="str">
        <f>VLOOKUP(B79,'[1]26MY_PROLOGUE_DATA'!B:AS,13,FALSE)</f>
        <v>N/A</v>
      </c>
      <c r="K79" s="59" t="str">
        <f>VLOOKUP(B79,'[1]26MY_PROLOGUE_DATA'!B:AS,14,FALSE)</f>
        <v>•</v>
      </c>
      <c r="L79" s="59">
        <f>VLOOKUP(B79,'[1]26MY_PROLOGUE_DATA'!B:AS,15,FALSE)</f>
        <v>0</v>
      </c>
      <c r="M79" s="59" t="str">
        <f>VLOOKUP($B79,'[1]26MY_PROLOGUE_DATA'!$B:$AS,16,FALSE)</f>
        <v>•</v>
      </c>
      <c r="N79" s="59">
        <f>VLOOKUP($B79,'[1]26MY_PROLOGUE_DATA'!$B:$AS,17,FALSE)</f>
        <v>0</v>
      </c>
      <c r="O79" s="59">
        <f>VLOOKUP($B79,'[1]26MY_PROLOGUE_DATA'!$B:$AS,18,FALSE)</f>
        <v>0</v>
      </c>
      <c r="P79" s="59">
        <f>VLOOKUP(B79,'[1]26MY_PROLOGUE_DATA'!B:AS,19,FALSE)</f>
        <v>0</v>
      </c>
      <c r="Q79" s="148"/>
    </row>
    <row r="80" spans="2:17" s="73" customFormat="1" ht="15" customHeight="1" x14ac:dyDescent="0.25">
      <c r="B80" s="71" t="s">
        <v>73</v>
      </c>
      <c r="C80" s="96" t="str">
        <f>VLOOKUP(B80,'[1]26MY_PROLOGUE_DATA'!B:AS,3,FALSE)</f>
        <v>Roof Box, Long</v>
      </c>
      <c r="D80" s="78" t="str">
        <f t="shared" si="7"/>
        <v>08L20-E09-300A</v>
      </c>
      <c r="E80" s="56">
        <f>VLOOKUP(B80,'[1]26MY_PROLOGUE_DATA'!B:AS,9,FALSE)</f>
        <v>875</v>
      </c>
      <c r="F80" s="56">
        <f>VLOOKUP(B80,'[1]26MY_PROLOGUE_DATA'!B:AS,10,FALSE)</f>
        <v>1458</v>
      </c>
      <c r="G80" s="57">
        <f>VLOOKUP(B80,'[1]26MY_PROLOGUE_DATA'!B:AS,7,FALSE)</f>
        <v>0.2</v>
      </c>
      <c r="H80" s="58">
        <f>VLOOKUP(B80,'[1]26MY_PROLOGUE_DATA'!B:AS,11,FALSE)</f>
        <v>1491</v>
      </c>
      <c r="I80" s="59">
        <f>VLOOKUP(B80,'[1]26MY_PROLOGUE_DATA'!B:AS,12,FALSE)</f>
        <v>0</v>
      </c>
      <c r="J80" s="59" t="str">
        <f>VLOOKUP(B80,'[1]26MY_PROLOGUE_DATA'!B:AS,13,FALSE)</f>
        <v>N/A</v>
      </c>
      <c r="K80" s="59" t="str">
        <f>VLOOKUP(B80,'[1]26MY_PROLOGUE_DATA'!B:AS,14,FALSE)</f>
        <v>•</v>
      </c>
      <c r="L80" s="59">
        <f>VLOOKUP(B80,'[1]26MY_PROLOGUE_DATA'!B:AS,15,FALSE)</f>
        <v>0</v>
      </c>
      <c r="M80" s="59" t="str">
        <f>VLOOKUP($B80,'[1]26MY_PROLOGUE_DATA'!$B:$AS,16,FALSE)</f>
        <v>•</v>
      </c>
      <c r="N80" s="59">
        <f>VLOOKUP($B80,'[1]26MY_PROLOGUE_DATA'!$B:$AS,17,FALSE)</f>
        <v>0</v>
      </c>
      <c r="O80" s="59">
        <f>VLOOKUP($B80,'[1]26MY_PROLOGUE_DATA'!$B:$AS,18,FALSE)</f>
        <v>0</v>
      </c>
      <c r="P80" s="59">
        <f>VLOOKUP(B80,'[1]26MY_PROLOGUE_DATA'!B:AS,19,FALSE)</f>
        <v>0</v>
      </c>
      <c r="Q80" s="148"/>
    </row>
    <row r="81" spans="2:17" s="73" customFormat="1" ht="15" customHeight="1" x14ac:dyDescent="0.25">
      <c r="B81" s="71" t="s">
        <v>74</v>
      </c>
      <c r="C81" s="96" t="str">
        <f>VLOOKUP(B81,'[1]26MY_PROLOGUE_DATA'!B:AS,3,FALSE)</f>
        <v>Roof Basket</v>
      </c>
      <c r="D81" s="78" t="str">
        <f t="shared" si="7"/>
        <v>08L20-E09-101C</v>
      </c>
      <c r="E81" s="56">
        <f>VLOOKUP(B81,'[1]26MY_PROLOGUE_DATA'!B:AS,9,FALSE)</f>
        <v>571</v>
      </c>
      <c r="F81" s="56">
        <f>VLOOKUP(B81,'[1]26MY_PROLOGUE_DATA'!B:AS,10,FALSE)</f>
        <v>952</v>
      </c>
      <c r="G81" s="57">
        <f>VLOOKUP(B81,'[1]26MY_PROLOGUE_DATA'!B:AS,7,FALSE)</f>
        <v>0.4</v>
      </c>
      <c r="H81" s="58">
        <f>VLOOKUP(B81,'[1]26MY_PROLOGUE_DATA'!B:AS,11,FALSE)</f>
        <v>1018</v>
      </c>
      <c r="I81" s="59">
        <f>VLOOKUP(B81,'[1]26MY_PROLOGUE_DATA'!B:AS,12,FALSE)</f>
        <v>0</v>
      </c>
      <c r="J81" s="59" t="str">
        <f>VLOOKUP(B81,'[1]26MY_PROLOGUE_DATA'!B:AS,13,FALSE)</f>
        <v>N/A</v>
      </c>
      <c r="K81" s="59" t="str">
        <f>VLOOKUP(B81,'[1]26MY_PROLOGUE_DATA'!B:AS,14,FALSE)</f>
        <v>•</v>
      </c>
      <c r="L81" s="59">
        <f>VLOOKUP(B81,'[1]26MY_PROLOGUE_DATA'!B:AS,15,FALSE)</f>
        <v>0</v>
      </c>
      <c r="M81" s="59" t="str">
        <f>VLOOKUP($B81,'[1]26MY_PROLOGUE_DATA'!$B:$AS,16,FALSE)</f>
        <v>•</v>
      </c>
      <c r="N81" s="59">
        <f>VLOOKUP($B81,'[1]26MY_PROLOGUE_DATA'!$B:$AS,17,FALSE)</f>
        <v>0</v>
      </c>
      <c r="O81" s="59">
        <f>VLOOKUP($B81,'[1]26MY_PROLOGUE_DATA'!$B:$AS,18,FALSE)</f>
        <v>0</v>
      </c>
      <c r="P81" s="59">
        <f>VLOOKUP(B81,'[1]26MY_PROLOGUE_DATA'!B:AS,19,FALSE)</f>
        <v>0</v>
      </c>
      <c r="Q81" s="149"/>
    </row>
    <row r="82" spans="2:17" s="73" customFormat="1" ht="15.6" customHeight="1" x14ac:dyDescent="0.25">
      <c r="B82" s="71" t="s">
        <v>75</v>
      </c>
      <c r="C82" s="77" t="str">
        <f>VLOOKUP(B82,'[1]26MY_PROLOGUE_DATA'!B:AS,3,FALSE)</f>
        <v>Hatch Tent</v>
      </c>
      <c r="D82" s="78" t="str">
        <f>B82</f>
        <v>08Z04-SCV-110B</v>
      </c>
      <c r="E82" s="56">
        <f>VLOOKUP(B82,'[1]26MY_PROLOGUE_DATA'!B:AS,9,FALSE)</f>
        <v>477</v>
      </c>
      <c r="F82" s="56">
        <f>VLOOKUP(B82,'[1]26MY_PROLOGUE_DATA'!B:AS,10,FALSE)</f>
        <v>681</v>
      </c>
      <c r="G82" s="57">
        <f>VLOOKUP(B82,'[1]26MY_PROLOGUE_DATA'!B:AS,7,FALSE)</f>
        <v>0</v>
      </c>
      <c r="H82" s="58">
        <f>VLOOKUP(B82,'[1]26MY_PROLOGUE_DATA'!B:AS,11,FALSE)</f>
        <v>681</v>
      </c>
      <c r="I82" s="59">
        <f>VLOOKUP(B82,'[1]26MY_PROLOGUE_DATA'!B:AS,12,FALSE)</f>
        <v>0</v>
      </c>
      <c r="J82" s="59" t="str">
        <f>VLOOKUP(B82,'[1]26MY_PROLOGUE_DATA'!B:AS,13,FALSE)</f>
        <v>•</v>
      </c>
      <c r="K82" s="59" t="str">
        <f>VLOOKUP(B82,'[1]26MY_PROLOGUE_DATA'!B:AS,14,FALSE)</f>
        <v>•</v>
      </c>
      <c r="L82" s="59">
        <f>VLOOKUP(B82,'[1]26MY_PROLOGUE_DATA'!B:AS,15,FALSE)</f>
        <v>0</v>
      </c>
      <c r="M82" s="59" t="str">
        <f>VLOOKUP($B82,'[1]26MY_PROLOGUE_DATA'!$B:$AS,16,FALSE)</f>
        <v>•</v>
      </c>
      <c r="N82" s="59">
        <f>VLOOKUP($B82,'[1]26MY_PROLOGUE_DATA'!$B:$AS,17,FALSE)</f>
        <v>0</v>
      </c>
      <c r="O82" s="59">
        <f>VLOOKUP($B82,'[1]26MY_PROLOGUE_DATA'!$B:$AS,18,FALSE)</f>
        <v>0</v>
      </c>
      <c r="P82" s="59">
        <f>VLOOKUP(B82,'[1]26MY_PROLOGUE_DATA'!B:AS,19,FALSE)</f>
        <v>0</v>
      </c>
      <c r="Q82" s="79" t="str">
        <f>IF(VLOOKUP(B82,'[1]26MY_PROLOGUE_DATA'!B:AS,20,FALSE)="","",VLOOKUP(B82,'[1]26MY_PROLOGUE_DATA'!B:AS,20,FALSE))</f>
        <v/>
      </c>
    </row>
    <row r="83" spans="2:17" s="73" customFormat="1" ht="15" customHeight="1" x14ac:dyDescent="0.25">
      <c r="B83" s="71" t="s">
        <v>76</v>
      </c>
      <c r="C83" s="89" t="str">
        <f>VLOOKUP(B83,'[1]26MY_PROLOGUE_DATA'!B:AS,3,FALSE)</f>
        <v>Body Side Moulding</v>
      </c>
      <c r="D83" s="90"/>
      <c r="E83" s="91"/>
      <c r="F83" s="91"/>
      <c r="G83" s="91"/>
      <c r="H83" s="91"/>
      <c r="I83" s="91"/>
      <c r="J83" s="91"/>
      <c r="K83" s="91"/>
      <c r="L83" s="91"/>
      <c r="M83" s="91"/>
      <c r="N83" s="91"/>
      <c r="O83" s="91"/>
      <c r="P83" s="91"/>
      <c r="Q83" s="65"/>
    </row>
    <row r="84" spans="2:17" s="73" customFormat="1" ht="15" customHeight="1" x14ac:dyDescent="0.25">
      <c r="B84" s="71" t="s">
        <v>77</v>
      </c>
      <c r="C84" s="96" t="str">
        <f>VLOOKUP(B84,'[1]26MY_PROLOGUE_DATA'!B:AS,3,FALSE)</f>
        <v>Snowfall Pearl (140X)</v>
      </c>
      <c r="D84" s="78" t="str">
        <f t="shared" ref="D84:D90" si="8">B84</f>
        <v>08P20-PS2-120A</v>
      </c>
      <c r="E84" s="56">
        <f>VLOOKUP(B84,'[1]26MY_PROLOGUE_DATA'!B:AS,9,FALSE)</f>
        <v>159</v>
      </c>
      <c r="F84" s="56">
        <f>VLOOKUP(B84,'[1]26MY_PROLOGUE_DATA'!B:AS,10,FALSE)</f>
        <v>265</v>
      </c>
      <c r="G84" s="57">
        <f>VLOOKUP(B84,'[1]26MY_PROLOGUE_DATA'!B:AS,7,FALSE)</f>
        <v>0.4</v>
      </c>
      <c r="H84" s="58">
        <f>VLOOKUP(B84,'[1]26MY_PROLOGUE_DATA'!B:AS,11,FALSE)</f>
        <v>331</v>
      </c>
      <c r="I84" s="59">
        <f>VLOOKUP(B84,'[1]26MY_PROLOGUE_DATA'!B:AS,12,FALSE)</f>
        <v>0</v>
      </c>
      <c r="J84" s="59" t="str">
        <f>VLOOKUP(B84,'[1]26MY_PROLOGUE_DATA'!B:AS,13,FALSE)</f>
        <v>•</v>
      </c>
      <c r="K84" s="59" t="str">
        <f>VLOOKUP(B84,'[1]26MY_PROLOGUE_DATA'!B:AS,14,FALSE)</f>
        <v>•</v>
      </c>
      <c r="L84" s="59">
        <f>VLOOKUP(B84,'[1]26MY_PROLOGUE_DATA'!B:AS,15,FALSE)</f>
        <v>0</v>
      </c>
      <c r="M84" s="59" t="str">
        <f>VLOOKUP($B84,'[1]26MY_PROLOGUE_DATA'!$B:$AS,16,FALSE)</f>
        <v>•</v>
      </c>
      <c r="N84" s="59">
        <f>VLOOKUP($B84,'[1]26MY_PROLOGUE_DATA'!$B:$AS,17,FALSE)</f>
        <v>0</v>
      </c>
      <c r="O84" s="59">
        <f>VLOOKUP($B84,'[1]26MY_PROLOGUE_DATA'!$B:$AS,18,FALSE)</f>
        <v>0</v>
      </c>
      <c r="P84" s="59">
        <f>VLOOKUP(B84,'[1]26MY_PROLOGUE_DATA'!B:AS,19,FALSE)</f>
        <v>0</v>
      </c>
      <c r="Q84" s="147" t="str">
        <f>IF(VLOOKUP(B84,'[1]26MY_PROLOGUE_DATA'!B:AS,20,FALSE)="","",VLOOKUP(B84,'[1]26MY_PROLOGUE_DATA'!B:AS,20,FALSE))</f>
        <v/>
      </c>
    </row>
    <row r="85" spans="2:17" s="73" customFormat="1" ht="15" customHeight="1" x14ac:dyDescent="0.25">
      <c r="B85" s="71" t="s">
        <v>78</v>
      </c>
      <c r="C85" s="96" t="str">
        <f>VLOOKUP(B85,'[1]26MY_PROLOGUE_DATA'!B:AS,3,FALSE)</f>
        <v>Mercury Silver Metallic (130H)</v>
      </c>
      <c r="D85" s="78" t="str">
        <f t="shared" si="8"/>
        <v>08P20-PS2-130A</v>
      </c>
      <c r="E85" s="56">
        <f>VLOOKUP(B85,'[1]26MY_PROLOGUE_DATA'!B:AS,9,FALSE)</f>
        <v>159</v>
      </c>
      <c r="F85" s="56">
        <f>VLOOKUP(B85,'[1]26MY_PROLOGUE_DATA'!B:AS,10,FALSE)</f>
        <v>265</v>
      </c>
      <c r="G85" s="57">
        <f>VLOOKUP(B85,'[1]26MY_PROLOGUE_DATA'!B:AS,7,FALSE)</f>
        <v>0.4</v>
      </c>
      <c r="H85" s="58">
        <f>VLOOKUP(B85,'[1]26MY_PROLOGUE_DATA'!B:AS,11,FALSE)</f>
        <v>331</v>
      </c>
      <c r="I85" s="59">
        <f>VLOOKUP(B85,'[1]26MY_PROLOGUE_DATA'!B:AS,12,FALSE)</f>
        <v>0</v>
      </c>
      <c r="J85" s="59" t="str">
        <f>VLOOKUP(B85,'[1]26MY_PROLOGUE_DATA'!B:AS,13,FALSE)</f>
        <v>•</v>
      </c>
      <c r="K85" s="59" t="str">
        <f>VLOOKUP(B85,'[1]26MY_PROLOGUE_DATA'!B:AS,14,FALSE)</f>
        <v>•</v>
      </c>
      <c r="L85" s="59">
        <f>VLOOKUP(B85,'[1]26MY_PROLOGUE_DATA'!B:AS,15,FALSE)</f>
        <v>0</v>
      </c>
      <c r="M85" s="59" t="str">
        <f>VLOOKUP($B85,'[1]26MY_PROLOGUE_DATA'!$B:$AS,16,FALSE)</f>
        <v>•</v>
      </c>
      <c r="N85" s="59">
        <f>VLOOKUP($B85,'[1]26MY_PROLOGUE_DATA'!$B:$AS,17,FALSE)</f>
        <v>0</v>
      </c>
      <c r="O85" s="59">
        <f>VLOOKUP($B85,'[1]26MY_PROLOGUE_DATA'!$B:$AS,18,FALSE)</f>
        <v>0</v>
      </c>
      <c r="P85" s="59">
        <f>VLOOKUP(B85,'[1]26MY_PROLOGUE_DATA'!B:AS,19,FALSE)</f>
        <v>0</v>
      </c>
      <c r="Q85" s="148"/>
    </row>
    <row r="86" spans="2:17" s="73" customFormat="1" ht="15" customHeight="1" x14ac:dyDescent="0.25">
      <c r="B86" s="71" t="s">
        <v>79</v>
      </c>
      <c r="C86" s="96" t="str">
        <f>VLOOKUP(B86,'[1]26MY_PROLOGUE_DATA'!B:AS,3,FALSE)</f>
        <v>Scarlet Red Metallic (170H)</v>
      </c>
      <c r="D86" s="78" t="str">
        <f t="shared" si="8"/>
        <v>08P20-PS2-140A</v>
      </c>
      <c r="E86" s="56">
        <f>VLOOKUP(B86,'[1]26MY_PROLOGUE_DATA'!B:AS,9,FALSE)</f>
        <v>159</v>
      </c>
      <c r="F86" s="56">
        <f>VLOOKUP(B86,'[1]26MY_PROLOGUE_DATA'!B:AS,10,FALSE)</f>
        <v>265</v>
      </c>
      <c r="G86" s="57">
        <f>VLOOKUP(B86,'[1]26MY_PROLOGUE_DATA'!B:AS,7,FALSE)</f>
        <v>0.4</v>
      </c>
      <c r="H86" s="58">
        <f>VLOOKUP(B86,'[1]26MY_PROLOGUE_DATA'!B:AS,11,FALSE)</f>
        <v>331</v>
      </c>
      <c r="I86" s="59">
        <f>VLOOKUP(B86,'[1]26MY_PROLOGUE_DATA'!B:AS,12,FALSE)</f>
        <v>0</v>
      </c>
      <c r="J86" s="59" t="str">
        <f>VLOOKUP(B86,'[1]26MY_PROLOGUE_DATA'!B:AS,13,FALSE)</f>
        <v>•</v>
      </c>
      <c r="K86" s="59" t="str">
        <f>VLOOKUP(B86,'[1]26MY_PROLOGUE_DATA'!B:AS,14,FALSE)</f>
        <v>•</v>
      </c>
      <c r="L86" s="59">
        <f>VLOOKUP(B86,'[1]26MY_PROLOGUE_DATA'!B:AS,15,FALSE)</f>
        <v>0</v>
      </c>
      <c r="M86" s="59" t="str">
        <f>VLOOKUP($B86,'[1]26MY_PROLOGUE_DATA'!$B:$AS,16,FALSE)</f>
        <v>•</v>
      </c>
      <c r="N86" s="59">
        <f>VLOOKUP($B86,'[1]26MY_PROLOGUE_DATA'!$B:$AS,17,FALSE)</f>
        <v>0</v>
      </c>
      <c r="O86" s="59">
        <f>VLOOKUP($B86,'[1]26MY_PROLOGUE_DATA'!$B:$AS,18,FALSE)</f>
        <v>0</v>
      </c>
      <c r="P86" s="59">
        <f>VLOOKUP(B86,'[1]26MY_PROLOGUE_DATA'!B:AS,19,FALSE)</f>
        <v>0</v>
      </c>
      <c r="Q86" s="148"/>
    </row>
    <row r="87" spans="2:17" s="73" customFormat="1" ht="15" customHeight="1" x14ac:dyDescent="0.25">
      <c r="B87" s="71" t="s">
        <v>80</v>
      </c>
      <c r="C87" s="96" t="str">
        <f>VLOOKUP(B87,'[1]26MY_PROLOGUE_DATA'!B:AS,3,FALSE)</f>
        <v>Pacific Blue Metallic (121J)</v>
      </c>
      <c r="D87" s="78" t="str">
        <f t="shared" si="8"/>
        <v>08P20-PS2-150A</v>
      </c>
      <c r="E87" s="56">
        <f>VLOOKUP(B87,'[1]26MY_PROLOGUE_DATA'!B:AS,9,FALSE)</f>
        <v>159</v>
      </c>
      <c r="F87" s="56">
        <f>VLOOKUP(B87,'[1]26MY_PROLOGUE_DATA'!B:AS,10,FALSE)</f>
        <v>265</v>
      </c>
      <c r="G87" s="57">
        <f>VLOOKUP(B87,'[1]26MY_PROLOGUE_DATA'!B:AS,7,FALSE)</f>
        <v>0.4</v>
      </c>
      <c r="H87" s="58">
        <f>VLOOKUP(B87,'[1]26MY_PROLOGUE_DATA'!B:AS,11,FALSE)</f>
        <v>331</v>
      </c>
      <c r="I87" s="59">
        <f>VLOOKUP(B87,'[1]26MY_PROLOGUE_DATA'!B:AS,12,FALSE)</f>
        <v>0</v>
      </c>
      <c r="J87" s="59" t="str">
        <f>VLOOKUP(B87,'[1]26MY_PROLOGUE_DATA'!B:AS,13,FALSE)</f>
        <v>N/A</v>
      </c>
      <c r="K87" s="59" t="str">
        <f>VLOOKUP(B87,'[1]26MY_PROLOGUE_DATA'!B:AS,14,FALSE)</f>
        <v>N/A</v>
      </c>
      <c r="L87" s="59">
        <f>VLOOKUP(B87,'[1]26MY_PROLOGUE_DATA'!B:AS,15,FALSE)</f>
        <v>0</v>
      </c>
      <c r="M87" s="59" t="str">
        <f>VLOOKUP($B87,'[1]26MY_PROLOGUE_DATA'!$B:$AS,16,FALSE)</f>
        <v>•</v>
      </c>
      <c r="N87" s="59">
        <f>VLOOKUP($B87,'[1]26MY_PROLOGUE_DATA'!$B:$AS,17,FALSE)</f>
        <v>0</v>
      </c>
      <c r="O87" s="59">
        <f>VLOOKUP($B87,'[1]26MY_PROLOGUE_DATA'!$B:$AS,18,FALSE)</f>
        <v>0</v>
      </c>
      <c r="P87" s="59">
        <f>VLOOKUP(B87,'[1]26MY_PROLOGUE_DATA'!B:AS,19,FALSE)</f>
        <v>0</v>
      </c>
      <c r="Q87" s="148"/>
    </row>
    <row r="88" spans="2:17" s="73" customFormat="1" ht="15" customHeight="1" x14ac:dyDescent="0.25">
      <c r="B88" s="71" t="s">
        <v>81</v>
      </c>
      <c r="C88" s="96" t="str">
        <f>VLOOKUP(B88,'[1]26MY_PROLOGUE_DATA'!B:AS,3,FALSE)</f>
        <v>Raven Black (8555)</v>
      </c>
      <c r="D88" s="78" t="str">
        <f t="shared" si="8"/>
        <v>08P20-PS2-110A</v>
      </c>
      <c r="E88" s="56">
        <f>VLOOKUP(B88,'[1]26MY_PROLOGUE_DATA'!B:AS,9,FALSE)</f>
        <v>159</v>
      </c>
      <c r="F88" s="56">
        <f>VLOOKUP(B88,'[1]26MY_PROLOGUE_DATA'!B:AS,10,FALSE)</f>
        <v>265</v>
      </c>
      <c r="G88" s="57">
        <f>VLOOKUP(B88,'[1]26MY_PROLOGUE_DATA'!B:AS,7,FALSE)</f>
        <v>0.4</v>
      </c>
      <c r="H88" s="58">
        <f>VLOOKUP(B88,'[1]26MY_PROLOGUE_DATA'!B:AS,11,FALSE)</f>
        <v>331</v>
      </c>
      <c r="I88" s="59">
        <f>VLOOKUP(B88,'[1]26MY_PROLOGUE_DATA'!B:AS,12,FALSE)</f>
        <v>0</v>
      </c>
      <c r="J88" s="59" t="str">
        <f>VLOOKUP(B88,'[1]26MY_PROLOGUE_DATA'!B:AS,13,FALSE)</f>
        <v>•</v>
      </c>
      <c r="K88" s="59" t="str">
        <f>VLOOKUP(B88,'[1]26MY_PROLOGUE_DATA'!B:AS,14,FALSE)</f>
        <v>•</v>
      </c>
      <c r="L88" s="59">
        <f>VLOOKUP(B88,'[1]26MY_PROLOGUE_DATA'!B:AS,15,FALSE)</f>
        <v>0</v>
      </c>
      <c r="M88" s="59" t="str">
        <f>VLOOKUP($B88,'[1]26MY_PROLOGUE_DATA'!$B:$AS,16,FALSE)</f>
        <v>•</v>
      </c>
      <c r="N88" s="59">
        <f>VLOOKUP($B88,'[1]26MY_PROLOGUE_DATA'!$B:$AS,17,FALSE)</f>
        <v>0</v>
      </c>
      <c r="O88" s="59">
        <f>VLOOKUP($B88,'[1]26MY_PROLOGUE_DATA'!$B:$AS,18,FALSE)</f>
        <v>0</v>
      </c>
      <c r="P88" s="59">
        <f>VLOOKUP(B88,'[1]26MY_PROLOGUE_DATA'!B:AS,19,FALSE)</f>
        <v>0</v>
      </c>
      <c r="Q88" s="148"/>
    </row>
    <row r="89" spans="2:17" s="73" customFormat="1" ht="15" customHeight="1" x14ac:dyDescent="0.25">
      <c r="B89" s="71" t="s">
        <v>82</v>
      </c>
      <c r="C89" s="96" t="str">
        <f>VLOOKUP(B89,'[1]26MY_PROLOGUE_DATA'!B:AS,3,FALSE)</f>
        <v>Sonic Gray Pearl (138P)</v>
      </c>
      <c r="D89" s="78" t="str">
        <f t="shared" si="8"/>
        <v>08P20-PS2-160A</v>
      </c>
      <c r="E89" s="56">
        <f>VLOOKUP(B89,'[1]26MY_PROLOGUE_DATA'!B:AS,9,FALSE)</f>
        <v>159</v>
      </c>
      <c r="F89" s="56">
        <f>VLOOKUP(B89,'[1]26MY_PROLOGUE_DATA'!B:AS,10,FALSE)</f>
        <v>265</v>
      </c>
      <c r="G89" s="57">
        <f>VLOOKUP(B89,'[1]26MY_PROLOGUE_DATA'!B:AS,7,FALSE)</f>
        <v>0.4</v>
      </c>
      <c r="H89" s="58">
        <f>VLOOKUP(B89,'[1]26MY_PROLOGUE_DATA'!B:AS,11,FALSE)</f>
        <v>331</v>
      </c>
      <c r="I89" s="59">
        <f>VLOOKUP(B89,'[1]26MY_PROLOGUE_DATA'!B:AS,12,FALSE)</f>
        <v>0</v>
      </c>
      <c r="J89" s="59" t="str">
        <f>VLOOKUP(B89,'[1]26MY_PROLOGUE_DATA'!B:AS,13,FALSE)</f>
        <v>N/A</v>
      </c>
      <c r="K89" s="59" t="str">
        <f>VLOOKUP(B89,'[1]26MY_PROLOGUE_DATA'!B:AS,14,FALSE)</f>
        <v>N/A</v>
      </c>
      <c r="L89" s="59">
        <f>VLOOKUP(B89,'[1]26MY_PROLOGUE_DATA'!B:AS,15,FALSE)</f>
        <v>0</v>
      </c>
      <c r="M89" s="59" t="str">
        <f>VLOOKUP($B89,'[1]26MY_PROLOGUE_DATA'!$B:$AS,16,FALSE)</f>
        <v>•</v>
      </c>
      <c r="N89" s="59">
        <f>VLOOKUP($B89,'[1]26MY_PROLOGUE_DATA'!$B:$AS,17,FALSE)</f>
        <v>0</v>
      </c>
      <c r="O89" s="59">
        <f>VLOOKUP($B89,'[1]26MY_PROLOGUE_DATA'!$B:$AS,18,FALSE)</f>
        <v>0</v>
      </c>
      <c r="P89" s="59">
        <f>VLOOKUP(B89,'[1]26MY_PROLOGUE_DATA'!B:AS,19,FALSE)</f>
        <v>0</v>
      </c>
      <c r="Q89" s="149"/>
    </row>
    <row r="90" spans="2:17" s="73" customFormat="1" ht="15" customHeight="1" x14ac:dyDescent="0.25">
      <c r="B90" s="71" t="s">
        <v>83</v>
      </c>
      <c r="C90" s="77" t="str">
        <f>VLOOKUP(B90,'[1]26MY_PROLOGUE_DATA'!B:AS,3,FALSE)</f>
        <v>Splash Guards</v>
      </c>
      <c r="D90" s="78" t="str">
        <f t="shared" si="8"/>
        <v>08P00-PS2-100</v>
      </c>
      <c r="E90" s="56">
        <f>VLOOKUP(B90,'[1]26MY_PROLOGUE_DATA'!B:AS,9,FALSE)</f>
        <v>113</v>
      </c>
      <c r="F90" s="56">
        <f>VLOOKUP(B90,'[1]26MY_PROLOGUE_DATA'!B:AS,10,FALSE)</f>
        <v>187</v>
      </c>
      <c r="G90" s="57">
        <f>VLOOKUP(B90,'[1]26MY_PROLOGUE_DATA'!B:AS,7,FALSE)</f>
        <v>0.4</v>
      </c>
      <c r="H90" s="58">
        <f>VLOOKUP(B90,'[1]26MY_PROLOGUE_DATA'!B:AS,11,FALSE)</f>
        <v>253</v>
      </c>
      <c r="I90" s="59">
        <f>VLOOKUP(B90,'[1]26MY_PROLOGUE_DATA'!B:AS,12,FALSE)</f>
        <v>0</v>
      </c>
      <c r="J90" s="59" t="str">
        <f>VLOOKUP(B90,'[1]26MY_PROLOGUE_DATA'!B:AS,13,FALSE)</f>
        <v>•</v>
      </c>
      <c r="K90" s="59" t="str">
        <f>VLOOKUP(B90,'[1]26MY_PROLOGUE_DATA'!B:AS,14,FALSE)</f>
        <v>•</v>
      </c>
      <c r="L90" s="59">
        <f>VLOOKUP(B90,'[1]26MY_PROLOGUE_DATA'!B:AS,15,FALSE)</f>
        <v>0</v>
      </c>
      <c r="M90" s="59" t="str">
        <f>VLOOKUP($B90,'[1]26MY_PROLOGUE_DATA'!$B:$AS,16,FALSE)</f>
        <v>•</v>
      </c>
      <c r="N90" s="59">
        <f>VLOOKUP($B90,'[1]26MY_PROLOGUE_DATA'!$B:$AS,17,FALSE)</f>
        <v>0</v>
      </c>
      <c r="O90" s="59">
        <f>VLOOKUP($B90,'[1]26MY_PROLOGUE_DATA'!$B:$AS,18,FALSE)</f>
        <v>0</v>
      </c>
      <c r="P90" s="59">
        <f>VLOOKUP(B90,'[1]26MY_PROLOGUE_DATA'!B:AS,19,FALSE)</f>
        <v>0</v>
      </c>
      <c r="Q90" s="79" t="str">
        <f>IF(VLOOKUP(B90,'[1]26MY_PROLOGUE_DATA'!B:AS,20,FALSE)="","",VLOOKUP(B90,'[1]26MY_PROLOGUE_DATA'!B:AS,20,FALSE))</f>
        <v/>
      </c>
    </row>
    <row r="91" spans="2:17" s="73" customFormat="1" ht="15" customHeight="1" x14ac:dyDescent="0.25">
      <c r="B91" s="71"/>
      <c r="C91" s="97"/>
      <c r="D91" s="97"/>
      <c r="E91" s="98"/>
      <c r="F91" s="98"/>
      <c r="G91" s="99"/>
      <c r="H91" s="98"/>
      <c r="I91" s="98"/>
      <c r="J91" s="98"/>
      <c r="K91" s="98"/>
      <c r="L91" s="98"/>
      <c r="M91" s="98"/>
      <c r="N91" s="98"/>
      <c r="O91" s="98"/>
      <c r="P91" s="98"/>
      <c r="Q91" s="100"/>
    </row>
    <row r="92" spans="2:17" s="75" customFormat="1" ht="18.75" x14ac:dyDescent="0.3">
      <c r="B92" s="88"/>
      <c r="C92" s="46" t="s">
        <v>84</v>
      </c>
      <c r="D92" s="46"/>
      <c r="E92" s="101"/>
      <c r="F92" s="101"/>
      <c r="G92" s="101"/>
      <c r="H92" s="101"/>
      <c r="I92" s="101"/>
      <c r="J92" s="101"/>
      <c r="K92" s="101"/>
      <c r="L92" s="101"/>
      <c r="M92" s="101"/>
      <c r="N92" s="101"/>
      <c r="O92" s="101"/>
      <c r="P92" s="101"/>
      <c r="Q92" s="101"/>
    </row>
    <row r="93" spans="2:17" s="61" customFormat="1" ht="15" customHeight="1" x14ac:dyDescent="0.25">
      <c r="B93" s="76"/>
      <c r="C93" s="137" t="s">
        <v>26</v>
      </c>
      <c r="D93" s="137" t="s">
        <v>27</v>
      </c>
      <c r="E93" s="137" t="s">
        <v>28</v>
      </c>
      <c r="F93" s="137" t="s">
        <v>29</v>
      </c>
      <c r="G93" s="137" t="s">
        <v>30</v>
      </c>
      <c r="H93" s="150" t="s">
        <v>31</v>
      </c>
      <c r="I93" s="137" t="s">
        <v>32</v>
      </c>
      <c r="J93" s="137"/>
      <c r="K93" s="137"/>
      <c r="L93" s="137"/>
      <c r="M93" s="137"/>
      <c r="N93" s="137"/>
      <c r="O93" s="137"/>
      <c r="P93" s="137"/>
      <c r="Q93" s="137" t="s">
        <v>33</v>
      </c>
    </row>
    <row r="94" spans="2:17" s="61" customFormat="1" ht="16.5" x14ac:dyDescent="0.25">
      <c r="B94" s="76"/>
      <c r="C94" s="137"/>
      <c r="D94" s="137"/>
      <c r="E94" s="137"/>
      <c r="F94" s="137"/>
      <c r="G94" s="137"/>
      <c r="H94" s="150"/>
      <c r="I94" s="52">
        <f>'[1]26MY_PROLOGUE_DATA'!$M$7</f>
        <v>0</v>
      </c>
      <c r="J94" s="52" t="str">
        <f>'[1]26MY_PROLOGUE_DATA'!$N$7</f>
        <v>EX</v>
      </c>
      <c r="K94" s="52" t="str">
        <f>'[1]26MY_PROLOGUE_DATA'!$O$7</f>
        <v>EX-L</v>
      </c>
      <c r="L94" s="52">
        <f>'[1]26MY_PROLOGUE_DATA'!$P$7</f>
        <v>0</v>
      </c>
      <c r="M94" s="52" t="str">
        <f>'[1]26MY_PROLOGUE_DATA'!$Q$7</f>
        <v>Touring</v>
      </c>
      <c r="N94" s="52">
        <f>'[1]26MY_PROLOGUE_DATA'!$T$7</f>
        <v>0</v>
      </c>
      <c r="O94" s="52">
        <f>'[1]26MY_PROLOGUE_DATA'!$T$7</f>
        <v>0</v>
      </c>
      <c r="P94" s="52">
        <f>'[1]26MY_PROLOGUE_DATA'!$T$7</f>
        <v>0</v>
      </c>
      <c r="Q94" s="137"/>
    </row>
    <row r="95" spans="2:17" s="73" customFormat="1" ht="15" customHeight="1" x14ac:dyDescent="0.25">
      <c r="B95" s="71" t="s">
        <v>35</v>
      </c>
      <c r="C95" s="77" t="str">
        <f>VLOOKUP(B95,'[1]26MY_PROLOGUE_DATA'!B:AS,3,FALSE)</f>
        <v>All Season Floor Mats</v>
      </c>
      <c r="D95" s="78" t="str">
        <f t="shared" ref="D95:D101" si="9">B95</f>
        <v>08P17-PS2-110</v>
      </c>
      <c r="E95" s="56">
        <f>VLOOKUP(B95,'[1]26MY_PROLOGUE_DATA'!B:AS,9,FALSE)</f>
        <v>215</v>
      </c>
      <c r="F95" s="56">
        <f>VLOOKUP(B95,'[1]26MY_PROLOGUE_DATA'!B:AS,10,FALSE)</f>
        <v>358</v>
      </c>
      <c r="G95" s="57">
        <f>VLOOKUP(B95,'[1]26MY_PROLOGUE_DATA'!B:AS,7,FALSE)</f>
        <v>0.1</v>
      </c>
      <c r="H95" s="58">
        <f>VLOOKUP(B95,'[1]26MY_PROLOGUE_DATA'!B:AS,11,FALSE)</f>
        <v>374.5</v>
      </c>
      <c r="I95" s="59">
        <f>VLOOKUP(B95,'[1]26MY_PROLOGUE_DATA'!B:AS,12,FALSE)</f>
        <v>0</v>
      </c>
      <c r="J95" s="59" t="str">
        <f>VLOOKUP(B95,'[1]26MY_PROLOGUE_DATA'!B:AS,13,FALSE)</f>
        <v>•</v>
      </c>
      <c r="K95" s="59" t="str">
        <f>VLOOKUP(B95,'[1]26MY_PROLOGUE_DATA'!B:AS,14,FALSE)</f>
        <v>•</v>
      </c>
      <c r="L95" s="59">
        <f>VLOOKUP(B95,'[1]26MY_PROLOGUE_DATA'!B:AS,15,FALSE)</f>
        <v>0</v>
      </c>
      <c r="M95" s="59" t="str">
        <f>VLOOKUP($B95,'[1]26MY_PROLOGUE_DATA'!$B:$AS,16,FALSE)</f>
        <v>•</v>
      </c>
      <c r="N95" s="59">
        <f>VLOOKUP($B95,'[1]26MY_PROLOGUE_DATA'!$B:$AS,17,FALSE)</f>
        <v>0</v>
      </c>
      <c r="O95" s="59">
        <f>VLOOKUP($B95,'[1]26MY_PROLOGUE_DATA'!$B:$AS,18,FALSE)</f>
        <v>0</v>
      </c>
      <c r="P95" s="59">
        <f>VLOOKUP(B95,'[1]26MY_PROLOGUE_DATA'!B:AS,19,FALSE)</f>
        <v>0</v>
      </c>
      <c r="Q95" s="79" t="str">
        <f>IF(VLOOKUP(B95,'[1]26MY_PROLOGUE_DATA'!B:AS,20,FALSE)="","",VLOOKUP(B95,'[1]26MY_PROLOGUE_DATA'!B:AS,20,FALSE))</f>
        <v/>
      </c>
    </row>
    <row r="96" spans="2:17" s="73" customFormat="1" ht="15" customHeight="1" x14ac:dyDescent="0.25">
      <c r="B96" s="71" t="s">
        <v>36</v>
      </c>
      <c r="C96" s="77" t="str">
        <f>VLOOKUP(B96,'[1]26MY_PROLOGUE_DATA'!B:AS,3,FALSE)</f>
        <v>Cargo Tray</v>
      </c>
      <c r="D96" s="78" t="str">
        <f t="shared" si="9"/>
        <v>08U45-PS2-100</v>
      </c>
      <c r="E96" s="56">
        <f>VLOOKUP(B96,'[1]26MY_PROLOGUE_DATA'!B:AS,9,FALSE)</f>
        <v>120</v>
      </c>
      <c r="F96" s="56">
        <f>VLOOKUP(B96,'[1]26MY_PROLOGUE_DATA'!B:AS,10,FALSE)</f>
        <v>200</v>
      </c>
      <c r="G96" s="57">
        <f>VLOOKUP(B96,'[1]26MY_PROLOGUE_DATA'!B:AS,7,FALSE)</f>
        <v>0.1</v>
      </c>
      <c r="H96" s="58">
        <f>VLOOKUP(B96,'[1]26MY_PROLOGUE_DATA'!B:AS,11,FALSE)</f>
        <v>216.5</v>
      </c>
      <c r="I96" s="59">
        <f>VLOOKUP(B96,'[1]26MY_PROLOGUE_DATA'!B:AS,12,FALSE)</f>
        <v>0</v>
      </c>
      <c r="J96" s="59" t="str">
        <f>VLOOKUP(B96,'[1]26MY_PROLOGUE_DATA'!B:AS,13,FALSE)</f>
        <v>•</v>
      </c>
      <c r="K96" s="59" t="str">
        <f>VLOOKUP(B96,'[1]26MY_PROLOGUE_DATA'!B:AS,14,FALSE)</f>
        <v>•</v>
      </c>
      <c r="L96" s="59">
        <f>VLOOKUP(B96,'[1]26MY_PROLOGUE_DATA'!B:AS,15,FALSE)</f>
        <v>0</v>
      </c>
      <c r="M96" s="59" t="str">
        <f>VLOOKUP($B96,'[1]26MY_PROLOGUE_DATA'!$B:$AS,16,FALSE)</f>
        <v>•</v>
      </c>
      <c r="N96" s="59">
        <f>VLOOKUP($B96,'[1]26MY_PROLOGUE_DATA'!$B:$AS,17,FALSE)</f>
        <v>0</v>
      </c>
      <c r="O96" s="59">
        <f>VLOOKUP($B96,'[1]26MY_PROLOGUE_DATA'!$B:$AS,18,FALSE)</f>
        <v>0</v>
      </c>
      <c r="P96" s="59">
        <f>VLOOKUP(B96,'[1]26MY_PROLOGUE_DATA'!B:AS,19,FALSE)</f>
        <v>0</v>
      </c>
      <c r="Q96" s="79" t="str">
        <f>IF(VLOOKUP(B96,'[1]26MY_PROLOGUE_DATA'!B:AS,20,FALSE)="","",VLOOKUP(B96,'[1]26MY_PROLOGUE_DATA'!B:AS,20,FALSE))</f>
        <v/>
      </c>
    </row>
    <row r="97" spans="2:20" s="73" customFormat="1" ht="15" customHeight="1" x14ac:dyDescent="0.25">
      <c r="B97" s="71" t="s">
        <v>38</v>
      </c>
      <c r="C97" s="77" t="str">
        <f>VLOOKUP(B97,'[1]26MY_PROLOGUE_DATA'!B:AS,3,FALSE)</f>
        <v>Cargo Cover</v>
      </c>
      <c r="D97" s="78" t="str">
        <f t="shared" si="9"/>
        <v>08Z07-PS2-310</v>
      </c>
      <c r="E97" s="56">
        <f>VLOOKUP(B97,'[1]26MY_PROLOGUE_DATA'!B:AS,9,FALSE)</f>
        <v>279</v>
      </c>
      <c r="F97" s="56">
        <f>VLOOKUP(B97,'[1]26MY_PROLOGUE_DATA'!B:AS,10,FALSE)</f>
        <v>465</v>
      </c>
      <c r="G97" s="57">
        <f>VLOOKUP(B97,'[1]26MY_PROLOGUE_DATA'!B:AS,7,FALSE)</f>
        <v>0.1</v>
      </c>
      <c r="H97" s="58">
        <f>VLOOKUP(B97,'[1]26MY_PROLOGUE_DATA'!B:AS,11,FALSE)</f>
        <v>481.5</v>
      </c>
      <c r="I97" s="59">
        <f>VLOOKUP(B97,'[1]26MY_PROLOGUE_DATA'!B:AS,12,FALSE)</f>
        <v>0</v>
      </c>
      <c r="J97" s="59" t="str">
        <f>VLOOKUP(B97,'[1]26MY_PROLOGUE_DATA'!B:AS,13,FALSE)</f>
        <v>•</v>
      </c>
      <c r="K97" s="59" t="str">
        <f>VLOOKUP(B97,'[1]26MY_PROLOGUE_DATA'!B:AS,14,FALSE)</f>
        <v>•</v>
      </c>
      <c r="L97" s="59">
        <f>VLOOKUP(B97,'[1]26MY_PROLOGUE_DATA'!B:AS,15,FALSE)</f>
        <v>0</v>
      </c>
      <c r="M97" s="59" t="str">
        <f>VLOOKUP($B97,'[1]26MY_PROLOGUE_DATA'!$B:$AS,16,FALSE)</f>
        <v>•</v>
      </c>
      <c r="N97" s="59">
        <f>VLOOKUP($B97,'[1]26MY_PROLOGUE_DATA'!$B:$AS,17,FALSE)</f>
        <v>0</v>
      </c>
      <c r="O97" s="59">
        <f>VLOOKUP($B97,'[1]26MY_PROLOGUE_DATA'!$B:$AS,18,FALSE)</f>
        <v>0</v>
      </c>
      <c r="P97" s="59">
        <f>VLOOKUP(B97,'[1]26MY_PROLOGUE_DATA'!B:AS,19,FALSE)</f>
        <v>0</v>
      </c>
      <c r="Q97" s="79" t="str">
        <f>IF(VLOOKUP(B97,'[1]26MY_PROLOGUE_DATA'!B:AS,20,FALSE)="","",VLOOKUP(B97,'[1]26MY_PROLOGUE_DATA'!B:AS,20,FALSE))</f>
        <v/>
      </c>
    </row>
    <row r="98" spans="2:20" s="73" customFormat="1" ht="15" customHeight="1" x14ac:dyDescent="0.25">
      <c r="B98" s="71" t="s">
        <v>39</v>
      </c>
      <c r="C98" s="77" t="str">
        <f>VLOOKUP(B98,'[1]26MY_PROLOGUE_DATA'!B:AS,3,FALSE)</f>
        <v>Seat Back Protector</v>
      </c>
      <c r="D98" s="78" t="str">
        <f t="shared" si="9"/>
        <v>08P30-PS2-100</v>
      </c>
      <c r="E98" s="56">
        <f>VLOOKUP(B98,'[1]26MY_PROLOGUE_DATA'!B:AS,9,FALSE)</f>
        <v>124</v>
      </c>
      <c r="F98" s="56">
        <f>VLOOKUP(B98,'[1]26MY_PROLOGUE_DATA'!B:AS,10,FALSE)</f>
        <v>207</v>
      </c>
      <c r="G98" s="57">
        <f>VLOOKUP(B98,'[1]26MY_PROLOGUE_DATA'!B:AS,7,FALSE)</f>
        <v>0.2</v>
      </c>
      <c r="H98" s="58">
        <f>VLOOKUP(B98,'[1]26MY_PROLOGUE_DATA'!B:AS,11,FALSE)</f>
        <v>240</v>
      </c>
      <c r="I98" s="59">
        <f>VLOOKUP(B98,'[1]26MY_PROLOGUE_DATA'!B:AS,12,FALSE)</f>
        <v>0</v>
      </c>
      <c r="J98" s="59" t="str">
        <f>VLOOKUP(B98,'[1]26MY_PROLOGUE_DATA'!B:AS,13,FALSE)</f>
        <v>•</v>
      </c>
      <c r="K98" s="59" t="str">
        <f>VLOOKUP(B98,'[1]26MY_PROLOGUE_DATA'!B:AS,14,FALSE)</f>
        <v>•</v>
      </c>
      <c r="L98" s="59">
        <f>VLOOKUP(B98,'[1]26MY_PROLOGUE_DATA'!B:AS,15,FALSE)</f>
        <v>0</v>
      </c>
      <c r="M98" s="59" t="str">
        <f>VLOOKUP($B98,'[1]26MY_PROLOGUE_DATA'!$B:$AS,16,FALSE)</f>
        <v>•</v>
      </c>
      <c r="N98" s="59">
        <f>VLOOKUP($B98,'[1]26MY_PROLOGUE_DATA'!$B:$AS,17,FALSE)</f>
        <v>0</v>
      </c>
      <c r="O98" s="59">
        <f>VLOOKUP($B98,'[1]26MY_PROLOGUE_DATA'!$B:$AS,18,FALSE)</f>
        <v>0</v>
      </c>
      <c r="P98" s="59">
        <f>VLOOKUP(B98,'[1]26MY_PROLOGUE_DATA'!B:AS,19,FALSE)</f>
        <v>0</v>
      </c>
      <c r="Q98" s="79" t="str">
        <f>IF(VLOOKUP(B98,'[1]26MY_PROLOGUE_DATA'!B:AS,20,FALSE)="","",VLOOKUP(B98,'[1]26MY_PROLOGUE_DATA'!B:AS,20,FALSE))</f>
        <v/>
      </c>
    </row>
    <row r="99" spans="2:20" s="73" customFormat="1" ht="15" customHeight="1" x14ac:dyDescent="0.25">
      <c r="B99" s="71" t="s">
        <v>85</v>
      </c>
      <c r="C99" s="77" t="str">
        <f>VLOOKUP(B99,'[1]26MY_PROLOGUE_DATA'!B:AS,3,FALSE)</f>
        <v>Door Sill Protection Film</v>
      </c>
      <c r="D99" s="78" t="str">
        <f t="shared" si="9"/>
        <v>08P04-PS2-100</v>
      </c>
      <c r="E99" s="56">
        <f>VLOOKUP(B99,'[1]26MY_PROLOGUE_DATA'!B:AS,9,FALSE)</f>
        <v>124</v>
      </c>
      <c r="F99" s="56">
        <f>VLOOKUP(B99,'[1]26MY_PROLOGUE_DATA'!B:AS,10,FALSE)</f>
        <v>207</v>
      </c>
      <c r="G99" s="57">
        <f>VLOOKUP(B99,'[1]26MY_PROLOGUE_DATA'!B:AS,7,FALSE)</f>
        <v>0.5</v>
      </c>
      <c r="H99" s="58">
        <f>VLOOKUP(B99,'[1]26MY_PROLOGUE_DATA'!B:AS,11,FALSE)</f>
        <v>289.5</v>
      </c>
      <c r="I99" s="59">
        <f>VLOOKUP(B99,'[1]26MY_PROLOGUE_DATA'!B:AS,12,FALSE)</f>
        <v>0</v>
      </c>
      <c r="J99" s="59" t="str">
        <f>VLOOKUP(B99,'[1]26MY_PROLOGUE_DATA'!B:AS,13,FALSE)</f>
        <v>•</v>
      </c>
      <c r="K99" s="59" t="str">
        <f>VLOOKUP(B99,'[1]26MY_PROLOGUE_DATA'!B:AS,14,FALSE)</f>
        <v>•</v>
      </c>
      <c r="L99" s="59">
        <f>VLOOKUP(B99,'[1]26MY_PROLOGUE_DATA'!B:AS,15,FALSE)</f>
        <v>0</v>
      </c>
      <c r="M99" s="59" t="str">
        <f>VLOOKUP($B99,'[1]26MY_PROLOGUE_DATA'!$B:$AS,16,FALSE)</f>
        <v>•</v>
      </c>
      <c r="N99" s="59">
        <f>VLOOKUP($B99,'[1]26MY_PROLOGUE_DATA'!$B:$AS,17,FALSE)</f>
        <v>0</v>
      </c>
      <c r="O99" s="59">
        <f>VLOOKUP($B99,'[1]26MY_PROLOGUE_DATA'!$B:$AS,18,FALSE)</f>
        <v>0</v>
      </c>
      <c r="P99" s="59">
        <f>VLOOKUP(B99,'[1]26MY_PROLOGUE_DATA'!B:AS,19,FALSE)</f>
        <v>0</v>
      </c>
      <c r="Q99" s="79" t="str">
        <f>IF(VLOOKUP(B99,'[1]26MY_PROLOGUE_DATA'!B:AS,20,FALSE)="","",VLOOKUP(B99,'[1]26MY_PROLOGUE_DATA'!B:AS,20,FALSE))</f>
        <v/>
      </c>
    </row>
    <row r="100" spans="2:20" s="73" customFormat="1" ht="15" customHeight="1" x14ac:dyDescent="0.25">
      <c r="B100" s="71" t="s">
        <v>86</v>
      </c>
      <c r="C100" s="77" t="str">
        <f>VLOOKUP(B100,'[1]26MY_PROLOGUE_DATA'!B:AS,3,FALSE)</f>
        <v>Sunshade</v>
      </c>
      <c r="D100" s="78" t="str">
        <f t="shared" si="9"/>
        <v>08R13-PS2-100</v>
      </c>
      <c r="E100" s="56">
        <f>VLOOKUP(B100,'[1]26MY_PROLOGUE_DATA'!B:AS,9,FALSE)</f>
        <v>204</v>
      </c>
      <c r="F100" s="56">
        <f>VLOOKUP(B100,'[1]26MY_PROLOGUE_DATA'!B:AS,10,FALSE)</f>
        <v>340</v>
      </c>
      <c r="G100" s="57">
        <f>VLOOKUP(B100,'[1]26MY_PROLOGUE_DATA'!B:AS,7,FALSE)</f>
        <v>0.5</v>
      </c>
      <c r="H100" s="58">
        <f>VLOOKUP(B100,'[1]26MY_PROLOGUE_DATA'!B:AS,11,FALSE)</f>
        <v>422.5</v>
      </c>
      <c r="I100" s="59">
        <f>VLOOKUP(B100,'[1]26MY_PROLOGUE_DATA'!B:AS,12,FALSE)</f>
        <v>0</v>
      </c>
      <c r="J100" s="59" t="str">
        <f>VLOOKUP(B100,'[1]26MY_PROLOGUE_DATA'!B:AS,13,FALSE)</f>
        <v>•</v>
      </c>
      <c r="K100" s="59" t="str">
        <f>VLOOKUP(B100,'[1]26MY_PROLOGUE_DATA'!B:AS,14,FALSE)</f>
        <v>•</v>
      </c>
      <c r="L100" s="59">
        <f>VLOOKUP(B100,'[1]26MY_PROLOGUE_DATA'!B:AS,15,FALSE)</f>
        <v>0</v>
      </c>
      <c r="M100" s="59" t="str">
        <f>VLOOKUP($B100,'[1]26MY_PROLOGUE_DATA'!$B:$AS,16,FALSE)</f>
        <v>•</v>
      </c>
      <c r="N100" s="59">
        <f>VLOOKUP($B100,'[1]26MY_PROLOGUE_DATA'!$B:$AS,17,FALSE)</f>
        <v>0</v>
      </c>
      <c r="O100" s="59">
        <f>VLOOKUP($B100,'[1]26MY_PROLOGUE_DATA'!$B:$AS,18,FALSE)</f>
        <v>0</v>
      </c>
      <c r="P100" s="59">
        <f>VLOOKUP(B100,'[1]26MY_PROLOGUE_DATA'!B:AS,19,FALSE)</f>
        <v>0</v>
      </c>
      <c r="Q100" s="79" t="str">
        <f>IF(VLOOKUP(B100,'[1]26MY_PROLOGUE_DATA'!B:AS,20,FALSE)="","",VLOOKUP(B100,'[1]26MY_PROLOGUE_DATA'!B:AS,20,FALSE))</f>
        <v/>
      </c>
    </row>
    <row r="101" spans="2:20" s="73" customFormat="1" ht="15" customHeight="1" x14ac:dyDescent="0.25">
      <c r="B101" s="71" t="s">
        <v>87</v>
      </c>
      <c r="C101" s="77" t="str">
        <f>VLOOKUP(B101,'[1]26MY_PROLOGUE_DATA'!B:AS,3,FALSE)</f>
        <v>Ashtray, cupholder style</v>
      </c>
      <c r="D101" s="78" t="str">
        <f t="shared" si="9"/>
        <v>08U25-S5D-116</v>
      </c>
      <c r="E101" s="56">
        <f>VLOOKUP(B101,'[1]26MY_PROLOGUE_DATA'!B:AS,9,FALSE)</f>
        <v>39</v>
      </c>
      <c r="F101" s="56">
        <f>VLOOKUP(B101,'[1]26MY_PROLOGUE_DATA'!B:AS,10,FALSE)</f>
        <v>65</v>
      </c>
      <c r="G101" s="57">
        <f>VLOOKUP(B101,'[1]26MY_PROLOGUE_DATA'!B:AS,7,FALSE)</f>
        <v>0</v>
      </c>
      <c r="H101" s="58">
        <f>VLOOKUP(B101,'[1]26MY_PROLOGUE_DATA'!B:AS,11,FALSE)</f>
        <v>65</v>
      </c>
      <c r="I101" s="59">
        <f>VLOOKUP(B101,'[1]26MY_PROLOGUE_DATA'!B:AS,12,FALSE)</f>
        <v>0</v>
      </c>
      <c r="J101" s="59" t="str">
        <f>VLOOKUP(B101,'[1]26MY_PROLOGUE_DATA'!B:AS,13,FALSE)</f>
        <v>•</v>
      </c>
      <c r="K101" s="59" t="str">
        <f>VLOOKUP(B101,'[1]26MY_PROLOGUE_DATA'!B:AS,14,FALSE)</f>
        <v>•</v>
      </c>
      <c r="L101" s="59">
        <f>VLOOKUP(B101,'[1]26MY_PROLOGUE_DATA'!B:AS,15,FALSE)</f>
        <v>0</v>
      </c>
      <c r="M101" s="59" t="str">
        <f>VLOOKUP($B101,'[1]26MY_PROLOGUE_DATA'!$B:$AS,16,FALSE)</f>
        <v>•</v>
      </c>
      <c r="N101" s="59">
        <f>VLOOKUP($B101,'[1]26MY_PROLOGUE_DATA'!$B:$AS,17,FALSE)</f>
        <v>0</v>
      </c>
      <c r="O101" s="59">
        <f>VLOOKUP($B101,'[1]26MY_PROLOGUE_DATA'!$B:$AS,18,FALSE)</f>
        <v>0</v>
      </c>
      <c r="P101" s="59">
        <f>VLOOKUP(B101,'[1]26MY_PROLOGUE_DATA'!B:AS,19,FALSE)</f>
        <v>0</v>
      </c>
      <c r="Q101" s="79" t="str">
        <f>IF(VLOOKUP(B101,'[1]26MY_PROLOGUE_DATA'!B:AS,20,FALSE)="","",VLOOKUP(B101,'[1]26MY_PROLOGUE_DATA'!B:AS,20,FALSE))</f>
        <v/>
      </c>
    </row>
    <row r="102" spans="2:20" s="73" customFormat="1" ht="12" customHeight="1" x14ac:dyDescent="0.25">
      <c r="B102" s="71"/>
      <c r="C102" s="102"/>
      <c r="D102" s="103"/>
      <c r="E102" s="104"/>
      <c r="F102" s="104"/>
      <c r="G102" s="105"/>
      <c r="H102" s="106"/>
      <c r="I102" s="107"/>
      <c r="J102" s="107"/>
      <c r="K102" s="107"/>
      <c r="L102" s="107"/>
      <c r="M102" s="107"/>
      <c r="N102" s="107"/>
      <c r="O102" s="107"/>
      <c r="P102" s="107"/>
      <c r="Q102" s="108"/>
    </row>
    <row r="103" spans="2:20" s="75" customFormat="1" ht="18.75" x14ac:dyDescent="0.3">
      <c r="B103" s="88"/>
      <c r="C103" s="46" t="s">
        <v>88</v>
      </c>
      <c r="D103" s="46"/>
      <c r="E103" s="109"/>
      <c r="F103" s="110"/>
      <c r="G103" s="110"/>
      <c r="H103" s="110"/>
      <c r="I103" s="110"/>
      <c r="J103" s="110"/>
      <c r="K103" s="110"/>
      <c r="L103" s="110"/>
      <c r="M103" s="110"/>
      <c r="N103" s="110"/>
      <c r="O103" s="110"/>
      <c r="P103" s="110"/>
      <c r="Q103" s="110"/>
    </row>
    <row r="104" spans="2:20" s="61" customFormat="1" ht="15" customHeight="1" x14ac:dyDescent="0.25">
      <c r="B104" s="76"/>
      <c r="C104" s="137" t="s">
        <v>26</v>
      </c>
      <c r="D104" s="137" t="s">
        <v>27</v>
      </c>
      <c r="E104" s="137" t="s">
        <v>28</v>
      </c>
      <c r="F104" s="137" t="s">
        <v>29</v>
      </c>
      <c r="G104" s="137" t="s">
        <v>30</v>
      </c>
      <c r="H104" s="150" t="s">
        <v>31</v>
      </c>
      <c r="I104" s="137" t="s">
        <v>32</v>
      </c>
      <c r="J104" s="137"/>
      <c r="K104" s="137"/>
      <c r="L104" s="137"/>
      <c r="M104" s="137"/>
      <c r="N104" s="137"/>
      <c r="O104" s="137"/>
      <c r="P104" s="137"/>
      <c r="Q104" s="137" t="s">
        <v>33</v>
      </c>
    </row>
    <row r="105" spans="2:20" s="61" customFormat="1" ht="16.5" x14ac:dyDescent="0.25">
      <c r="B105" s="76"/>
      <c r="C105" s="137"/>
      <c r="D105" s="137"/>
      <c r="E105" s="137"/>
      <c r="F105" s="137"/>
      <c r="G105" s="137"/>
      <c r="H105" s="150"/>
      <c r="I105" s="52">
        <f>'[1]26MY_PROLOGUE_DATA'!$M$7</f>
        <v>0</v>
      </c>
      <c r="J105" s="52" t="str">
        <f>'[1]26MY_PROLOGUE_DATA'!$N$7</f>
        <v>EX</v>
      </c>
      <c r="K105" s="52" t="str">
        <f>'[1]26MY_PROLOGUE_DATA'!$O$7</f>
        <v>EX-L</v>
      </c>
      <c r="L105" s="52">
        <f>'[1]26MY_PROLOGUE_DATA'!$P$7</f>
        <v>0</v>
      </c>
      <c r="M105" s="52" t="str">
        <f>'[1]26MY_PROLOGUE_DATA'!$Q$7</f>
        <v>Touring</v>
      </c>
      <c r="N105" s="52">
        <f>'[1]26MY_PROLOGUE_DATA'!$T$7</f>
        <v>0</v>
      </c>
      <c r="O105" s="52">
        <f>'[1]26MY_PROLOGUE_DATA'!$T$7</f>
        <v>0</v>
      </c>
      <c r="P105" s="52">
        <f>'[1]26MY_PROLOGUE_DATA'!$T$7</f>
        <v>0</v>
      </c>
      <c r="Q105" s="137"/>
    </row>
    <row r="106" spans="2:20" s="73" customFormat="1" ht="75" x14ac:dyDescent="0.25">
      <c r="B106" s="71" t="s">
        <v>89</v>
      </c>
      <c r="C106" s="77" t="str">
        <f>VLOOKUP(B106,'[1]26MY_PROLOGUE_DATA'!B:AS,3,FALSE)</f>
        <v>Portable Charger</v>
      </c>
      <c r="D106" s="78" t="str">
        <f t="shared" ref="D106" si="10">B106</f>
        <v>08E70-PT9-300CP</v>
      </c>
      <c r="E106" s="56">
        <f>VLOOKUP(B106,'[1]26MY_PROLOGUE_DATA'!B:AS,9,FALSE)</f>
        <v>513</v>
      </c>
      <c r="F106" s="56">
        <f>VLOOKUP(B106,'[1]26MY_PROLOGUE_DATA'!B:AS,10,FALSE)</f>
        <v>855</v>
      </c>
      <c r="G106" s="57">
        <f>VLOOKUP(B106,'[1]26MY_PROLOGUE_DATA'!B:AS,7,FALSE)</f>
        <v>0</v>
      </c>
      <c r="H106" s="58">
        <f>VLOOKUP(B106,'[1]26MY_PROLOGUE_DATA'!B:AS,11,FALSE)</f>
        <v>855</v>
      </c>
      <c r="I106" s="59">
        <f>VLOOKUP(B106,'[1]26MY_PROLOGUE_DATA'!B:AS,12,FALSE)</f>
        <v>0</v>
      </c>
      <c r="J106" s="59" t="str">
        <f>VLOOKUP(B106,'[1]26MY_PROLOGUE_DATA'!B:AS,13,FALSE)</f>
        <v>•</v>
      </c>
      <c r="K106" s="59" t="str">
        <f>VLOOKUP(B106,'[1]26MY_PROLOGUE_DATA'!B:AS,14,FALSE)</f>
        <v>•</v>
      </c>
      <c r="L106" s="59">
        <f>VLOOKUP(B106,'[1]26MY_PROLOGUE_DATA'!B:AS,15,FALSE)</f>
        <v>0</v>
      </c>
      <c r="M106" s="59" t="str">
        <f>VLOOKUP($B106,'[1]26MY_PROLOGUE_DATA'!$B:$AS,16,FALSE)</f>
        <v>•</v>
      </c>
      <c r="N106" s="59">
        <f>VLOOKUP($B106,'[1]26MY_PROLOGUE_DATA'!$B:$AS,17,FALSE)</f>
        <v>0</v>
      </c>
      <c r="O106" s="59">
        <f>VLOOKUP($B106,'[1]26MY_PROLOGUE_DATA'!$B:$AS,18,FALSE)</f>
        <v>0</v>
      </c>
      <c r="P106" s="59">
        <f>VLOOKUP(B106,'[1]26MY_PROLOGUE_DATA'!B:AS,19,FALSE)</f>
        <v>0</v>
      </c>
      <c r="Q106" s="79" t="str">
        <f>IF(VLOOKUP(B106,'[1]26MY_PROLOGUE_DATA'!B:AS,20,FALSE)="","",VLOOKUP(B106,'[1]26MY_PROLOGUE_DATA'!B:AS,20,FALSE))</f>
        <v>Vehicle comes standard with 1 portable charging kit. 
Charge up to 23.2 of range miles per hour with an appliance outlet (NEMA 14-50) 
Charge up to 4.2 of range miles per hour with a standard home outlet (NEMA 5-15)</v>
      </c>
    </row>
    <row r="107" spans="2:20" s="73" customFormat="1" ht="16.5" x14ac:dyDescent="0.25">
      <c r="B107" s="71">
        <v>86275140</v>
      </c>
      <c r="C107" s="77" t="str">
        <f>VLOOKUP(B107,'[1]26MY_PROLOGUE_DATA'!B:AS,3,FALSE)</f>
        <v>Honda NACS-CCS Adapter</v>
      </c>
      <c r="D107" s="111">
        <f>B107</f>
        <v>86275140</v>
      </c>
      <c r="E107" s="56">
        <f>VLOOKUP(B107,'[1]26MY_PROLOGUE_DATA'!B:AS,9,FALSE)</f>
        <v>321</v>
      </c>
      <c r="F107" s="56">
        <f>VLOOKUP(B107,'[1]26MY_PROLOGUE_DATA'!B:AS,10,FALSE)</f>
        <v>400</v>
      </c>
      <c r="G107" s="57">
        <f>VLOOKUP(B107,'[1]26MY_PROLOGUE_DATA'!B:AS,7,FALSE)</f>
        <v>0</v>
      </c>
      <c r="H107" s="58">
        <f>VLOOKUP(B107,'[1]26MY_PROLOGUE_DATA'!B:AS,11,FALSE)</f>
        <v>400</v>
      </c>
      <c r="I107" s="59">
        <f>VLOOKUP(B107,'[1]26MY_PROLOGUE_DATA'!B:AS,12,FALSE)</f>
        <v>0</v>
      </c>
      <c r="J107" s="59" t="str">
        <f>VLOOKUP(B107,'[1]26MY_PROLOGUE_DATA'!B:AS,13,FALSE)</f>
        <v>•</v>
      </c>
      <c r="K107" s="59" t="str">
        <f>VLOOKUP(B107,'[1]26MY_PROLOGUE_DATA'!B:AS,14,FALSE)</f>
        <v>•</v>
      </c>
      <c r="L107" s="59">
        <f>VLOOKUP(B107,'[1]26MY_PROLOGUE_DATA'!B:AS,15,FALSE)</f>
        <v>0</v>
      </c>
      <c r="M107" s="59" t="str">
        <f>VLOOKUP($B107,'[1]26MY_PROLOGUE_DATA'!$B:$AS,16,FALSE)</f>
        <v>•</v>
      </c>
      <c r="N107" s="59">
        <f>VLOOKUP($B107,'[1]26MY_PROLOGUE_DATA'!$B:$AS,17,FALSE)</f>
        <v>0</v>
      </c>
      <c r="O107" s="59">
        <f>VLOOKUP($B107,'[1]26MY_PROLOGUE_DATA'!$B:$AS,18,FALSE)</f>
        <v>0</v>
      </c>
      <c r="P107" s="59">
        <f>VLOOKUP(B107,'[1]26MY_PROLOGUE_DATA'!B:AS,19,FALSE)</f>
        <v>0</v>
      </c>
      <c r="Q107" s="79" t="str">
        <f>IF(VLOOKUP(B107,'[1]26MY_PROLOGUE_DATA'!B:AS,20,FALSE)="","",VLOOKUP(B107,'[1]26MY_PROLOGUE_DATA'!B:AS,20,FALSE))</f>
        <v/>
      </c>
    </row>
    <row r="108" spans="2:20" s="73" customFormat="1" ht="15" customHeight="1" x14ac:dyDescent="0.25">
      <c r="B108" s="71"/>
      <c r="C108" s="112"/>
      <c r="D108" s="113"/>
      <c r="E108" s="48"/>
      <c r="F108" s="48"/>
      <c r="G108" s="114"/>
      <c r="H108" s="48"/>
      <c r="I108" s="48"/>
      <c r="J108" s="48"/>
      <c r="K108" s="48"/>
      <c r="L108" s="48"/>
      <c r="M108" s="48"/>
      <c r="N108" s="48"/>
      <c r="O108" s="48"/>
      <c r="P108" s="48"/>
      <c r="Q108" s="72"/>
    </row>
    <row r="109" spans="2:20" s="75" customFormat="1" ht="18.75" x14ac:dyDescent="0.3">
      <c r="B109" s="71"/>
      <c r="C109" s="46" t="s">
        <v>90</v>
      </c>
      <c r="D109" s="46"/>
      <c r="E109" s="74"/>
      <c r="F109" s="74"/>
      <c r="G109" s="74"/>
      <c r="H109" s="74"/>
      <c r="I109" s="74"/>
      <c r="J109" s="74"/>
      <c r="K109" s="74"/>
      <c r="L109" s="74"/>
      <c r="M109" s="74"/>
      <c r="N109" s="74"/>
      <c r="O109" s="74"/>
      <c r="P109" s="74"/>
      <c r="Q109" s="74"/>
      <c r="T109" s="73"/>
    </row>
    <row r="110" spans="2:20" s="61" customFormat="1" ht="15" customHeight="1" x14ac:dyDescent="0.25">
      <c r="B110" s="76"/>
      <c r="C110" s="137" t="s">
        <v>26</v>
      </c>
      <c r="D110" s="137" t="s">
        <v>27</v>
      </c>
      <c r="E110" s="137" t="s">
        <v>28</v>
      </c>
      <c r="F110" s="137" t="s">
        <v>29</v>
      </c>
      <c r="G110" s="137" t="s">
        <v>30</v>
      </c>
      <c r="H110" s="150" t="s">
        <v>31</v>
      </c>
      <c r="I110" s="137" t="s">
        <v>32</v>
      </c>
      <c r="J110" s="137"/>
      <c r="K110" s="137"/>
      <c r="L110" s="137"/>
      <c r="M110" s="137"/>
      <c r="N110" s="137"/>
      <c r="O110" s="137"/>
      <c r="P110" s="137"/>
      <c r="Q110" s="137" t="s">
        <v>33</v>
      </c>
      <c r="T110" s="75"/>
    </row>
    <row r="111" spans="2:20" s="61" customFormat="1" ht="16.5" x14ac:dyDescent="0.25">
      <c r="B111" s="76"/>
      <c r="C111" s="137"/>
      <c r="D111" s="137"/>
      <c r="E111" s="137"/>
      <c r="F111" s="137"/>
      <c r="G111" s="137"/>
      <c r="H111" s="150"/>
      <c r="I111" s="52">
        <f>'[1]26MY_PROLOGUE_DATA'!$M$7</f>
        <v>0</v>
      </c>
      <c r="J111" s="52" t="str">
        <f>'[1]26MY_PROLOGUE_DATA'!$N$7</f>
        <v>EX</v>
      </c>
      <c r="K111" s="52" t="str">
        <f>'[1]26MY_PROLOGUE_DATA'!$O$7</f>
        <v>EX-L</v>
      </c>
      <c r="L111" s="52">
        <f>'[1]26MY_PROLOGUE_DATA'!$P$7</f>
        <v>0</v>
      </c>
      <c r="M111" s="52" t="str">
        <f>'[1]26MY_PROLOGUE_DATA'!$Q$7</f>
        <v>Touring</v>
      </c>
      <c r="N111" s="52">
        <f>'[1]26MY_PROLOGUE_DATA'!$T$7</f>
        <v>0</v>
      </c>
      <c r="O111" s="52">
        <f>'[1]26MY_PROLOGUE_DATA'!$T$7</f>
        <v>0</v>
      </c>
      <c r="P111" s="52">
        <f>'[1]26MY_PROLOGUE_DATA'!$T$7</f>
        <v>0</v>
      </c>
      <c r="Q111" s="137"/>
    </row>
    <row r="112" spans="2:20" s="73" customFormat="1" ht="15" customHeight="1" x14ac:dyDescent="0.25">
      <c r="B112" s="71" t="s">
        <v>91</v>
      </c>
      <c r="C112" s="77" t="str">
        <f>VLOOKUP(B112,'[1]26MY_PROLOGUE_DATA'!B:AS,3,FALSE)</f>
        <v>Snowfall Pearl (140X)</v>
      </c>
      <c r="D112" s="78" t="str">
        <f t="shared" ref="D112:D117" si="11">B112</f>
        <v>TUCH-140X-A1</v>
      </c>
      <c r="E112" s="138">
        <f>VLOOKUP(B112,'[1]26MY_PROLOGUE_DATA'!B:AS,9,FALSE)</f>
        <v>13</v>
      </c>
      <c r="F112" s="138">
        <f>VLOOKUP(B112,'[1]26MY_PROLOGUE_DATA'!B:AS,10,FALSE)</f>
        <v>21.5</v>
      </c>
      <c r="G112" s="141">
        <f>VLOOKUP(B112,'[1]26MY_PROLOGUE_DATA'!B:AS,7,FALSE)</f>
        <v>0</v>
      </c>
      <c r="H112" s="144">
        <f>VLOOKUP(B112,'[1]26MY_PROLOGUE_DATA'!B:AS,11,FALSE)</f>
        <v>21.5</v>
      </c>
      <c r="I112" s="59">
        <f>VLOOKUP(B112,'[1]26MY_PROLOGUE_DATA'!B:AS,12,FALSE)</f>
        <v>0</v>
      </c>
      <c r="J112" s="59" t="str">
        <f>VLOOKUP(B112,'[1]26MY_PROLOGUE_DATA'!B:AS,13,FALSE)</f>
        <v>•</v>
      </c>
      <c r="K112" s="59" t="str">
        <f>VLOOKUP(B112,'[1]26MY_PROLOGUE_DATA'!B:AS,14,FALSE)</f>
        <v>•</v>
      </c>
      <c r="L112" s="59">
        <f>VLOOKUP(B112,'[1]26MY_PROLOGUE_DATA'!B:AS,15,FALSE)</f>
        <v>0</v>
      </c>
      <c r="M112" s="59" t="str">
        <f>VLOOKUP($B112,'[1]26MY_PROLOGUE_DATA'!$B:$AS,16,FALSE)</f>
        <v>•</v>
      </c>
      <c r="N112" s="59">
        <f>VLOOKUP($B112,'[1]26MY_PROLOGUE_DATA'!$B:$AS,17,FALSE)</f>
        <v>0</v>
      </c>
      <c r="O112" s="59">
        <f>VLOOKUP($B112,'[1]26MY_PROLOGUE_DATA'!$B:$AS,18,FALSE)</f>
        <v>0</v>
      </c>
      <c r="P112" s="59">
        <f>VLOOKUP(B112,'[1]26MY_PROLOGUE_DATA'!B:AS,19,FALSE)</f>
        <v>0</v>
      </c>
      <c r="Q112" s="147" t="str">
        <f>IF(VLOOKUP(B112,'[1]26MY_PROLOGUE_DATA'!B:AS,20,FALSE)="","",VLOOKUP(B112,'[1]26MY_PROLOGUE_DATA'!B:AS,20,FALSE))</f>
        <v/>
      </c>
      <c r="T112" s="61"/>
    </row>
    <row r="113" spans="2:17" s="73" customFormat="1" ht="15" customHeight="1" x14ac:dyDescent="0.25">
      <c r="B113" s="76" t="s">
        <v>92</v>
      </c>
      <c r="C113" s="77" t="str">
        <f>VLOOKUP(B113,'[1]26MY_PROLOGUE_DATA'!B:AS,3,FALSE)</f>
        <v>Mercury Silver Metallic (130H)</v>
      </c>
      <c r="D113" s="78" t="str">
        <f t="shared" si="11"/>
        <v>TUCH-130H-A1</v>
      </c>
      <c r="E113" s="139"/>
      <c r="F113" s="139"/>
      <c r="G113" s="142"/>
      <c r="H113" s="145"/>
      <c r="I113" s="59">
        <f>VLOOKUP(B113,'[1]26MY_PROLOGUE_DATA'!B:AS,12,FALSE)</f>
        <v>0</v>
      </c>
      <c r="J113" s="59" t="str">
        <f>VLOOKUP(B113,'[1]26MY_PROLOGUE_DATA'!B:AS,13,FALSE)</f>
        <v>•</v>
      </c>
      <c r="K113" s="59" t="str">
        <f>VLOOKUP(B113,'[1]26MY_PROLOGUE_DATA'!B:AS,14,FALSE)</f>
        <v>•</v>
      </c>
      <c r="L113" s="59">
        <f>VLOOKUP(B113,'[1]26MY_PROLOGUE_DATA'!B:AS,15,FALSE)</f>
        <v>0</v>
      </c>
      <c r="M113" s="59" t="str">
        <f>VLOOKUP($B113,'[1]26MY_PROLOGUE_DATA'!$B:$AS,16,FALSE)</f>
        <v>•</v>
      </c>
      <c r="N113" s="59">
        <f>VLOOKUP($B113,'[1]26MY_PROLOGUE_DATA'!$B:$AS,17,FALSE)</f>
        <v>0</v>
      </c>
      <c r="O113" s="59">
        <f>VLOOKUP($B113,'[1]26MY_PROLOGUE_DATA'!$B:$AS,18,FALSE)</f>
        <v>0</v>
      </c>
      <c r="P113" s="59">
        <f>VLOOKUP(B113,'[1]26MY_PROLOGUE_DATA'!B:AS,19,FALSE)</f>
        <v>0</v>
      </c>
      <c r="Q113" s="148"/>
    </row>
    <row r="114" spans="2:17" s="73" customFormat="1" ht="15" customHeight="1" x14ac:dyDescent="0.25">
      <c r="B114" s="76" t="s">
        <v>93</v>
      </c>
      <c r="C114" s="77" t="str">
        <f>VLOOKUP(B114,'[1]26MY_PROLOGUE_DATA'!B:AS,3,FALSE)</f>
        <v>Scarlet Red Metallic (170H)</v>
      </c>
      <c r="D114" s="78" t="str">
        <f t="shared" si="11"/>
        <v>TUCH-170H-A1</v>
      </c>
      <c r="E114" s="139"/>
      <c r="F114" s="139"/>
      <c r="G114" s="142"/>
      <c r="H114" s="145"/>
      <c r="I114" s="59">
        <f>VLOOKUP(B114,'[1]26MY_PROLOGUE_DATA'!B:AS,12,FALSE)</f>
        <v>0</v>
      </c>
      <c r="J114" s="59" t="str">
        <f>VLOOKUP(B114,'[1]26MY_PROLOGUE_DATA'!B:AS,13,FALSE)</f>
        <v>•</v>
      </c>
      <c r="K114" s="59" t="str">
        <f>VLOOKUP(B114,'[1]26MY_PROLOGUE_DATA'!B:AS,14,FALSE)</f>
        <v>•</v>
      </c>
      <c r="L114" s="59">
        <f>VLOOKUP(B114,'[1]26MY_PROLOGUE_DATA'!B:AS,15,FALSE)</f>
        <v>0</v>
      </c>
      <c r="M114" s="59" t="str">
        <f>VLOOKUP($B114,'[1]26MY_PROLOGUE_DATA'!$B:$AS,16,FALSE)</f>
        <v>•</v>
      </c>
      <c r="N114" s="59">
        <f>VLOOKUP($B114,'[1]26MY_PROLOGUE_DATA'!$B:$AS,17,FALSE)</f>
        <v>0</v>
      </c>
      <c r="O114" s="59">
        <f>VLOOKUP($B114,'[1]26MY_PROLOGUE_DATA'!$B:$AS,18,FALSE)</f>
        <v>0</v>
      </c>
      <c r="P114" s="59">
        <f>VLOOKUP(B114,'[1]26MY_PROLOGUE_DATA'!B:AS,19,FALSE)</f>
        <v>0</v>
      </c>
      <c r="Q114" s="148"/>
    </row>
    <row r="115" spans="2:17" s="73" customFormat="1" ht="15" customHeight="1" x14ac:dyDescent="0.25">
      <c r="B115" s="76" t="s">
        <v>94</v>
      </c>
      <c r="C115" s="77" t="str">
        <f>VLOOKUP(B115,'[1]26MY_PROLOGUE_DATA'!B:AS,3,FALSE)</f>
        <v>Pacific Blue Metallic (121J)</v>
      </c>
      <c r="D115" s="78" t="str">
        <f t="shared" si="11"/>
        <v>TUCH-121J-A1</v>
      </c>
      <c r="E115" s="139"/>
      <c r="F115" s="139"/>
      <c r="G115" s="142"/>
      <c r="H115" s="145"/>
      <c r="I115" s="59">
        <f>VLOOKUP(B115,'[1]26MY_PROLOGUE_DATA'!B:AS,12,FALSE)</f>
        <v>0</v>
      </c>
      <c r="J115" s="59" t="str">
        <f>VLOOKUP(B115,'[1]26MY_PROLOGUE_DATA'!B:AS,13,FALSE)</f>
        <v>N/A</v>
      </c>
      <c r="K115" s="59" t="str">
        <f>VLOOKUP(B115,'[1]26MY_PROLOGUE_DATA'!B:AS,14,FALSE)</f>
        <v>N/A</v>
      </c>
      <c r="L115" s="59">
        <f>VLOOKUP(B115,'[1]26MY_PROLOGUE_DATA'!B:AS,15,FALSE)</f>
        <v>0</v>
      </c>
      <c r="M115" s="59" t="str">
        <f>VLOOKUP($B115,'[1]26MY_PROLOGUE_DATA'!$B:$AS,16,FALSE)</f>
        <v>•</v>
      </c>
      <c r="N115" s="59">
        <f>VLOOKUP($B115,'[1]26MY_PROLOGUE_DATA'!$B:$AS,17,FALSE)</f>
        <v>0</v>
      </c>
      <c r="O115" s="59">
        <f>VLOOKUP($B115,'[1]26MY_PROLOGUE_DATA'!$B:$AS,18,FALSE)</f>
        <v>0</v>
      </c>
      <c r="P115" s="59">
        <f>VLOOKUP(B115,'[1]26MY_PROLOGUE_DATA'!B:AS,19,FALSE)</f>
        <v>0</v>
      </c>
      <c r="Q115" s="148"/>
    </row>
    <row r="116" spans="2:17" s="73" customFormat="1" ht="15" customHeight="1" x14ac:dyDescent="0.25">
      <c r="B116" s="71" t="s">
        <v>95</v>
      </c>
      <c r="C116" s="77" t="str">
        <f>VLOOKUP(B116,'[1]26MY_PROLOGUE_DATA'!B:AS,3,FALSE)</f>
        <v>Raven Black (8555)</v>
      </c>
      <c r="D116" s="78" t="str">
        <f t="shared" si="11"/>
        <v>TUCH-8555-A1</v>
      </c>
      <c r="E116" s="139"/>
      <c r="F116" s="139"/>
      <c r="G116" s="142"/>
      <c r="H116" s="145"/>
      <c r="I116" s="59">
        <f>VLOOKUP(B116,'[1]26MY_PROLOGUE_DATA'!B:AS,12,FALSE)</f>
        <v>0</v>
      </c>
      <c r="J116" s="59" t="str">
        <f>VLOOKUP(B116,'[1]26MY_PROLOGUE_DATA'!B:AS,13,FALSE)</f>
        <v>•</v>
      </c>
      <c r="K116" s="59" t="str">
        <f>VLOOKUP(B116,'[1]26MY_PROLOGUE_DATA'!B:AS,14,FALSE)</f>
        <v>•</v>
      </c>
      <c r="L116" s="59">
        <f>VLOOKUP(B116,'[1]26MY_PROLOGUE_DATA'!B:AS,15,FALSE)</f>
        <v>0</v>
      </c>
      <c r="M116" s="59" t="str">
        <f>VLOOKUP($B116,'[1]26MY_PROLOGUE_DATA'!$B:$AS,16,FALSE)</f>
        <v>•</v>
      </c>
      <c r="N116" s="59">
        <f>VLOOKUP($B116,'[1]26MY_PROLOGUE_DATA'!$B:$AS,17,FALSE)</f>
        <v>0</v>
      </c>
      <c r="O116" s="59">
        <f>VLOOKUP($B116,'[1]26MY_PROLOGUE_DATA'!$B:$AS,18,FALSE)</f>
        <v>0</v>
      </c>
      <c r="P116" s="59">
        <f>VLOOKUP(B116,'[1]26MY_PROLOGUE_DATA'!B:AS,19,FALSE)</f>
        <v>0</v>
      </c>
      <c r="Q116" s="148"/>
    </row>
    <row r="117" spans="2:17" s="73" customFormat="1" ht="15" customHeight="1" x14ac:dyDescent="0.25">
      <c r="B117" s="71" t="s">
        <v>96</v>
      </c>
      <c r="C117" s="77" t="str">
        <f>VLOOKUP(B117,'[1]26MY_PROLOGUE_DATA'!B:AS,3,FALSE)</f>
        <v>Sonic Gray Pearl (138P)</v>
      </c>
      <c r="D117" s="78" t="str">
        <f t="shared" si="11"/>
        <v>TUCH-138P-A1</v>
      </c>
      <c r="E117" s="140"/>
      <c r="F117" s="140"/>
      <c r="G117" s="143"/>
      <c r="H117" s="146"/>
      <c r="I117" s="59">
        <f>VLOOKUP(B117,'[1]26MY_PROLOGUE_DATA'!B:AS,12,FALSE)</f>
        <v>0</v>
      </c>
      <c r="J117" s="59" t="str">
        <f>VLOOKUP(B117,'[1]26MY_PROLOGUE_DATA'!B:AS,13,FALSE)</f>
        <v>N/A</v>
      </c>
      <c r="K117" s="59" t="str">
        <f>VLOOKUP(B117,'[1]26MY_PROLOGUE_DATA'!B:AS,14,FALSE)</f>
        <v>N/A</v>
      </c>
      <c r="L117" s="59">
        <f>VLOOKUP(B117,'[1]26MY_PROLOGUE_DATA'!B:AS,15,FALSE)</f>
        <v>0</v>
      </c>
      <c r="M117" s="59" t="str">
        <f>VLOOKUP($B117,'[1]26MY_PROLOGUE_DATA'!$B:$AS,16,FALSE)</f>
        <v>•</v>
      </c>
      <c r="N117" s="59">
        <f>VLOOKUP($B117,'[1]26MY_PROLOGUE_DATA'!$B:$AS,17,FALSE)</f>
        <v>0</v>
      </c>
      <c r="O117" s="59">
        <f>VLOOKUP($B117,'[1]26MY_PROLOGUE_DATA'!$B:$AS,18,FALSE)</f>
        <v>0</v>
      </c>
      <c r="P117" s="59">
        <f>VLOOKUP(B117,'[1]26MY_PROLOGUE_DATA'!B:AS,19,FALSE)</f>
        <v>0</v>
      </c>
      <c r="Q117" s="149"/>
    </row>
    <row r="118" spans="2:17" s="61" customFormat="1" ht="7.15" customHeight="1" x14ac:dyDescent="0.25">
      <c r="B118" s="71"/>
      <c r="C118" s="89"/>
      <c r="D118" s="90"/>
      <c r="E118" s="90"/>
      <c r="F118" s="90"/>
      <c r="G118" s="90"/>
      <c r="H118" s="90"/>
      <c r="I118" s="90"/>
      <c r="J118" s="90"/>
      <c r="K118" s="90"/>
      <c r="L118" s="90"/>
      <c r="M118" s="90"/>
      <c r="N118" s="90"/>
      <c r="O118" s="90"/>
      <c r="P118" s="90"/>
      <c r="Q118" s="115"/>
    </row>
    <row r="119" spans="2:17" s="73" customFormat="1" ht="15" customHeight="1" x14ac:dyDescent="0.25">
      <c r="B119" s="71" t="s">
        <v>97</v>
      </c>
      <c r="C119" s="77" t="str">
        <f>VLOOKUP(B119,'[1]26MY_PROLOGUE_DATA'!B:AS,3,FALSE)</f>
        <v>Find Sanding Needles</v>
      </c>
      <c r="D119" s="78" t="str">
        <f t="shared" ref="D119:D121" si="12">B119</f>
        <v>TUCH-NEEDLES</v>
      </c>
      <c r="E119" s="56">
        <f>VLOOKUP(B119,'[1]26MY_PROLOGUE_DATA'!B:AS,9,FALSE)</f>
        <v>9.5</v>
      </c>
      <c r="F119" s="56">
        <f>VLOOKUP(B119,'[1]26MY_PROLOGUE_DATA'!B:AS,10,FALSE)</f>
        <v>15.75</v>
      </c>
      <c r="G119" s="57">
        <f>VLOOKUP(B119,'[1]26MY_PROLOGUE_DATA'!B:AS,7,FALSE)</f>
        <v>0</v>
      </c>
      <c r="H119" s="58">
        <f>VLOOKUP(B119,'[1]26MY_PROLOGUE_DATA'!B:AS,11,FALSE)</f>
        <v>15.75</v>
      </c>
      <c r="I119" s="59">
        <f>VLOOKUP(B119,'[1]26MY_PROLOGUE_DATA'!B:AS,12,FALSE)</f>
        <v>0</v>
      </c>
      <c r="J119" s="59" t="str">
        <f>VLOOKUP(B119,'[1]26MY_PROLOGUE_DATA'!B:AS,13,FALSE)</f>
        <v>•</v>
      </c>
      <c r="K119" s="59" t="str">
        <f>VLOOKUP(B119,'[1]26MY_PROLOGUE_DATA'!B:AS,14,FALSE)</f>
        <v>•</v>
      </c>
      <c r="L119" s="59">
        <f>VLOOKUP(B119,'[1]26MY_PROLOGUE_DATA'!B:AS,15,FALSE)</f>
        <v>0</v>
      </c>
      <c r="M119" s="59" t="str">
        <f>VLOOKUP($B119,'[1]26MY_PROLOGUE_DATA'!$B:$AS,16,FALSE)</f>
        <v>•</v>
      </c>
      <c r="N119" s="59">
        <f>VLOOKUP($B119,'[1]26MY_PROLOGUE_DATA'!$B:$AS,17,FALSE)</f>
        <v>0</v>
      </c>
      <c r="O119" s="59">
        <f>VLOOKUP($B119,'[1]26MY_PROLOGUE_DATA'!$B:$AS,18,FALSE)</f>
        <v>0</v>
      </c>
      <c r="P119" s="59">
        <f>VLOOKUP(B119,'[1]26MY_PROLOGUE_DATA'!B:AS,19,FALSE)</f>
        <v>0</v>
      </c>
      <c r="Q119" s="79" t="str">
        <f>IF(VLOOKUP(B119,'[1]26MY_PROLOGUE_DATA'!B:AS,20,FALSE)="","",VLOOKUP(B119,'[1]26MY_PROLOGUE_DATA'!B:AS,20,FALSE))</f>
        <v>Quantity of 5.</v>
      </c>
    </row>
    <row r="120" spans="2:17" s="73" customFormat="1" ht="15" customHeight="1" x14ac:dyDescent="0.25">
      <c r="B120" s="71" t="s">
        <v>98</v>
      </c>
      <c r="C120" s="77" t="str">
        <f>VLOOKUP(B120,'[1]26MY_PROLOGUE_DATA'!B:AS,3,FALSE)</f>
        <v>Fine Sanding Sticks</v>
      </c>
      <c r="D120" s="78" t="str">
        <f t="shared" si="12"/>
        <v>TUCH-STICKS</v>
      </c>
      <c r="E120" s="56">
        <f>VLOOKUP(B120,'[1]26MY_PROLOGUE_DATA'!B:AS,9,FALSE)</f>
        <v>2.4500000000000002</v>
      </c>
      <c r="F120" s="56">
        <f>VLOOKUP(B120,'[1]26MY_PROLOGUE_DATA'!B:AS,10,FALSE)</f>
        <v>4</v>
      </c>
      <c r="G120" s="57">
        <f>VLOOKUP(B120,'[1]26MY_PROLOGUE_DATA'!B:AS,7,FALSE)</f>
        <v>0</v>
      </c>
      <c r="H120" s="58">
        <f>VLOOKUP(B120,'[1]26MY_PROLOGUE_DATA'!B:AS,11,FALSE)</f>
        <v>4</v>
      </c>
      <c r="I120" s="59">
        <f>VLOOKUP(B120,'[1]26MY_PROLOGUE_DATA'!B:AS,12,FALSE)</f>
        <v>0</v>
      </c>
      <c r="J120" s="59" t="str">
        <f>VLOOKUP(B120,'[1]26MY_PROLOGUE_DATA'!B:AS,13,FALSE)</f>
        <v>•</v>
      </c>
      <c r="K120" s="59" t="str">
        <f>VLOOKUP(B120,'[1]26MY_PROLOGUE_DATA'!B:AS,14,FALSE)</f>
        <v>•</v>
      </c>
      <c r="L120" s="59">
        <f>VLOOKUP(B120,'[1]26MY_PROLOGUE_DATA'!B:AS,15,FALSE)</f>
        <v>0</v>
      </c>
      <c r="M120" s="59" t="str">
        <f>VLOOKUP($B120,'[1]26MY_PROLOGUE_DATA'!$B:$AS,16,FALSE)</f>
        <v>•</v>
      </c>
      <c r="N120" s="59">
        <f>VLOOKUP($B120,'[1]26MY_PROLOGUE_DATA'!$B:$AS,17,FALSE)</f>
        <v>0</v>
      </c>
      <c r="O120" s="59">
        <f>VLOOKUP($B120,'[1]26MY_PROLOGUE_DATA'!$B:$AS,18,FALSE)</f>
        <v>0</v>
      </c>
      <c r="P120" s="59">
        <f>VLOOKUP(B120,'[1]26MY_PROLOGUE_DATA'!B:AS,19,FALSE)</f>
        <v>0</v>
      </c>
      <c r="Q120" s="79" t="str">
        <f>IF(VLOOKUP(B120,'[1]26MY_PROLOGUE_DATA'!B:AS,20,FALSE)="","",VLOOKUP(B120,'[1]26MY_PROLOGUE_DATA'!B:AS,20,FALSE))</f>
        <v>Quantity of 5.</v>
      </c>
    </row>
    <row r="121" spans="2:17" s="73" customFormat="1" ht="15" customHeight="1" x14ac:dyDescent="0.25">
      <c r="B121" s="76" t="s">
        <v>99</v>
      </c>
      <c r="C121" s="77" t="str">
        <f>VLOOKUP(B121,'[1]26MY_PROLOGUE_DATA'!B:AS,3,FALSE)</f>
        <v>Paint Pen Replacement Tips</v>
      </c>
      <c r="D121" s="78" t="str">
        <f t="shared" si="12"/>
        <v>TUCH-TIPS</v>
      </c>
      <c r="E121" s="56">
        <f>VLOOKUP(B121,'[1]26MY_PROLOGUE_DATA'!B:AS,9,FALSE)</f>
        <v>13.75</v>
      </c>
      <c r="F121" s="56">
        <f>VLOOKUP(B121,'[1]26MY_PROLOGUE_DATA'!B:AS,10,FALSE)</f>
        <v>23</v>
      </c>
      <c r="G121" s="57">
        <f>VLOOKUP(B121,'[1]26MY_PROLOGUE_DATA'!B:AS,7,FALSE)</f>
        <v>0</v>
      </c>
      <c r="H121" s="58">
        <f>VLOOKUP(B121,'[1]26MY_PROLOGUE_DATA'!B:AS,11,FALSE)</f>
        <v>23</v>
      </c>
      <c r="I121" s="59">
        <f>VLOOKUP(B121,'[1]26MY_PROLOGUE_DATA'!B:AS,12,FALSE)</f>
        <v>0</v>
      </c>
      <c r="J121" s="59" t="str">
        <f>VLOOKUP(B121,'[1]26MY_PROLOGUE_DATA'!B:AS,13,FALSE)</f>
        <v>•</v>
      </c>
      <c r="K121" s="59" t="str">
        <f>VLOOKUP(B121,'[1]26MY_PROLOGUE_DATA'!B:AS,14,FALSE)</f>
        <v>•</v>
      </c>
      <c r="L121" s="59">
        <f>VLOOKUP(B121,'[1]26MY_PROLOGUE_DATA'!B:AS,15,FALSE)</f>
        <v>0</v>
      </c>
      <c r="M121" s="59" t="str">
        <f>VLOOKUP($B121,'[1]26MY_PROLOGUE_DATA'!$B:$AS,16,FALSE)</f>
        <v>•</v>
      </c>
      <c r="N121" s="59">
        <f>VLOOKUP($B121,'[1]26MY_PROLOGUE_DATA'!$B:$AS,17,FALSE)</f>
        <v>0</v>
      </c>
      <c r="O121" s="59">
        <f>VLOOKUP($B121,'[1]26MY_PROLOGUE_DATA'!$B:$AS,18,FALSE)</f>
        <v>0</v>
      </c>
      <c r="P121" s="59">
        <f>VLOOKUP(B121,'[1]26MY_PROLOGUE_DATA'!B:AS,19,FALSE)</f>
        <v>0</v>
      </c>
      <c r="Q121" s="79" t="str">
        <f>IF(VLOOKUP(B121,'[1]26MY_PROLOGUE_DATA'!B:AS,20,FALSE)="","",VLOOKUP(B121,'[1]26MY_PROLOGUE_DATA'!B:AS,20,FALSE))</f>
        <v>Quantity of 25.</v>
      </c>
    </row>
    <row r="122" spans="2:17" s="73" customFormat="1" ht="15" customHeight="1" x14ac:dyDescent="0.25">
      <c r="B122" s="76"/>
      <c r="C122" s="81"/>
      <c r="D122" s="116"/>
      <c r="E122" s="117"/>
      <c r="F122" s="117"/>
      <c r="G122" s="118"/>
      <c r="H122" s="119"/>
      <c r="I122" s="118"/>
      <c r="J122" s="118"/>
      <c r="K122" s="118"/>
      <c r="L122" s="118"/>
      <c r="M122" s="118"/>
      <c r="N122" s="118"/>
      <c r="O122" s="118"/>
      <c r="P122" s="118"/>
      <c r="Q122" s="118"/>
    </row>
    <row r="123" spans="2:17" s="73" customFormat="1" ht="15" customHeight="1" x14ac:dyDescent="0.25">
      <c r="B123" s="120"/>
      <c r="C123" s="121" t="s">
        <v>100</v>
      </c>
      <c r="D123" s="122" t="s">
        <v>14</v>
      </c>
      <c r="E123" s="123"/>
      <c r="F123" s="123"/>
      <c r="G123" s="123"/>
      <c r="H123" s="123"/>
      <c r="I123" s="123"/>
      <c r="J123" s="123"/>
      <c r="K123" s="123"/>
      <c r="L123" s="123"/>
      <c r="M123" s="123"/>
      <c r="N123" s="123"/>
      <c r="O123" s="123"/>
      <c r="P123" s="123"/>
      <c r="Q123" s="123"/>
    </row>
    <row r="124" spans="2:17" ht="14.25" customHeight="1" x14ac:dyDescent="0.25">
      <c r="C124" s="125">
        <f>'[1]26MY_PROLOGUE_DATA'!$C$4</f>
        <v>46056</v>
      </c>
      <c r="D124" s="122" t="s">
        <v>101</v>
      </c>
      <c r="E124" s="43"/>
      <c r="F124" s="43"/>
      <c r="G124" s="43"/>
      <c r="H124" s="43"/>
      <c r="I124" s="43"/>
      <c r="J124" s="43"/>
      <c r="K124" s="43"/>
      <c r="L124" s="43"/>
      <c r="M124" s="43"/>
      <c r="N124" s="43"/>
      <c r="O124" s="43"/>
      <c r="P124" s="43"/>
      <c r="Q124" s="43"/>
    </row>
    <row r="125" spans="2:17" ht="14.25" customHeight="1" x14ac:dyDescent="0.25">
      <c r="C125" s="43"/>
      <c r="D125" s="43"/>
      <c r="E125" s="43"/>
      <c r="F125" s="43"/>
      <c r="G125" s="43"/>
      <c r="H125" s="43"/>
      <c r="I125" s="43"/>
      <c r="J125" s="43"/>
      <c r="K125" s="43"/>
      <c r="L125" s="43"/>
      <c r="M125" s="43"/>
      <c r="N125" s="43"/>
      <c r="O125" s="43"/>
      <c r="P125" s="43"/>
      <c r="Q125" s="43"/>
    </row>
    <row r="126" spans="2:17" ht="14.25" customHeight="1" x14ac:dyDescent="0.25">
      <c r="C126" s="43"/>
      <c r="D126" s="43"/>
      <c r="E126" s="43"/>
      <c r="F126" s="43"/>
      <c r="G126" s="43"/>
      <c r="H126" s="43"/>
      <c r="I126" s="43"/>
      <c r="J126" s="43"/>
      <c r="K126" s="43"/>
      <c r="L126" s="43"/>
      <c r="M126" s="43"/>
      <c r="N126" s="43"/>
      <c r="O126" s="43"/>
      <c r="P126" s="43"/>
      <c r="Q126" s="43"/>
    </row>
    <row r="127" spans="2:17" ht="14.25" customHeight="1" x14ac:dyDescent="0.25">
      <c r="C127" s="43"/>
      <c r="D127" s="43"/>
      <c r="E127" s="43"/>
      <c r="F127" s="43"/>
      <c r="G127" s="43"/>
      <c r="H127" s="43"/>
      <c r="I127" s="43"/>
      <c r="J127" s="43"/>
      <c r="K127" s="43"/>
      <c r="L127" s="43"/>
      <c r="M127" s="43"/>
      <c r="N127" s="43"/>
      <c r="O127" s="43"/>
      <c r="P127" s="43"/>
      <c r="Q127" s="43"/>
    </row>
    <row r="128" spans="2:17" ht="14.25" customHeight="1" x14ac:dyDescent="0.25">
      <c r="C128" s="43"/>
      <c r="D128" s="43"/>
      <c r="E128" s="43"/>
      <c r="F128" s="43"/>
      <c r="G128" s="43"/>
      <c r="H128" s="43"/>
      <c r="I128" s="43"/>
      <c r="J128" s="43"/>
      <c r="K128" s="43"/>
      <c r="L128" s="43"/>
      <c r="M128" s="43"/>
      <c r="N128" s="43"/>
      <c r="O128" s="43"/>
      <c r="P128" s="43"/>
      <c r="Q128" s="43"/>
    </row>
    <row r="129" spans="3:17" ht="14.25" customHeight="1" x14ac:dyDescent="0.25">
      <c r="C129" s="43"/>
      <c r="D129" s="43"/>
      <c r="E129" s="43"/>
      <c r="F129" s="43"/>
      <c r="G129" s="43"/>
      <c r="H129" s="43"/>
      <c r="I129" s="43"/>
      <c r="J129" s="43"/>
      <c r="K129" s="43"/>
      <c r="L129" s="43"/>
      <c r="M129" s="43"/>
      <c r="N129" s="43"/>
      <c r="O129" s="43"/>
      <c r="P129" s="43"/>
      <c r="Q129" s="43"/>
    </row>
    <row r="130" spans="3:17" ht="14.25" customHeight="1" x14ac:dyDescent="0.25">
      <c r="C130" s="43"/>
      <c r="D130" s="43"/>
      <c r="E130" s="43"/>
      <c r="F130" s="43"/>
      <c r="G130" s="43"/>
      <c r="H130" s="43"/>
      <c r="I130" s="43"/>
      <c r="J130" s="43"/>
      <c r="K130" s="43"/>
      <c r="L130" s="43"/>
      <c r="M130" s="43"/>
      <c r="N130" s="43"/>
      <c r="O130" s="43"/>
      <c r="P130" s="43"/>
      <c r="Q130" s="43"/>
    </row>
    <row r="131" spans="3:17" ht="14.25" customHeight="1" x14ac:dyDescent="0.25">
      <c r="C131" s="43"/>
      <c r="D131" s="43"/>
      <c r="E131" s="43"/>
      <c r="F131" s="43"/>
      <c r="G131" s="43"/>
      <c r="H131" s="43"/>
      <c r="I131" s="43"/>
      <c r="J131" s="43"/>
      <c r="K131" s="43"/>
      <c r="L131" s="43"/>
      <c r="M131" s="43"/>
      <c r="N131" s="43"/>
      <c r="O131" s="43"/>
      <c r="P131" s="43"/>
      <c r="Q131" s="43"/>
    </row>
    <row r="132" spans="3:17" ht="14.25" customHeight="1" x14ac:dyDescent="0.25">
      <c r="C132" s="43"/>
      <c r="D132" s="43"/>
      <c r="E132" s="43"/>
      <c r="F132" s="43"/>
      <c r="G132" s="43"/>
      <c r="H132" s="43"/>
      <c r="I132" s="43"/>
      <c r="J132" s="43"/>
      <c r="K132" s="43"/>
      <c r="L132" s="43"/>
      <c r="M132" s="43"/>
      <c r="N132" s="43"/>
      <c r="O132" s="43"/>
      <c r="P132" s="43"/>
      <c r="Q132" s="43"/>
    </row>
    <row r="133" spans="3:17" ht="14.25" customHeight="1" x14ac:dyDescent="0.25">
      <c r="C133" s="43"/>
      <c r="D133" s="43"/>
      <c r="E133" s="43"/>
      <c r="F133" s="43"/>
      <c r="G133" s="43"/>
      <c r="H133" s="43"/>
      <c r="I133" s="43"/>
      <c r="J133" s="43"/>
      <c r="K133" s="43"/>
      <c r="L133" s="43"/>
      <c r="M133" s="43"/>
      <c r="N133" s="43"/>
      <c r="O133" s="43"/>
      <c r="P133" s="43"/>
      <c r="Q133" s="43"/>
    </row>
    <row r="134" spans="3:17" ht="14.25" customHeight="1" x14ac:dyDescent="0.25">
      <c r="C134" s="43"/>
      <c r="D134" s="43"/>
      <c r="E134" s="43"/>
      <c r="F134" s="43"/>
      <c r="G134" s="43"/>
      <c r="H134" s="43"/>
      <c r="I134" s="43"/>
      <c r="J134" s="43"/>
      <c r="K134" s="43"/>
      <c r="L134" s="43"/>
      <c r="M134" s="43"/>
      <c r="N134" s="43"/>
      <c r="O134" s="43"/>
      <c r="P134" s="43"/>
      <c r="Q134" s="43"/>
    </row>
    <row r="135" spans="3:17" ht="14.25" customHeight="1" x14ac:dyDescent="0.25">
      <c r="C135" s="43"/>
      <c r="D135" s="43"/>
      <c r="E135" s="43"/>
      <c r="F135" s="43"/>
      <c r="G135" s="43"/>
      <c r="H135" s="43"/>
      <c r="I135" s="43"/>
      <c r="J135" s="43"/>
      <c r="K135" s="43"/>
      <c r="L135" s="43"/>
      <c r="M135" s="43"/>
      <c r="N135" s="43"/>
      <c r="O135" s="43"/>
      <c r="P135" s="43"/>
      <c r="Q135" s="43"/>
    </row>
    <row r="136" spans="3:17" ht="14.25" customHeight="1" x14ac:dyDescent="0.25">
      <c r="C136" s="43"/>
      <c r="D136" s="43"/>
      <c r="E136" s="43"/>
      <c r="F136" s="43"/>
      <c r="G136" s="43"/>
      <c r="H136" s="43"/>
      <c r="I136" s="43"/>
      <c r="J136" s="43"/>
      <c r="K136" s="43"/>
      <c r="L136" s="43"/>
      <c r="M136" s="43"/>
      <c r="N136" s="43"/>
      <c r="O136" s="43"/>
      <c r="P136" s="43"/>
      <c r="Q136" s="43"/>
    </row>
    <row r="137" spans="3:17" ht="14.25" customHeight="1" x14ac:dyDescent="0.25">
      <c r="C137" s="43"/>
      <c r="D137" s="43"/>
      <c r="E137" s="43"/>
      <c r="F137" s="43"/>
      <c r="G137" s="43"/>
      <c r="H137" s="43"/>
      <c r="I137" s="43"/>
      <c r="J137" s="43"/>
      <c r="K137" s="43"/>
      <c r="L137" s="43"/>
      <c r="M137" s="43"/>
      <c r="N137" s="43"/>
      <c r="O137" s="43"/>
      <c r="P137" s="43"/>
      <c r="Q137" s="43"/>
    </row>
    <row r="138" spans="3:17" ht="14.25" customHeight="1" x14ac:dyDescent="0.25">
      <c r="C138" s="43"/>
      <c r="D138" s="43"/>
      <c r="E138" s="43"/>
      <c r="F138" s="43"/>
      <c r="G138" s="43"/>
      <c r="H138" s="43"/>
      <c r="I138" s="43"/>
      <c r="J138" s="43"/>
      <c r="K138" s="43"/>
      <c r="L138" s="43"/>
      <c r="M138" s="43"/>
      <c r="N138" s="43"/>
      <c r="O138" s="43"/>
      <c r="P138" s="43"/>
      <c r="Q138" s="43"/>
    </row>
    <row r="139" spans="3:17" ht="14.25" customHeight="1" x14ac:dyDescent="0.25">
      <c r="C139" s="43"/>
      <c r="D139" s="43"/>
      <c r="E139" s="43"/>
      <c r="F139" s="43"/>
      <c r="G139" s="43"/>
      <c r="H139" s="43"/>
      <c r="I139" s="43"/>
      <c r="J139" s="43"/>
      <c r="K139" s="43"/>
      <c r="L139" s="43"/>
      <c r="M139" s="43"/>
      <c r="N139" s="43"/>
      <c r="O139" s="43"/>
      <c r="P139" s="43"/>
      <c r="Q139" s="43"/>
    </row>
    <row r="140" spans="3:17" ht="14.25" customHeight="1" x14ac:dyDescent="0.25">
      <c r="C140" s="43"/>
      <c r="D140" s="43"/>
      <c r="E140" s="43"/>
      <c r="F140" s="43"/>
      <c r="G140" s="43"/>
      <c r="H140" s="43"/>
      <c r="I140" s="43"/>
      <c r="J140" s="43"/>
      <c r="K140" s="43"/>
      <c r="L140" s="43"/>
      <c r="M140" s="43"/>
      <c r="N140" s="43"/>
      <c r="O140" s="43"/>
      <c r="P140" s="43"/>
      <c r="Q140" s="43"/>
    </row>
    <row r="141" spans="3:17" ht="14.25" customHeight="1" x14ac:dyDescent="0.25">
      <c r="C141" s="43"/>
      <c r="D141" s="43"/>
      <c r="E141" s="43"/>
      <c r="F141" s="43"/>
      <c r="G141" s="43"/>
      <c r="H141" s="43"/>
      <c r="I141" s="43"/>
      <c r="J141" s="43"/>
      <c r="K141" s="43"/>
      <c r="L141" s="43"/>
      <c r="M141" s="43"/>
      <c r="N141" s="43"/>
      <c r="O141" s="43"/>
      <c r="P141" s="43"/>
      <c r="Q141" s="43"/>
    </row>
    <row r="142" spans="3:17" ht="14.25" customHeight="1" x14ac:dyDescent="0.25">
      <c r="C142" s="43"/>
      <c r="D142" s="43"/>
      <c r="E142" s="43"/>
      <c r="F142" s="43"/>
      <c r="G142" s="43"/>
      <c r="H142" s="43"/>
      <c r="I142" s="43"/>
      <c r="J142" s="43"/>
      <c r="K142" s="43"/>
      <c r="L142" s="43"/>
      <c r="M142" s="43"/>
      <c r="N142" s="43"/>
      <c r="O142" s="43"/>
      <c r="P142" s="43"/>
      <c r="Q142" s="43"/>
    </row>
    <row r="143" spans="3:17" ht="14.25" customHeight="1" x14ac:dyDescent="0.25">
      <c r="C143" s="43"/>
      <c r="D143" s="43"/>
      <c r="E143" s="43"/>
      <c r="F143" s="43"/>
      <c r="G143" s="43"/>
      <c r="H143" s="43"/>
      <c r="I143" s="43"/>
      <c r="J143" s="43"/>
      <c r="K143" s="43"/>
      <c r="L143" s="43"/>
      <c r="M143" s="43"/>
      <c r="N143" s="43"/>
      <c r="O143" s="43"/>
      <c r="P143" s="43"/>
      <c r="Q143" s="43"/>
    </row>
    <row r="144" spans="3:17" x14ac:dyDescent="0.25">
      <c r="C144" s="43"/>
      <c r="D144" s="43"/>
      <c r="E144" s="43"/>
      <c r="F144" s="43"/>
      <c r="G144" s="43"/>
      <c r="H144" s="43"/>
      <c r="I144" s="43"/>
      <c r="J144" s="43"/>
      <c r="K144" s="43"/>
      <c r="L144" s="43"/>
      <c r="M144" s="43"/>
      <c r="N144" s="43"/>
      <c r="O144" s="43"/>
      <c r="P144" s="43"/>
      <c r="Q144" s="43"/>
    </row>
  </sheetData>
  <sheetProtection algorithmName="SHA-512" hashValue="bolJwNf7YB9Yv9ZkdsNEYL+2Zq6zHR7n5EWZcDdwssUsaoVCykEUldYaf0W3w5azBZ4LrITA3Jjhzc4PErsFSQ==" saltValue="DLNsOu+4Bn3a5YR5ABXg0A==" spinCount="100000" sheet="1" objects="1" scenarios="1"/>
  <mergeCells count="120">
    <mergeCell ref="C12:C13"/>
    <mergeCell ref="D12:D13"/>
    <mergeCell ref="E12:E13"/>
    <mergeCell ref="F12:F13"/>
    <mergeCell ref="G12:G13"/>
    <mergeCell ref="H12:H13"/>
    <mergeCell ref="I12:P12"/>
    <mergeCell ref="Q12:Q13"/>
    <mergeCell ref="E14:E16"/>
    <mergeCell ref="F14:F16"/>
    <mergeCell ref="G14:G16"/>
    <mergeCell ref="H14:H16"/>
    <mergeCell ref="I14:I16"/>
    <mergeCell ref="J14:J16"/>
    <mergeCell ref="K14:K16"/>
    <mergeCell ref="L14:L16"/>
    <mergeCell ref="M14:M16"/>
    <mergeCell ref="N14:N16"/>
    <mergeCell ref="O14:O16"/>
    <mergeCell ref="P14:P16"/>
    <mergeCell ref="Q14:Q16"/>
    <mergeCell ref="E18:E22"/>
    <mergeCell ref="F18:F22"/>
    <mergeCell ref="G18:G22"/>
    <mergeCell ref="H18:H22"/>
    <mergeCell ref="I18:I22"/>
    <mergeCell ref="P18:P22"/>
    <mergeCell ref="Q18:Q22"/>
    <mergeCell ref="E24:E27"/>
    <mergeCell ref="F24:F27"/>
    <mergeCell ref="G24:G27"/>
    <mergeCell ref="H24:H27"/>
    <mergeCell ref="I24:I27"/>
    <mergeCell ref="J24:J27"/>
    <mergeCell ref="K24:K27"/>
    <mergeCell ref="L24:L27"/>
    <mergeCell ref="J18:J22"/>
    <mergeCell ref="K18:K22"/>
    <mergeCell ref="L18:L22"/>
    <mergeCell ref="M18:M22"/>
    <mergeCell ref="N18:N22"/>
    <mergeCell ref="O18:O22"/>
    <mergeCell ref="M24:M27"/>
    <mergeCell ref="N24:N27"/>
    <mergeCell ref="O24:O27"/>
    <mergeCell ref="P24:P27"/>
    <mergeCell ref="Q24:Q27"/>
    <mergeCell ref="E29:E33"/>
    <mergeCell ref="F29:F33"/>
    <mergeCell ref="G29:G33"/>
    <mergeCell ref="H29:H33"/>
    <mergeCell ref="I29:I33"/>
    <mergeCell ref="P29:P33"/>
    <mergeCell ref="Q29:Q33"/>
    <mergeCell ref="E35:E40"/>
    <mergeCell ref="F35:F40"/>
    <mergeCell ref="G35:G40"/>
    <mergeCell ref="H35:H39"/>
    <mergeCell ref="I35:I40"/>
    <mergeCell ref="J35:J40"/>
    <mergeCell ref="K35:K40"/>
    <mergeCell ref="L35:L40"/>
    <mergeCell ref="J29:J33"/>
    <mergeCell ref="K29:K33"/>
    <mergeCell ref="L29:L33"/>
    <mergeCell ref="M29:M33"/>
    <mergeCell ref="N29:N33"/>
    <mergeCell ref="O29:O33"/>
    <mergeCell ref="M35:M40"/>
    <mergeCell ref="N35:N40"/>
    <mergeCell ref="O35:O40"/>
    <mergeCell ref="P35:P40"/>
    <mergeCell ref="Q35:Q40"/>
    <mergeCell ref="C43:C44"/>
    <mergeCell ref="D43:D44"/>
    <mergeCell ref="E43:E44"/>
    <mergeCell ref="F43:F44"/>
    <mergeCell ref="G43:G44"/>
    <mergeCell ref="H43:H44"/>
    <mergeCell ref="I43:P43"/>
    <mergeCell ref="Q43:Q44"/>
    <mergeCell ref="C51:C52"/>
    <mergeCell ref="D51:D52"/>
    <mergeCell ref="E51:E52"/>
    <mergeCell ref="F51:F52"/>
    <mergeCell ref="G51:G52"/>
    <mergeCell ref="H51:H52"/>
    <mergeCell ref="I51:P51"/>
    <mergeCell ref="Q51:Q52"/>
    <mergeCell ref="Q76:Q81"/>
    <mergeCell ref="Q84:Q89"/>
    <mergeCell ref="C93:C94"/>
    <mergeCell ref="D93:D94"/>
    <mergeCell ref="E93:E94"/>
    <mergeCell ref="F93:F94"/>
    <mergeCell ref="G93:G94"/>
    <mergeCell ref="H93:H94"/>
    <mergeCell ref="I93:P93"/>
    <mergeCell ref="Q93:Q94"/>
    <mergeCell ref="C104:C105"/>
    <mergeCell ref="D104:D105"/>
    <mergeCell ref="E104:E105"/>
    <mergeCell ref="F104:F105"/>
    <mergeCell ref="G104:G105"/>
    <mergeCell ref="H104:H105"/>
    <mergeCell ref="I104:P104"/>
    <mergeCell ref="Q104:Q105"/>
    <mergeCell ref="I110:P110"/>
    <mergeCell ref="Q110:Q111"/>
    <mergeCell ref="E112:E117"/>
    <mergeCell ref="F112:F117"/>
    <mergeCell ref="G112:G117"/>
    <mergeCell ref="H112:H117"/>
    <mergeCell ref="Q112:Q117"/>
    <mergeCell ref="C110:C111"/>
    <mergeCell ref="D110:D111"/>
    <mergeCell ref="E110:E111"/>
    <mergeCell ref="F110:F111"/>
    <mergeCell ref="G110:G111"/>
    <mergeCell ref="H110:H111"/>
  </mergeCells>
  <conditionalFormatting sqref="E1:F1 E2 E5:F18 E23:F24 E28:F29 E34:F35 E41:F112 E118:F1048576">
    <cfRule type="containsText" dxfId="4" priority="1" operator="containsText" text=".99">
      <formula>NOT(ISERROR(SEARCH(".99",E1)))</formula>
    </cfRule>
  </conditionalFormatting>
  <printOptions horizontalCentered="1"/>
  <pageMargins left="0.23622047244094499" right="0.23622047244094499" top="0.39370078740157499" bottom="0.39370078740157499" header="0.31496062992126" footer="0.31496062992126"/>
  <pageSetup scale="55" fitToHeight="0" orientation="portrait" horizontalDpi="1200" verticalDpi="1200" r:id="rId1"/>
  <headerFooter>
    <oddFooter>&amp;CPage &amp;P of &amp;N</oddFooter>
  </headerFooter>
  <rowBreaks count="1" manualBreakCount="1">
    <brk id="74" min="2" max="1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10E00-3757-410C-8B81-A559349B313C}">
  <sheetPr codeName="Sheet5">
    <tabColor theme="3" tint="-0.249977111117893"/>
    <pageSetUpPr fitToPage="1"/>
  </sheetPr>
  <dimension ref="B2:T143"/>
  <sheetViews>
    <sheetView tabSelected="1" view="pageBreakPreview" zoomScale="85" zoomScaleNormal="60" zoomScaleSheetLayoutView="85" workbookViewId="0">
      <selection activeCell="U10" sqref="U10"/>
    </sheetView>
  </sheetViews>
  <sheetFormatPr defaultColWidth="9.140625" defaultRowHeight="12.75" outlineLevelCol="1" x14ac:dyDescent="0.25"/>
  <cols>
    <col min="1" max="1" width="9.140625" style="27"/>
    <col min="2" max="2" width="15.5703125" style="124" hidden="1" customWidth="1"/>
    <col min="3" max="3" width="41.140625" style="27" customWidth="1"/>
    <col min="4" max="4" width="22" style="27" customWidth="1"/>
    <col min="5" max="5" width="12.42578125" style="27" customWidth="1" outlineLevel="1"/>
    <col min="6" max="6" width="11.5703125" style="27" customWidth="1"/>
    <col min="7" max="7" width="8.5703125" style="27" customWidth="1"/>
    <col min="8" max="8" width="13.5703125" style="27" customWidth="1"/>
    <col min="9" max="9" width="10.5703125" style="27" hidden="1" customWidth="1"/>
    <col min="10" max="11" width="10.5703125" style="27" customWidth="1"/>
    <col min="12" max="12" width="10.5703125" style="27" hidden="1" customWidth="1"/>
    <col min="13" max="13" width="10.5703125" style="27" customWidth="1"/>
    <col min="14" max="16" width="10.5703125" style="27" hidden="1" customWidth="1"/>
    <col min="17" max="17" width="62" style="27" customWidth="1"/>
    <col min="18" max="16384" width="9.140625" style="27"/>
  </cols>
  <sheetData>
    <row r="2" spans="2:20" ht="35.25" customHeight="1" x14ac:dyDescent="0.25">
      <c r="B2" s="22" t="s">
        <v>16</v>
      </c>
      <c r="C2" s="23" t="s">
        <v>102</v>
      </c>
      <c r="D2" s="23"/>
      <c r="E2" s="126"/>
      <c r="F2" s="126"/>
      <c r="G2" s="126"/>
      <c r="H2" s="126"/>
      <c r="I2" s="126"/>
      <c r="J2" s="126"/>
      <c r="K2" s="126"/>
      <c r="L2" s="126"/>
      <c r="M2" s="127"/>
      <c r="N2" s="26"/>
      <c r="O2" s="26"/>
      <c r="P2" s="26"/>
      <c r="Q2" s="26"/>
    </row>
    <row r="3" spans="2:20" ht="26.25" x14ac:dyDescent="0.25">
      <c r="B3" s="22"/>
      <c r="C3" s="28" t="s">
        <v>103</v>
      </c>
      <c r="D3" s="29" t="str">
        <f>'[1]26MY_PROLOGUE_DATA'!$C$2</f>
        <v>Prologue</v>
      </c>
      <c r="E3" s="128"/>
      <c r="F3" s="128"/>
      <c r="G3" s="128"/>
      <c r="H3" s="128"/>
      <c r="I3" s="128"/>
      <c r="J3" s="128"/>
      <c r="K3" s="128"/>
      <c r="L3" s="128"/>
      <c r="M3" s="129"/>
      <c r="N3" s="26"/>
      <c r="O3" s="26"/>
      <c r="P3" s="26"/>
      <c r="Q3" s="26"/>
    </row>
    <row r="4" spans="2:20" ht="26.25" x14ac:dyDescent="0.25">
      <c r="B4" s="22"/>
      <c r="C4" s="28" t="s">
        <v>104</v>
      </c>
      <c r="D4" s="32">
        <f>'[1]26MY_PROLOGUE_DATA'!$C$3</f>
        <v>2026</v>
      </c>
      <c r="E4" s="130"/>
      <c r="F4" s="130"/>
      <c r="G4" s="130"/>
      <c r="H4" s="130"/>
      <c r="I4" s="130"/>
      <c r="J4" s="130"/>
      <c r="K4" s="130"/>
      <c r="L4" s="130"/>
      <c r="M4" s="131"/>
      <c r="N4" s="26"/>
      <c r="O4" s="26"/>
      <c r="P4" s="26"/>
      <c r="Q4" s="26"/>
    </row>
    <row r="5" spans="2:20" x14ac:dyDescent="0.25">
      <c r="B5" s="22"/>
      <c r="C5" s="167" t="s">
        <v>105</v>
      </c>
      <c r="D5" s="168"/>
      <c r="E5" s="168"/>
      <c r="F5" s="168"/>
      <c r="G5" s="168"/>
      <c r="H5" s="168"/>
      <c r="I5" s="168"/>
      <c r="J5" s="168"/>
      <c r="K5" s="168"/>
      <c r="L5" s="168"/>
      <c r="M5" s="169"/>
      <c r="N5" s="36"/>
      <c r="O5" s="36"/>
      <c r="P5" s="36"/>
      <c r="Q5" s="37"/>
    </row>
    <row r="6" spans="2:20" x14ac:dyDescent="0.25">
      <c r="B6" s="22"/>
      <c r="C6" s="170" t="s">
        <v>106</v>
      </c>
      <c r="D6" s="171"/>
      <c r="E6" s="171"/>
      <c r="F6" s="171"/>
      <c r="G6" s="171"/>
      <c r="H6" s="171"/>
      <c r="I6" s="171"/>
      <c r="J6" s="171"/>
      <c r="K6" s="171"/>
      <c r="L6" s="171"/>
      <c r="M6" s="172"/>
      <c r="N6" s="36"/>
      <c r="O6" s="36"/>
      <c r="P6" s="36"/>
      <c r="Q6" s="37"/>
    </row>
    <row r="7" spans="2:20" x14ac:dyDescent="0.25">
      <c r="B7" s="22"/>
      <c r="C7" s="170" t="s">
        <v>107</v>
      </c>
      <c r="D7" s="171"/>
      <c r="E7" s="171"/>
      <c r="F7" s="171"/>
      <c r="G7" s="171"/>
      <c r="H7" s="171"/>
      <c r="I7" s="171"/>
      <c r="J7" s="171"/>
      <c r="K7" s="171"/>
      <c r="L7" s="171"/>
      <c r="M7" s="172"/>
      <c r="N7" s="36"/>
      <c r="O7" s="36"/>
      <c r="P7" s="36"/>
      <c r="Q7" s="37"/>
    </row>
    <row r="8" spans="2:20" x14ac:dyDescent="0.25">
      <c r="B8" s="22"/>
      <c r="C8" s="173" t="s">
        <v>108</v>
      </c>
      <c r="D8" s="174"/>
      <c r="E8" s="174"/>
      <c r="F8" s="174"/>
      <c r="G8" s="174"/>
      <c r="H8" s="174"/>
      <c r="I8" s="174"/>
      <c r="J8" s="174"/>
      <c r="K8" s="174"/>
      <c r="L8" s="174"/>
      <c r="M8" s="175"/>
      <c r="N8" s="36"/>
      <c r="O8" s="36"/>
      <c r="P8" s="36"/>
      <c r="Q8" s="37"/>
    </row>
    <row r="9" spans="2:20" x14ac:dyDescent="0.25">
      <c r="B9" s="22"/>
      <c r="C9" s="40"/>
      <c r="D9" s="40"/>
      <c r="E9" s="40"/>
      <c r="F9" s="40"/>
      <c r="G9" s="40"/>
      <c r="H9" s="40"/>
      <c r="I9" s="40"/>
      <c r="J9" s="40"/>
      <c r="K9" s="40"/>
      <c r="L9" s="40"/>
      <c r="M9" s="40"/>
      <c r="N9" s="41"/>
      <c r="O9" s="41"/>
      <c r="P9" s="41"/>
      <c r="Q9" s="42"/>
    </row>
    <row r="10" spans="2:20" ht="15" x14ac:dyDescent="0.2">
      <c r="B10" s="22"/>
      <c r="C10" s="43"/>
      <c r="D10" s="43"/>
      <c r="E10" s="43"/>
      <c r="F10" s="43"/>
      <c r="G10" s="43"/>
      <c r="H10" s="44" t="s">
        <v>24</v>
      </c>
      <c r="I10" s="43"/>
      <c r="J10" s="43"/>
      <c r="K10" s="43"/>
      <c r="L10" s="43"/>
      <c r="M10" s="43"/>
      <c r="N10" s="43"/>
      <c r="O10" s="43"/>
      <c r="P10" s="43"/>
      <c r="Q10" s="45"/>
    </row>
    <row r="11" spans="2:20" ht="18.75" x14ac:dyDescent="0.3">
      <c r="B11" s="22"/>
      <c r="C11" s="46" t="s">
        <v>109</v>
      </c>
      <c r="D11" s="47"/>
      <c r="E11" s="48"/>
      <c r="F11" s="48"/>
      <c r="G11" s="49"/>
      <c r="H11" s="50" t="str">
        <f>prov_cd</f>
        <v>YT</v>
      </c>
      <c r="I11" s="51"/>
      <c r="J11" s="43"/>
      <c r="K11" s="43"/>
      <c r="L11" s="43"/>
      <c r="M11" s="43"/>
      <c r="N11" s="43"/>
      <c r="O11" s="43"/>
      <c r="P11" s="43"/>
      <c r="Q11" s="43"/>
    </row>
    <row r="12" spans="2:20" ht="15" x14ac:dyDescent="0.25">
      <c r="B12" s="22"/>
      <c r="C12" s="137" t="s">
        <v>110</v>
      </c>
      <c r="D12" s="137" t="s">
        <v>111</v>
      </c>
      <c r="E12" s="137" t="s">
        <v>112</v>
      </c>
      <c r="F12" s="137" t="s">
        <v>113</v>
      </c>
      <c r="G12" s="137" t="s">
        <v>114</v>
      </c>
      <c r="H12" s="150" t="s">
        <v>115</v>
      </c>
      <c r="I12" s="137" t="s">
        <v>32</v>
      </c>
      <c r="J12" s="137"/>
      <c r="K12" s="137"/>
      <c r="L12" s="137"/>
      <c r="M12" s="137"/>
      <c r="N12" s="137"/>
      <c r="O12" s="137"/>
      <c r="P12" s="137"/>
      <c r="Q12" s="137" t="s">
        <v>116</v>
      </c>
    </row>
    <row r="13" spans="2:20" ht="29.1" customHeight="1" x14ac:dyDescent="0.25">
      <c r="B13" s="22"/>
      <c r="C13" s="137"/>
      <c r="D13" s="137"/>
      <c r="E13" s="137"/>
      <c r="F13" s="137"/>
      <c r="G13" s="137"/>
      <c r="H13" s="150"/>
      <c r="I13" s="52">
        <f>'[1]26MY_PROLOGUE_DATA'!$M$6</f>
        <v>0</v>
      </c>
      <c r="J13" s="52" t="str">
        <f>'[1]26MY_PROLOGUE_DATA'!$N$6</f>
        <v>EX</v>
      </c>
      <c r="K13" s="52" t="str">
        <f>'[1]26MY_PROLOGUE_DATA'!$O$6</f>
        <v>EX-L</v>
      </c>
      <c r="L13" s="52">
        <f>'[1]26MY_PROLOGUE_DATA'!$P$6</f>
        <v>0</v>
      </c>
      <c r="M13" s="52" t="str">
        <f>'[1]26MY_PROLOGUE_DATA'!$Q$6</f>
        <v>Touring</v>
      </c>
      <c r="N13" s="52">
        <f>'[1]26MY_PROLOGUE_DATA'!$T$6</f>
        <v>0</v>
      </c>
      <c r="O13" s="52">
        <f>'[1]26MY_PROLOGUE_DATA'!$T$6</f>
        <v>0</v>
      </c>
      <c r="P13" s="52">
        <f>'[1]26MY_PROLOGUE_DATA'!$T$6</f>
        <v>0</v>
      </c>
      <c r="Q13" s="137"/>
    </row>
    <row r="14" spans="2:20" s="75" customFormat="1" ht="18.75" customHeight="1" x14ac:dyDescent="0.25">
      <c r="B14" s="53" t="s">
        <v>34</v>
      </c>
      <c r="C14" s="54" t="str">
        <f>VLOOKUP(B14,'[1]26MY_PROLOGUE_DATA'!B:AS,4,FALSE)</f>
        <v>Ensemble de protection</v>
      </c>
      <c r="D14" s="132" t="str">
        <f>B14</f>
        <v>24PRO-PRO1</v>
      </c>
      <c r="E14" s="161">
        <f>VLOOKUP(B14,'[1]26MY_PROLOGUE_DATA'!B:AS,9,FALSE)</f>
        <v>301.5</v>
      </c>
      <c r="F14" s="161">
        <f>VLOOKUP(B14,'[1]26MY_PROLOGUE_DATA'!B:AS,10,FALSE)</f>
        <v>558</v>
      </c>
      <c r="G14" s="162">
        <f>VLOOKUP(B14,'[1]26MY_PROLOGUE_DATA'!B:AS,7,FALSE)</f>
        <v>0.2</v>
      </c>
      <c r="H14" s="163">
        <f>VLOOKUP(B14,'[1]26MY_PROLOGUE_DATA'!B:AS,11,FALSE)</f>
        <v>591</v>
      </c>
      <c r="I14" s="157">
        <f>VLOOKUP(B14,'[1]26MY_PROLOGUE_DATA'!B:AS,12,FALSE)</f>
        <v>0</v>
      </c>
      <c r="J14" s="157" t="str">
        <f>VLOOKUP(B14,'[1]26MY_PROLOGUE_DATA'!B:AS,13,FALSE)</f>
        <v>•</v>
      </c>
      <c r="K14" s="157" t="str">
        <f>VLOOKUP(B14,'[1]26MY_PROLOGUE_DATA'!B:AS,14,FALSE)</f>
        <v>•</v>
      </c>
      <c r="L14" s="157">
        <f>VLOOKUP(B14,'[1]26MY_PROLOGUE_DATA'!B:AS,15,FALSE)</f>
        <v>0</v>
      </c>
      <c r="M14" s="157" t="str">
        <f>VLOOKUP($B14,'[1]26MY_PROLOGUE_DATA'!$B:$AS,16,FALSE)</f>
        <v>•</v>
      </c>
      <c r="N14" s="157">
        <f>VLOOKUP($B14,'[1]26MY_PROLOGUE_DATA'!$B:$AS,17,FALSE)</f>
        <v>0</v>
      </c>
      <c r="O14" s="157">
        <f>VLOOKUP($B14,'[1]26MY_PROLOGUE_DATA'!$B:$AS,18,FALSE)</f>
        <v>0</v>
      </c>
      <c r="P14" s="157">
        <f>VLOOKUP(B14,'[1]26MY_PROLOGUE_DATA'!B:AS,19,FALSE)</f>
        <v>0</v>
      </c>
      <c r="Q14" s="147" t="str">
        <f>IF(VLOOKUP(B14,'[1]26MY_PROLOGUE_DATA'!B:AS,21,FALSE)="","",VLOOKUP(B14,'[1]26MY_PROLOGUE_DATA'!B:AS,21,FALSE))</f>
        <v>Rabais de 10 % est appliqué</v>
      </c>
      <c r="R14" s="133"/>
      <c r="S14" s="133"/>
      <c r="T14" s="133"/>
    </row>
    <row r="15" spans="2:20" s="61" customFormat="1" ht="15" x14ac:dyDescent="0.25">
      <c r="B15" s="53" t="s">
        <v>35</v>
      </c>
      <c r="C15" s="62" t="str">
        <f>VLOOKUP(B15,'[1]26MY_PROLOGUE_DATA'!B:AS,4,FALSE)</f>
        <v>Tapis toutes saisons</v>
      </c>
      <c r="D15" s="63" t="str">
        <f t="shared" ref="D15:D16" si="0">B15</f>
        <v>08P17-PS2-110</v>
      </c>
      <c r="E15" s="161"/>
      <c r="F15" s="161"/>
      <c r="G15" s="162"/>
      <c r="H15" s="163"/>
      <c r="I15" s="157"/>
      <c r="J15" s="157"/>
      <c r="K15" s="157"/>
      <c r="L15" s="157"/>
      <c r="M15" s="157"/>
      <c r="N15" s="157"/>
      <c r="O15" s="157"/>
      <c r="P15" s="157"/>
      <c r="Q15" s="148"/>
      <c r="R15" s="60"/>
      <c r="S15" s="60"/>
      <c r="T15" s="60"/>
    </row>
    <row r="16" spans="2:20" s="61" customFormat="1" ht="15" customHeight="1" x14ac:dyDescent="0.25">
      <c r="B16" s="53" t="s">
        <v>36</v>
      </c>
      <c r="C16" s="62" t="str">
        <f>VLOOKUP(B16,'[1]26MY_PROLOGUE_DATA'!B:AS,4,FALSE)</f>
        <v>Plateau pour compartiment utilitaire</v>
      </c>
      <c r="D16" s="64" t="str">
        <f t="shared" si="0"/>
        <v>08U45-PS2-100</v>
      </c>
      <c r="E16" s="161"/>
      <c r="F16" s="161"/>
      <c r="G16" s="162"/>
      <c r="H16" s="163"/>
      <c r="I16" s="157"/>
      <c r="J16" s="157"/>
      <c r="K16" s="157"/>
      <c r="L16" s="157"/>
      <c r="M16" s="157"/>
      <c r="N16" s="157"/>
      <c r="O16" s="157"/>
      <c r="P16" s="157"/>
      <c r="Q16" s="149"/>
      <c r="R16" s="60"/>
      <c r="S16" s="60"/>
      <c r="T16" s="60"/>
    </row>
    <row r="17" spans="2:20" s="61" customFormat="1" ht="7.15" customHeight="1" x14ac:dyDescent="0.25">
      <c r="B17" s="53"/>
      <c r="C17" s="66"/>
      <c r="D17" s="67"/>
      <c r="E17" s="67"/>
      <c r="F17" s="67"/>
      <c r="G17" s="67"/>
      <c r="H17" s="67"/>
      <c r="I17" s="67"/>
      <c r="J17" s="67"/>
      <c r="K17" s="67"/>
      <c r="L17" s="67"/>
      <c r="M17" s="67"/>
      <c r="N17" s="67"/>
      <c r="O17" s="67"/>
      <c r="P17" s="67"/>
      <c r="Q17" s="68"/>
      <c r="R17" s="60"/>
      <c r="S17" s="60"/>
      <c r="T17" s="60"/>
    </row>
    <row r="18" spans="2:20" s="61" customFormat="1" ht="15" customHeight="1" x14ac:dyDescent="0.25">
      <c r="B18" s="53" t="s">
        <v>37</v>
      </c>
      <c r="C18" s="54" t="str">
        <f>VLOOKUP(B18,'[1]26MY_PROLOGUE_DATA'!B:AS,4,FALSE)</f>
        <v>Ensemble de protection Avance</v>
      </c>
      <c r="D18" s="132" t="str">
        <f>B18</f>
        <v>24PRO-PROA</v>
      </c>
      <c r="E18" s="138">
        <f>VLOOKUP(B18,'[1]26MY_PROLOGUE_DATA'!B:AS,9,FALSE)</f>
        <v>664.2</v>
      </c>
      <c r="F18" s="138">
        <f>VLOOKUP(B18,'[1]26MY_PROLOGUE_DATA'!B:AS,10,FALSE)</f>
        <v>1107</v>
      </c>
      <c r="G18" s="141">
        <f>VLOOKUP(B18,'[1]26MY_PROLOGUE_DATA'!B:AS,7,FALSE)</f>
        <v>0.5</v>
      </c>
      <c r="H18" s="144">
        <f>VLOOKUP(B18,'[1]26MY_PROLOGUE_DATA'!B:AS,11,FALSE)</f>
        <v>1189.5</v>
      </c>
      <c r="I18" s="158">
        <f>VLOOKUP(B18,'[1]26MY_PROLOGUE_DATA'!B:AS,12,FALSE)</f>
        <v>0</v>
      </c>
      <c r="J18" s="151" t="str">
        <f>VLOOKUP(B18,'[1]26MY_PROLOGUE_DATA'!B:AS,13,FALSE)</f>
        <v>•</v>
      </c>
      <c r="K18" s="151" t="str">
        <f>VLOOKUP(B18,'[1]26MY_PROLOGUE_DATA'!B:AS,14,FALSE)</f>
        <v>•</v>
      </c>
      <c r="L18" s="151">
        <f>VLOOKUP(B18,'[1]26MY_PROLOGUE_DATA'!B:AS,15,FALSE)</f>
        <v>0</v>
      </c>
      <c r="M18" s="151" t="str">
        <f>VLOOKUP($B18,'[1]26MY_PROLOGUE_DATA'!$B:$AS,16,FALSE)</f>
        <v>•</v>
      </c>
      <c r="N18" s="151">
        <f>VLOOKUP($B18,'[1]26MY_PROLOGUE_DATA'!$B:$AS,17,FALSE)</f>
        <v>0</v>
      </c>
      <c r="O18" s="151">
        <f>VLOOKUP($B18,'[1]26MY_PROLOGUE_DATA'!$B:$AS,18,FALSE)</f>
        <v>0</v>
      </c>
      <c r="P18" s="151">
        <f>VLOOKUP(B18,'[1]26MY_PROLOGUE_DATA'!B:AS,19,FALSE)</f>
        <v>0</v>
      </c>
      <c r="Q18" s="147" t="str">
        <f>IF(VLOOKUP(B18,'[1]26MY_PROLOGUE_DATA'!B:AS,21,FALSE)="","",VLOOKUP(B18,'[1]26MY_PROLOGUE_DATA'!B:AS,21,FALSE))</f>
        <v>Rabais de 10 % est appliqué</v>
      </c>
      <c r="R18" s="60"/>
      <c r="S18" s="60"/>
      <c r="T18" s="60"/>
    </row>
    <row r="19" spans="2:20" s="61" customFormat="1" ht="15" customHeight="1" x14ac:dyDescent="0.25">
      <c r="B19" s="53" t="s">
        <v>35</v>
      </c>
      <c r="C19" s="62" t="str">
        <f>VLOOKUP(B19,'[1]26MY_PROLOGUE_DATA'!B:AS,4,FALSE)</f>
        <v>Tapis toutes saisons</v>
      </c>
      <c r="D19" s="64" t="str">
        <f t="shared" ref="D19:D22" si="1">B19</f>
        <v>08P17-PS2-110</v>
      </c>
      <c r="E19" s="139"/>
      <c r="F19" s="139"/>
      <c r="G19" s="142"/>
      <c r="H19" s="145"/>
      <c r="I19" s="159"/>
      <c r="J19" s="152"/>
      <c r="K19" s="152"/>
      <c r="L19" s="152"/>
      <c r="M19" s="152"/>
      <c r="N19" s="152"/>
      <c r="O19" s="152"/>
      <c r="P19" s="152"/>
      <c r="Q19" s="148"/>
      <c r="R19" s="60"/>
      <c r="S19" s="60"/>
      <c r="T19" s="60"/>
    </row>
    <row r="20" spans="2:20" s="61" customFormat="1" ht="15" customHeight="1" x14ac:dyDescent="0.25">
      <c r="B20" s="53" t="s">
        <v>36</v>
      </c>
      <c r="C20" s="62" t="str">
        <f>VLOOKUP(B20,'[1]26MY_PROLOGUE_DATA'!B:AS,4,FALSE)</f>
        <v>Plateau pour compartiment utilitaire</v>
      </c>
      <c r="D20" s="64" t="str">
        <f t="shared" si="1"/>
        <v>08U45-PS2-100</v>
      </c>
      <c r="E20" s="139"/>
      <c r="F20" s="139"/>
      <c r="G20" s="142"/>
      <c r="H20" s="145"/>
      <c r="I20" s="159"/>
      <c r="J20" s="152"/>
      <c r="K20" s="152"/>
      <c r="L20" s="152"/>
      <c r="M20" s="152"/>
      <c r="N20" s="152"/>
      <c r="O20" s="152"/>
      <c r="P20" s="152"/>
      <c r="Q20" s="148"/>
      <c r="R20" s="60"/>
      <c r="S20" s="60"/>
      <c r="T20" s="60"/>
    </row>
    <row r="21" spans="2:20" s="61" customFormat="1" ht="15" x14ac:dyDescent="0.25">
      <c r="B21" s="53" t="s">
        <v>38</v>
      </c>
      <c r="C21" s="62" t="str">
        <f>VLOOKUP(B21,'[1]26MY_PROLOGUE_DATA'!B:AS,4,FALSE)</f>
        <v>Cache-bagages</v>
      </c>
      <c r="D21" s="64" t="str">
        <f t="shared" si="1"/>
        <v>08Z07-PS2-310</v>
      </c>
      <c r="E21" s="139"/>
      <c r="F21" s="139"/>
      <c r="G21" s="142"/>
      <c r="H21" s="145"/>
      <c r="I21" s="159"/>
      <c r="J21" s="152"/>
      <c r="K21" s="152"/>
      <c r="L21" s="152"/>
      <c r="M21" s="152"/>
      <c r="N21" s="152"/>
      <c r="O21" s="152"/>
      <c r="P21" s="152"/>
      <c r="Q21" s="148"/>
      <c r="R21" s="60"/>
      <c r="S21" s="60"/>
      <c r="T21" s="60"/>
    </row>
    <row r="22" spans="2:20" s="61" customFormat="1" ht="15" x14ac:dyDescent="0.25">
      <c r="B22" s="53" t="s">
        <v>39</v>
      </c>
      <c r="C22" s="62" t="str">
        <f>VLOOKUP(B22,'[1]26MY_PROLOGUE_DATA'!B:AS,4,FALSE)</f>
        <v>Protecteur de dossier de siège</v>
      </c>
      <c r="D22" s="64" t="str">
        <f t="shared" si="1"/>
        <v>08P30-PS2-100</v>
      </c>
      <c r="E22" s="140"/>
      <c r="F22" s="140"/>
      <c r="G22" s="143"/>
      <c r="H22" s="146"/>
      <c r="I22" s="160"/>
      <c r="J22" s="153"/>
      <c r="K22" s="153"/>
      <c r="L22" s="153"/>
      <c r="M22" s="153"/>
      <c r="N22" s="153"/>
      <c r="O22" s="153"/>
      <c r="P22" s="153"/>
      <c r="Q22" s="149"/>
      <c r="R22" s="60"/>
      <c r="S22" s="60"/>
      <c r="T22" s="60"/>
    </row>
    <row r="23" spans="2:20" s="61" customFormat="1" ht="7.15" customHeight="1" x14ac:dyDescent="0.25">
      <c r="B23" s="53"/>
      <c r="C23" s="66"/>
      <c r="D23" s="67"/>
      <c r="E23" s="67"/>
      <c r="F23" s="67"/>
      <c r="G23" s="67"/>
      <c r="H23" s="67"/>
      <c r="I23" s="67"/>
      <c r="J23" s="67"/>
      <c r="K23" s="67"/>
      <c r="L23" s="67"/>
      <c r="M23" s="67"/>
      <c r="N23" s="67"/>
      <c r="O23" s="67"/>
      <c r="P23" s="67"/>
      <c r="Q23" s="68"/>
      <c r="R23" s="60"/>
      <c r="S23" s="60"/>
      <c r="T23" s="60"/>
    </row>
    <row r="24" spans="2:20" s="61" customFormat="1" ht="15" customHeight="1" x14ac:dyDescent="0.25">
      <c r="B24" s="53" t="s">
        <v>40</v>
      </c>
      <c r="C24" s="54" t="str">
        <f>VLOOKUP(B24,'[1]26MY_PROLOGUE_DATA'!B:AS,4,FALSE)</f>
        <v xml:space="preserve">Ensemble d’emblèmes noirs </v>
      </c>
      <c r="D24" s="55" t="str">
        <f>B24</f>
        <v>24PRO-EMB1</v>
      </c>
      <c r="E24" s="138">
        <f>VLOOKUP(B24,'[1]26MY_PROLOGUE_DATA'!B:AS,9,FALSE)</f>
        <v>146.70000000000002</v>
      </c>
      <c r="F24" s="138">
        <f>VLOOKUP(B24,'[1]26MY_PROLOGUE_DATA'!B:AS,10,FALSE)</f>
        <v>244.8</v>
      </c>
      <c r="G24" s="141">
        <f>VLOOKUP(B24,'[1]26MY_PROLOGUE_DATA'!B:AS,7,FALSE)</f>
        <v>0.89999999999999991</v>
      </c>
      <c r="H24" s="144">
        <f>VLOOKUP(B24,'[1]26MY_PROLOGUE_DATA'!B:AS,11,FALSE)</f>
        <v>393.29999999999995</v>
      </c>
      <c r="I24" s="151">
        <f>VLOOKUP(B24,'[1]26MY_PROLOGUE_DATA'!B:AS,12,FALSE)</f>
        <v>0</v>
      </c>
      <c r="J24" s="151" t="str">
        <f>VLOOKUP(B24,'[1]26MY_PROLOGUE_DATA'!B:AS,13,FALSE)</f>
        <v>•</v>
      </c>
      <c r="K24" s="151" t="str">
        <f>VLOOKUP(B24,'[1]26MY_PROLOGUE_DATA'!B:AS,14,FALSE)</f>
        <v>•</v>
      </c>
      <c r="L24" s="151">
        <f>VLOOKUP(B24,'[1]26MY_PROLOGUE_DATA'!B:AS,15,FALSE)</f>
        <v>0</v>
      </c>
      <c r="M24" s="151" t="str">
        <f>VLOOKUP($B24,'[1]26MY_PROLOGUE_DATA'!$B:$AS,16,FALSE)</f>
        <v>N/A</v>
      </c>
      <c r="N24" s="151">
        <f>VLOOKUP($B24,'[1]26MY_PROLOGUE_DATA'!$B:$AS,17,FALSE)</f>
        <v>0</v>
      </c>
      <c r="O24" s="151">
        <f>VLOOKUP($B24,'[1]26MY_PROLOGUE_DATA'!$B:$AS,18,FALSE)</f>
        <v>0</v>
      </c>
      <c r="P24" s="151">
        <f>VLOOKUP(B24,'[1]26MY_PROLOGUE_DATA'!B:AS,19,FALSE)</f>
        <v>0</v>
      </c>
      <c r="Q24" s="147" t="str">
        <f>IF(VLOOKUP(B24,'[1]26MY_PROLOGUE_DATA'!B:AS,21,FALSE)="","",VLOOKUP(B24,'[1]26MY_PROLOGUE_DATA'!B:AS,21,FALSE))</f>
        <v>Rabais de 10 % est appliqué</v>
      </c>
      <c r="R24" s="60"/>
      <c r="S24" s="60"/>
      <c r="T24" s="60"/>
    </row>
    <row r="25" spans="2:20" s="61" customFormat="1" ht="30" x14ac:dyDescent="0.25">
      <c r="B25" s="53" t="s">
        <v>41</v>
      </c>
      <c r="C25" s="70" t="str">
        <f>VLOOKUP(B25,'[1]26MY_PROLOGUE_DATA'!B:AS,4,FALSE)</f>
        <v>Emblème noirs lustrés - Honda avant/arriere et Prologue</v>
      </c>
      <c r="D25" s="64" t="str">
        <f t="shared" ref="D25:D27" si="2">B25</f>
        <v>08F20-PS2-100</v>
      </c>
      <c r="E25" s="139"/>
      <c r="F25" s="139"/>
      <c r="G25" s="142"/>
      <c r="H25" s="145"/>
      <c r="I25" s="152"/>
      <c r="J25" s="152"/>
      <c r="K25" s="152"/>
      <c r="L25" s="152"/>
      <c r="M25" s="152"/>
      <c r="N25" s="152"/>
      <c r="O25" s="152"/>
      <c r="P25" s="152"/>
      <c r="Q25" s="148"/>
      <c r="R25" s="60"/>
      <c r="S25" s="60"/>
      <c r="T25" s="60"/>
    </row>
    <row r="26" spans="2:20" s="61" customFormat="1" ht="14.1" customHeight="1" x14ac:dyDescent="0.25">
      <c r="B26" s="53" t="s">
        <v>42</v>
      </c>
      <c r="C26" s="62" t="str">
        <f>VLOOKUP(B26,'[1]26MY_PROLOGUE_DATA'!B:AS,4,FALSE)</f>
        <v>Emblème noir - AWD</v>
      </c>
      <c r="D26" s="64" t="str">
        <f t="shared" si="2"/>
        <v>08F20-PS2-100C</v>
      </c>
      <c r="E26" s="139"/>
      <c r="F26" s="139"/>
      <c r="G26" s="142"/>
      <c r="H26" s="145"/>
      <c r="I26" s="152"/>
      <c r="J26" s="152"/>
      <c r="K26" s="152"/>
      <c r="L26" s="152"/>
      <c r="M26" s="152"/>
      <c r="N26" s="152"/>
      <c r="O26" s="152"/>
      <c r="P26" s="152"/>
      <c r="Q26" s="148"/>
      <c r="R26" s="60"/>
      <c r="S26" s="60"/>
      <c r="T26" s="60"/>
    </row>
    <row r="27" spans="2:20" s="61" customFormat="1" ht="15" x14ac:dyDescent="0.25">
      <c r="B27" s="53" t="s">
        <v>43</v>
      </c>
      <c r="C27" s="62" t="str">
        <f>VLOOKUP(B27,'[1]26MY_PROLOGUE_DATA'!B:AS,4,FALSE)</f>
        <v>Emblèmes noirs « e: »</v>
      </c>
      <c r="D27" s="63" t="str">
        <f t="shared" si="2"/>
        <v>08F20-PS2-100D</v>
      </c>
      <c r="E27" s="140"/>
      <c r="F27" s="140"/>
      <c r="G27" s="143"/>
      <c r="H27" s="146"/>
      <c r="I27" s="153"/>
      <c r="J27" s="153"/>
      <c r="K27" s="153"/>
      <c r="L27" s="153"/>
      <c r="M27" s="153"/>
      <c r="N27" s="153"/>
      <c r="O27" s="153"/>
      <c r="P27" s="153"/>
      <c r="Q27" s="149"/>
      <c r="R27" s="60"/>
      <c r="S27" s="60"/>
      <c r="T27" s="60"/>
    </row>
    <row r="28" spans="2:20" s="61" customFormat="1" ht="7.15" customHeight="1" x14ac:dyDescent="0.25">
      <c r="B28" s="53"/>
      <c r="C28" s="66"/>
      <c r="D28" s="67"/>
      <c r="E28" s="67"/>
      <c r="F28" s="67"/>
      <c r="G28" s="67"/>
      <c r="H28" s="67"/>
      <c r="I28" s="67"/>
      <c r="J28" s="67"/>
      <c r="K28" s="67"/>
      <c r="L28" s="67"/>
      <c r="M28" s="67"/>
      <c r="N28" s="67"/>
      <c r="O28" s="67"/>
      <c r="P28" s="67"/>
      <c r="Q28" s="68"/>
      <c r="R28" s="60"/>
      <c r="S28" s="60"/>
      <c r="T28" s="60"/>
    </row>
    <row r="29" spans="2:20" s="61" customFormat="1" ht="15" customHeight="1" x14ac:dyDescent="0.25">
      <c r="B29" s="53" t="s">
        <v>44</v>
      </c>
      <c r="C29" s="54" t="str">
        <f>VLOOKUP(B29,'[1]26MY_PROLOGUE_DATA'!B:AS,4,FALSE)</f>
        <v xml:space="preserve">Ensemble d’emblèmes noirs </v>
      </c>
      <c r="D29" s="132" t="str">
        <f>B29</f>
        <v>24PRO-EMB2</v>
      </c>
      <c r="E29" s="138">
        <f>VLOOKUP(B29,'[1]26MY_PROLOGUE_DATA'!B:AS,9,FALSE)</f>
        <v>189</v>
      </c>
      <c r="F29" s="138">
        <f>VLOOKUP(B29,'[1]26MY_PROLOGUE_DATA'!B:AS,10,FALSE)</f>
        <v>315</v>
      </c>
      <c r="G29" s="141">
        <f>VLOOKUP(B29,'[1]26MY_PROLOGUE_DATA'!B:AS,7,FALSE)</f>
        <v>0.99999999999999989</v>
      </c>
      <c r="H29" s="144">
        <f>VLOOKUP(B29,'[1]26MY_PROLOGUE_DATA'!B:AS,11,FALSE)</f>
        <v>480</v>
      </c>
      <c r="I29" s="151">
        <f>VLOOKUP(B29,'[1]26MY_PROLOGUE_DATA'!B:AS,12,FALSE)</f>
        <v>0</v>
      </c>
      <c r="J29" s="151" t="str">
        <f>VLOOKUP(B29,'[1]26MY_PROLOGUE_DATA'!B:AS,13,FALSE)</f>
        <v>N/A</v>
      </c>
      <c r="K29" s="151" t="str">
        <f>VLOOKUP(B29,'[1]26MY_PROLOGUE_DATA'!B:AS,14,FALSE)</f>
        <v>N/A</v>
      </c>
      <c r="L29" s="151">
        <f>VLOOKUP(B29,'[1]26MY_PROLOGUE_DATA'!B:AS,15,FALSE)</f>
        <v>0</v>
      </c>
      <c r="M29" s="151" t="str">
        <f>VLOOKUP($B29,'[1]26MY_PROLOGUE_DATA'!$B:$AS,16,FALSE)</f>
        <v>•</v>
      </c>
      <c r="N29" s="151">
        <f>VLOOKUP($B29,'[1]26MY_PROLOGUE_DATA'!$B:$AS,17,FALSE)</f>
        <v>0</v>
      </c>
      <c r="O29" s="151">
        <f>VLOOKUP($B29,'[1]26MY_PROLOGUE_DATA'!$B:$AS,18,FALSE)</f>
        <v>0</v>
      </c>
      <c r="P29" s="151">
        <f>VLOOKUP(B29,'[1]26MY_PROLOGUE_DATA'!B:AS,19,FALSE)</f>
        <v>0</v>
      </c>
      <c r="Q29" s="147" t="str">
        <f>IF(VLOOKUP(B29,'[1]26MY_PROLOGUE_DATA'!B:AS,21,FALSE)="","",VLOOKUP(B29,'[1]26MY_PROLOGUE_DATA'!B:AS,21,FALSE))</f>
        <v>Rabais de 10 % est appliqué</v>
      </c>
      <c r="R29" s="60"/>
      <c r="S29" s="60"/>
      <c r="T29" s="60"/>
    </row>
    <row r="30" spans="2:20" s="61" customFormat="1" ht="15" x14ac:dyDescent="0.25">
      <c r="B30" s="53" t="s">
        <v>41</v>
      </c>
      <c r="C30" s="62" t="str">
        <f>VLOOKUP(B30,'[1]26MY_PROLOGUE_DATA'!B:AS,4,FALSE)</f>
        <v>Emblème noirs lustrés - Honda avant/arriere et Prologue</v>
      </c>
      <c r="D30" s="64" t="str">
        <f t="shared" ref="D30:D33" si="3">B30</f>
        <v>08F20-PS2-100</v>
      </c>
      <c r="E30" s="139"/>
      <c r="F30" s="139"/>
      <c r="G30" s="142"/>
      <c r="H30" s="145"/>
      <c r="I30" s="152"/>
      <c r="J30" s="152"/>
      <c r="K30" s="152"/>
      <c r="L30" s="152"/>
      <c r="M30" s="152"/>
      <c r="N30" s="152"/>
      <c r="O30" s="152"/>
      <c r="P30" s="152"/>
      <c r="Q30" s="148"/>
      <c r="R30" s="60"/>
      <c r="S30" s="60"/>
      <c r="T30" s="60"/>
    </row>
    <row r="31" spans="2:20" s="61" customFormat="1" ht="15" x14ac:dyDescent="0.25">
      <c r="B31" s="53" t="s">
        <v>42</v>
      </c>
      <c r="C31" s="62" t="str">
        <f>VLOOKUP(B31,'[1]26MY_PROLOGUE_DATA'!B:AS,4,FALSE)</f>
        <v>Emblème noir - AWD</v>
      </c>
      <c r="D31" s="64" t="str">
        <f t="shared" si="3"/>
        <v>08F20-PS2-100C</v>
      </c>
      <c r="E31" s="139"/>
      <c r="F31" s="139"/>
      <c r="G31" s="142"/>
      <c r="H31" s="145"/>
      <c r="I31" s="152"/>
      <c r="J31" s="152"/>
      <c r="K31" s="152"/>
      <c r="L31" s="152"/>
      <c r="M31" s="152"/>
      <c r="N31" s="152"/>
      <c r="O31" s="152"/>
      <c r="P31" s="152"/>
      <c r="Q31" s="148"/>
      <c r="R31" s="60"/>
      <c r="S31" s="60"/>
      <c r="T31" s="60"/>
    </row>
    <row r="32" spans="2:20" s="61" customFormat="1" ht="15" x14ac:dyDescent="0.25">
      <c r="B32" s="53" t="s">
        <v>45</v>
      </c>
      <c r="C32" s="62" t="str">
        <f>VLOOKUP(B32,'[1]26MY_PROLOGUE_DATA'!B:AS,4,FALSE)</f>
        <v>Emblème noir - Touring</v>
      </c>
      <c r="D32" s="64" t="str">
        <f t="shared" si="3"/>
        <v>08F20-PS2-100A</v>
      </c>
      <c r="E32" s="139"/>
      <c r="F32" s="139"/>
      <c r="G32" s="142"/>
      <c r="H32" s="145"/>
      <c r="I32" s="152"/>
      <c r="J32" s="152"/>
      <c r="K32" s="152"/>
      <c r="L32" s="152"/>
      <c r="M32" s="152"/>
      <c r="N32" s="152"/>
      <c r="O32" s="152"/>
      <c r="P32" s="152"/>
      <c r="Q32" s="148"/>
      <c r="R32" s="60"/>
      <c r="S32" s="60"/>
      <c r="T32" s="60"/>
    </row>
    <row r="33" spans="2:20" s="61" customFormat="1" ht="15" x14ac:dyDescent="0.25">
      <c r="B33" s="134" t="s">
        <v>43</v>
      </c>
      <c r="C33" s="62" t="str">
        <f>VLOOKUP(B33,'[1]26MY_PROLOGUE_DATA'!B:AS,4,FALSE)</f>
        <v>Emblèmes noirs « e: »</v>
      </c>
      <c r="D33" s="63" t="str">
        <f t="shared" si="3"/>
        <v>08F20-PS2-100D</v>
      </c>
      <c r="E33" s="140"/>
      <c r="F33" s="140"/>
      <c r="G33" s="143"/>
      <c r="H33" s="146"/>
      <c r="I33" s="153"/>
      <c r="J33" s="153"/>
      <c r="K33" s="153"/>
      <c r="L33" s="153"/>
      <c r="M33" s="153"/>
      <c r="N33" s="153"/>
      <c r="O33" s="153"/>
      <c r="P33" s="153"/>
      <c r="Q33" s="149"/>
      <c r="R33" s="60"/>
      <c r="S33" s="60"/>
      <c r="T33" s="60"/>
    </row>
    <row r="34" spans="2:20" s="61" customFormat="1" ht="7.15" customHeight="1" x14ac:dyDescent="0.25">
      <c r="B34" s="53"/>
      <c r="C34" s="66"/>
      <c r="D34" s="67"/>
      <c r="E34" s="67"/>
      <c r="F34" s="67"/>
      <c r="G34" s="67"/>
      <c r="H34" s="67"/>
      <c r="I34" s="67"/>
      <c r="J34" s="67"/>
      <c r="K34" s="67"/>
      <c r="L34" s="67"/>
      <c r="M34" s="67"/>
      <c r="N34" s="67"/>
      <c r="O34" s="67"/>
      <c r="P34" s="67"/>
      <c r="Q34" s="68"/>
      <c r="R34" s="60"/>
      <c r="S34" s="60"/>
      <c r="T34" s="60"/>
    </row>
    <row r="35" spans="2:20" s="61" customFormat="1" ht="30" customHeight="1" x14ac:dyDescent="0.25">
      <c r="B35" s="53" t="s">
        <v>117</v>
      </c>
      <c r="C35" s="54" t="str">
        <f>VLOOKUP(B35,'[1]26MY_PROLOGUE_DATA'!B:AS,4,FALSE)</f>
        <v>Ensemble de remorquage</v>
      </c>
      <c r="D35" s="55" t="str">
        <f>B35</f>
        <v>24PRO-TOWSA1 ou 24PRO-TOWSA2</v>
      </c>
      <c r="E35" s="154">
        <f>VLOOKUP(B35,'[1]26MY_PROLOGUE_DATA'!B:AS,9,FALSE)</f>
        <v>1227.6000000000001</v>
      </c>
      <c r="F35" s="138">
        <f>VLOOKUP(B35,'[1]26MY_PROLOGUE_DATA'!B:AS,10,FALSE)</f>
        <v>2031.3</v>
      </c>
      <c r="G35" s="141">
        <f>VLOOKUP(B35,'[1]26MY_PROLOGUE_DATA'!B:AS,7,FALSE)</f>
        <v>2.2999999999999998</v>
      </c>
      <c r="H35" s="164">
        <f>VLOOKUP(B35,'[1]26MY_PROLOGUE_DATA'!B:AS,11,FALSE)</f>
        <v>2410.7999999999997</v>
      </c>
      <c r="I35" s="151">
        <f>VLOOKUP(B35,'[1]26MY_PROLOGUE_DATA'!B:AS,12,FALSE)</f>
        <v>0</v>
      </c>
      <c r="J35" s="151" t="str">
        <f>VLOOKUP(B35,'[1]26MY_PROLOGUE_DATA'!B:AS,13,FALSE)</f>
        <v>•</v>
      </c>
      <c r="K35" s="151" t="str">
        <f>VLOOKUP(B35,'[1]26MY_PROLOGUE_DATA'!B:AS,14,FALSE)</f>
        <v>•</v>
      </c>
      <c r="L35" s="151">
        <f>VLOOKUP(B35,'[1]26MY_PROLOGUE_DATA'!B:AS,15,FALSE)</f>
        <v>0</v>
      </c>
      <c r="M35" s="151" t="str">
        <f>VLOOKUP($B35,'[1]26MY_PROLOGUE_DATA'!$B:$AS,16,FALSE)</f>
        <v>•</v>
      </c>
      <c r="N35" s="151">
        <f>VLOOKUP($B35,'[1]26MY_PROLOGUE_DATA'!$B:$AS,17,FALSE)</f>
        <v>0</v>
      </c>
      <c r="O35" s="151">
        <f>VLOOKUP($B35,'[1]26MY_PROLOGUE_DATA'!$B:$AS,18,FALSE)</f>
        <v>0</v>
      </c>
      <c r="P35" s="151">
        <f>VLOOKUP(B35,'[1]26MY_PROLOGUE_DATA'!B:AS,19,FALSE)</f>
        <v>0</v>
      </c>
      <c r="Q35" s="147" t="str">
        <f>IF(VLOOKUP(B35,'[1]26MY_PROLOGUE_DATA'!B:AS,21,FALSE)="","",VLOOKUP(B35,'[1]26MY_PROLOGUE_DATA'!B:AS,21,FALSE))</f>
        <v>Rabais de 10 % est appliqué.
24PRO-TOW-SA1: Rotule d'attelage de 1 7/8 po
24PRO-TOW-SA2: Rotule d'attelage de 2 po</v>
      </c>
      <c r="R35" s="60"/>
      <c r="S35" s="60"/>
      <c r="T35" s="60"/>
    </row>
    <row r="36" spans="2:20" s="61" customFormat="1" ht="15" x14ac:dyDescent="0.25">
      <c r="B36" s="53">
        <v>84933501</v>
      </c>
      <c r="C36" s="62" t="str">
        <f>VLOOKUP(B36,'[1]26MY_PROLOGUE_DATA'!B:AS,4,FALSE)</f>
        <v>Attelage de remorque avec faisceau</v>
      </c>
      <c r="D36" s="64">
        <f t="shared" ref="D36:D40" si="4">B36</f>
        <v>84933501</v>
      </c>
      <c r="E36" s="155"/>
      <c r="F36" s="139"/>
      <c r="G36" s="142"/>
      <c r="H36" s="165"/>
      <c r="I36" s="152"/>
      <c r="J36" s="152"/>
      <c r="K36" s="152"/>
      <c r="L36" s="152"/>
      <c r="M36" s="152"/>
      <c r="N36" s="152"/>
      <c r="O36" s="152"/>
      <c r="P36" s="152"/>
      <c r="Q36" s="148"/>
      <c r="R36" s="60"/>
      <c r="S36" s="60"/>
      <c r="T36" s="60"/>
    </row>
    <row r="37" spans="2:20" s="61" customFormat="1" ht="15" x14ac:dyDescent="0.25">
      <c r="B37" s="53" t="s">
        <v>47</v>
      </c>
      <c r="C37" s="62" t="str">
        <f>VLOOKUP(B37,'[1]26MY_PROLOGUE_DATA'!B:AS,4,FALSE)</f>
        <v>Capuchon d’attelage de remorque</v>
      </c>
      <c r="D37" s="64" t="str">
        <f t="shared" si="4"/>
        <v>08F24-PS2-310A</v>
      </c>
      <c r="E37" s="155"/>
      <c r="F37" s="139"/>
      <c r="G37" s="142"/>
      <c r="H37" s="165"/>
      <c r="I37" s="152"/>
      <c r="J37" s="152"/>
      <c r="K37" s="152"/>
      <c r="L37" s="152"/>
      <c r="M37" s="152"/>
      <c r="N37" s="152"/>
      <c r="O37" s="152"/>
      <c r="P37" s="152"/>
      <c r="Q37" s="148"/>
      <c r="R37" s="60"/>
      <c r="S37" s="60"/>
      <c r="T37" s="60"/>
    </row>
    <row r="38" spans="2:20" s="61" customFormat="1" ht="15" x14ac:dyDescent="0.25">
      <c r="B38" s="53" t="s">
        <v>48</v>
      </c>
      <c r="C38" s="62" t="str">
        <f>VLOOKUP(B38,'[1]26MY_PROLOGUE_DATA'!B:AS,4,FALSE)</f>
        <v>Monture de rotule d'attelage de remorque</v>
      </c>
      <c r="D38" s="64" t="str">
        <f t="shared" si="4"/>
        <v>08L92-PS2-100A</v>
      </c>
      <c r="E38" s="155"/>
      <c r="F38" s="139"/>
      <c r="G38" s="142"/>
      <c r="H38" s="165"/>
      <c r="I38" s="152"/>
      <c r="J38" s="152"/>
      <c r="K38" s="152"/>
      <c r="L38" s="152"/>
      <c r="M38" s="152"/>
      <c r="N38" s="152"/>
      <c r="O38" s="152"/>
      <c r="P38" s="152"/>
      <c r="Q38" s="148"/>
      <c r="R38" s="60"/>
      <c r="S38" s="60"/>
      <c r="T38" s="60"/>
    </row>
    <row r="39" spans="2:20" s="61" customFormat="1" ht="15" x14ac:dyDescent="0.25">
      <c r="B39" s="53" t="s">
        <v>49</v>
      </c>
      <c r="C39" s="62" t="str">
        <f>VLOOKUP(B39,'[1]26MY_PROLOGUE_DATA'!B:AS,4,FALSE)</f>
        <v>Goupille de verrouillage d’attelage de remorque</v>
      </c>
      <c r="D39" s="64" t="str">
        <f t="shared" si="4"/>
        <v>08L92-SJC-300A</v>
      </c>
      <c r="E39" s="155"/>
      <c r="F39" s="139"/>
      <c r="G39" s="142"/>
      <c r="H39" s="165"/>
      <c r="I39" s="152"/>
      <c r="J39" s="152"/>
      <c r="K39" s="152"/>
      <c r="L39" s="152"/>
      <c r="M39" s="152"/>
      <c r="N39" s="152"/>
      <c r="O39" s="152"/>
      <c r="P39" s="152"/>
      <c r="Q39" s="148"/>
      <c r="R39" s="60"/>
      <c r="S39" s="60"/>
      <c r="T39" s="60"/>
    </row>
    <row r="40" spans="2:20" s="61" customFormat="1" ht="30" x14ac:dyDescent="0.25">
      <c r="B40" s="53" t="s">
        <v>118</v>
      </c>
      <c r="C40" s="62" t="str">
        <f>VLOOKUP(B40,'[1]26MY_PROLOGUE_DATA'!B:AS,4,FALSE)</f>
        <v>Rotule d'attelage de 1 7/8 po ou 2 po</v>
      </c>
      <c r="D40" s="63" t="str">
        <f t="shared" si="4"/>
        <v>08L92-S9V-300G ou 
08L92-S9V-300H</v>
      </c>
      <c r="E40" s="156"/>
      <c r="F40" s="140"/>
      <c r="G40" s="143"/>
      <c r="H40" s="166"/>
      <c r="I40" s="153"/>
      <c r="J40" s="153"/>
      <c r="K40" s="153"/>
      <c r="L40" s="153"/>
      <c r="M40" s="153"/>
      <c r="N40" s="153"/>
      <c r="O40" s="153"/>
      <c r="P40" s="153"/>
      <c r="Q40" s="149"/>
      <c r="R40" s="60"/>
      <c r="S40" s="60"/>
      <c r="T40" s="60"/>
    </row>
    <row r="41" spans="2:20" s="73" customFormat="1" ht="15" customHeight="1" x14ac:dyDescent="0.25">
      <c r="B41" s="71"/>
      <c r="C41" s="48"/>
      <c r="D41" s="48"/>
      <c r="E41" s="48"/>
      <c r="F41" s="48"/>
      <c r="G41" s="49"/>
      <c r="H41" s="48"/>
      <c r="I41" s="48"/>
      <c r="J41" s="48"/>
      <c r="K41" s="48"/>
      <c r="L41" s="48"/>
      <c r="M41" s="48"/>
      <c r="N41" s="48"/>
      <c r="O41" s="48"/>
      <c r="P41" s="48"/>
      <c r="Q41" s="72"/>
    </row>
    <row r="42" spans="2:20" s="75" customFormat="1" ht="18.75" x14ac:dyDescent="0.3">
      <c r="B42" s="88"/>
      <c r="C42" s="46" t="s">
        <v>119</v>
      </c>
      <c r="D42" s="46"/>
      <c r="E42" s="74"/>
      <c r="F42" s="74"/>
      <c r="G42" s="74"/>
      <c r="H42" s="74"/>
      <c r="I42" s="74"/>
      <c r="J42" s="74"/>
      <c r="K42" s="74"/>
      <c r="L42" s="74"/>
      <c r="M42" s="74"/>
      <c r="N42" s="74"/>
      <c r="O42" s="74"/>
      <c r="P42" s="74"/>
      <c r="Q42" s="74"/>
    </row>
    <row r="43" spans="2:20" s="61" customFormat="1" ht="15" customHeight="1" x14ac:dyDescent="0.25">
      <c r="B43" s="76"/>
      <c r="C43" s="137" t="s">
        <v>110</v>
      </c>
      <c r="D43" s="137" t="s">
        <v>111</v>
      </c>
      <c r="E43" s="137" t="s">
        <v>112</v>
      </c>
      <c r="F43" s="137" t="s">
        <v>113</v>
      </c>
      <c r="G43" s="137" t="s">
        <v>114</v>
      </c>
      <c r="H43" s="150" t="s">
        <v>115</v>
      </c>
      <c r="I43" s="137" t="s">
        <v>32</v>
      </c>
      <c r="J43" s="137"/>
      <c r="K43" s="137"/>
      <c r="L43" s="137"/>
      <c r="M43" s="137"/>
      <c r="N43" s="137"/>
      <c r="O43" s="137"/>
      <c r="P43" s="137"/>
      <c r="Q43" s="137" t="s">
        <v>116</v>
      </c>
    </row>
    <row r="44" spans="2:20" s="61" customFormat="1" ht="29.1" customHeight="1" x14ac:dyDescent="0.25">
      <c r="B44" s="76"/>
      <c r="C44" s="137"/>
      <c r="D44" s="137"/>
      <c r="E44" s="137"/>
      <c r="F44" s="137"/>
      <c r="G44" s="137"/>
      <c r="H44" s="150"/>
      <c r="I44" s="52">
        <f>'[1]26MY_PROLOGUE_DATA'!$M$6</f>
        <v>0</v>
      </c>
      <c r="J44" s="52" t="str">
        <f>'[1]26MY_PROLOGUE_DATA'!$N$6</f>
        <v>EX</v>
      </c>
      <c r="K44" s="52" t="str">
        <f>'[1]26MY_PROLOGUE_DATA'!$O$6</f>
        <v>EX-L</v>
      </c>
      <c r="L44" s="52">
        <f>'[1]26MY_PROLOGUE_DATA'!$P$6</f>
        <v>0</v>
      </c>
      <c r="M44" s="52" t="str">
        <f>'[1]26MY_PROLOGUE_DATA'!$Q$6</f>
        <v>Touring</v>
      </c>
      <c r="N44" s="52">
        <f>'[1]26MY_PROLOGUE_DATA'!$T$6</f>
        <v>0</v>
      </c>
      <c r="O44" s="52">
        <f>'[1]26MY_PROLOGUE_DATA'!$T$6</f>
        <v>0</v>
      </c>
      <c r="P44" s="52">
        <f>'[1]26MY_PROLOGUE_DATA'!$T$6</f>
        <v>0</v>
      </c>
      <c r="Q44" s="137"/>
    </row>
    <row r="45" spans="2:20" s="73" customFormat="1" ht="15" customHeight="1" x14ac:dyDescent="0.25">
      <c r="B45" s="71" t="s">
        <v>52</v>
      </c>
      <c r="C45" s="135" t="str">
        <f>VLOOKUP(B45,'[1]26MY_PROLOGUE_DATA'!B:AS,4,FALSE)</f>
        <v>Jante en alliage noir de 19 pouces</v>
      </c>
      <c r="D45" s="78" t="str">
        <f>B45</f>
        <v>08W19-PS2-100</v>
      </c>
      <c r="E45" s="56">
        <f>VLOOKUP(B45,'[1]26MY_PROLOGUE_DATA'!B:AS,9,FALSE)</f>
        <v>1996</v>
      </c>
      <c r="F45" s="56">
        <f>VLOOKUP(B45,'[1]26MY_PROLOGUE_DATA'!B:AS,10,FALSE)</f>
        <v>3196</v>
      </c>
      <c r="G45" s="57">
        <f>VLOOKUP(B45,'[1]26MY_PROLOGUE_DATA'!B:AS,7,FALSE)</f>
        <v>1.8</v>
      </c>
      <c r="H45" s="58">
        <f>VLOOKUP(B45,'[1]26MY_PROLOGUE_DATA'!B:AS,11,FALSE)</f>
        <v>3493</v>
      </c>
      <c r="I45" s="59">
        <f>VLOOKUP(B45,'[1]26MY_PROLOGUE_DATA'!B:AS,12,FALSE)</f>
        <v>0</v>
      </c>
      <c r="J45" s="59" t="str">
        <f>VLOOKUP(B45,'[1]26MY_PROLOGUE_DATA'!B:AS,13,FALSE)</f>
        <v>E</v>
      </c>
      <c r="K45" s="59" t="str">
        <f>VLOOKUP(B45,'[1]26MY_PROLOGUE_DATA'!B:AS,14,FALSE)</f>
        <v>E</v>
      </c>
      <c r="L45" s="59">
        <f>VLOOKUP(B45,'[1]26MY_PROLOGUE_DATA'!B:AS,15,FALSE)</f>
        <v>0</v>
      </c>
      <c r="M45" s="59" t="str">
        <f>VLOOKUP($B45,'[1]26MY_PROLOGUE_DATA'!$B:$AS,16,FALSE)</f>
        <v>N/A</v>
      </c>
      <c r="N45" s="59">
        <f>VLOOKUP($B45,'[1]26MY_PROLOGUE_DATA'!$B:$AS,17,FALSE)</f>
        <v>0</v>
      </c>
      <c r="O45" s="59">
        <f>VLOOKUP($B45,'[1]26MY_PROLOGUE_DATA'!$B:$AS,18,FALSE)</f>
        <v>0</v>
      </c>
      <c r="P45" s="59">
        <f>VLOOKUP(B45,'[1]26MY_PROLOGUE_DATA'!B:AS,19,FALSE)</f>
        <v>0</v>
      </c>
      <c r="Q45" s="79" t="str">
        <f>IF(VLOOKUP(B45,'[1]26MY_PROLOGUE_DATA'!B:AS,21,FALSE)="","",VLOOKUP(B45,'[1]26MY_PROLOGUE_DATA'!B:AS,21,FALSE))</f>
        <v>Prix établi pour ensemble de 4 pneus. Pneus vendus séparément.</v>
      </c>
    </row>
    <row r="46" spans="2:20" s="61" customFormat="1" ht="16.5" x14ac:dyDescent="0.25">
      <c r="B46" s="76">
        <v>85548789</v>
      </c>
      <c r="C46" s="135" t="str">
        <f>VLOOKUP(B46,'[1]26MY_PROLOGUE_DATA'!B:AS,4,FALSE)</f>
        <v>Écrous de roue antivols - Chromés</v>
      </c>
      <c r="D46" s="80">
        <f t="shared" ref="D46:D48" si="5">B46</f>
        <v>85548789</v>
      </c>
      <c r="E46" s="56">
        <f>VLOOKUP(B46,'[1]26MY_PROLOGUE_DATA'!B:AS,9,FALSE)</f>
        <v>164</v>
      </c>
      <c r="F46" s="56">
        <f>VLOOKUP(B46,'[1]26MY_PROLOGUE_DATA'!B:AS,10,FALSE)</f>
        <v>273</v>
      </c>
      <c r="G46" s="57">
        <f>VLOOKUP(B46,'[1]26MY_PROLOGUE_DATA'!B:AS,7,FALSE)</f>
        <v>0.2</v>
      </c>
      <c r="H46" s="58">
        <f>VLOOKUP(B46,'[1]26MY_PROLOGUE_DATA'!B:AS,11,FALSE)</f>
        <v>306</v>
      </c>
      <c r="I46" s="59">
        <f>VLOOKUP(B46,'[1]26MY_PROLOGUE_DATA'!B:AS,12,FALSE)</f>
        <v>0</v>
      </c>
      <c r="J46" s="59" t="str">
        <f>VLOOKUP(B46,'[1]26MY_PROLOGUE_DATA'!B:AS,13,FALSE)</f>
        <v>•</v>
      </c>
      <c r="K46" s="59" t="str">
        <f>VLOOKUP(B46,'[1]26MY_PROLOGUE_DATA'!B:AS,14,FALSE)</f>
        <v>•</v>
      </c>
      <c r="L46" s="59">
        <f>VLOOKUP(B46,'[1]26MY_PROLOGUE_DATA'!B:AS,15,FALSE)</f>
        <v>0</v>
      </c>
      <c r="M46" s="59" t="str">
        <f>VLOOKUP($B46,'[1]26MY_PROLOGUE_DATA'!$B:$AS,16,FALSE)</f>
        <v>•</v>
      </c>
      <c r="N46" s="59">
        <f>VLOOKUP($B46,'[1]26MY_PROLOGUE_DATA'!$B:$AS,17,FALSE)</f>
        <v>0</v>
      </c>
      <c r="O46" s="59">
        <f>VLOOKUP($B46,'[1]26MY_PROLOGUE_DATA'!$B:$AS,18,FALSE)</f>
        <v>0</v>
      </c>
      <c r="P46" s="59">
        <f>VLOOKUP(B46,'[1]26MY_PROLOGUE_DATA'!B:AS,19,FALSE)</f>
        <v>0</v>
      </c>
      <c r="Q46" s="79" t="str">
        <f>IF(VLOOKUP(B46,'[1]26MY_PROLOGUE_DATA'!B:AS,21,FALSE)="","",VLOOKUP(B46,'[1]26MY_PROLOGUE_DATA'!B:AS,21,FALSE))</f>
        <v/>
      </c>
    </row>
    <row r="47" spans="2:20" s="61" customFormat="1" ht="16.5" x14ac:dyDescent="0.25">
      <c r="B47" s="76">
        <v>85039001</v>
      </c>
      <c r="C47" s="135" t="str">
        <f>VLOOKUP(B47,'[1]26MY_PROLOGUE_DATA'!B:AS,4,FALSE)</f>
        <v>Écrous de roue antivols - Noirs</v>
      </c>
      <c r="D47" s="80">
        <f t="shared" si="5"/>
        <v>85039001</v>
      </c>
      <c r="E47" s="56">
        <f>VLOOKUP(B47,'[1]26MY_PROLOGUE_DATA'!B:AS,9,FALSE)</f>
        <v>222</v>
      </c>
      <c r="F47" s="56">
        <f>VLOOKUP(B47,'[1]26MY_PROLOGUE_DATA'!B:AS,10,FALSE)</f>
        <v>370</v>
      </c>
      <c r="G47" s="57">
        <f>VLOOKUP(B47,'[1]26MY_PROLOGUE_DATA'!B:AS,7,FALSE)</f>
        <v>0.2</v>
      </c>
      <c r="H47" s="58">
        <f>VLOOKUP(B47,'[1]26MY_PROLOGUE_DATA'!B:AS,11,FALSE)</f>
        <v>403</v>
      </c>
      <c r="I47" s="59">
        <f>VLOOKUP(B47,'[1]26MY_PROLOGUE_DATA'!B:AS,12,FALSE)</f>
        <v>0</v>
      </c>
      <c r="J47" s="59" t="str">
        <f>VLOOKUP(B47,'[1]26MY_PROLOGUE_DATA'!B:AS,13,FALSE)</f>
        <v>•</v>
      </c>
      <c r="K47" s="59" t="str">
        <f>VLOOKUP(B47,'[1]26MY_PROLOGUE_DATA'!B:AS,14,FALSE)</f>
        <v>•</v>
      </c>
      <c r="L47" s="59">
        <f>VLOOKUP(B47,'[1]26MY_PROLOGUE_DATA'!B:AS,15,FALSE)</f>
        <v>0</v>
      </c>
      <c r="M47" s="59" t="str">
        <f>VLOOKUP($B47,'[1]26MY_PROLOGUE_DATA'!$B:$AS,16,FALSE)</f>
        <v>•</v>
      </c>
      <c r="N47" s="59">
        <f>VLOOKUP($B47,'[1]26MY_PROLOGUE_DATA'!$B:$AS,17,FALSE)</f>
        <v>0</v>
      </c>
      <c r="O47" s="59">
        <f>VLOOKUP($B47,'[1]26MY_PROLOGUE_DATA'!$B:$AS,18,FALSE)</f>
        <v>0</v>
      </c>
      <c r="P47" s="59">
        <f>VLOOKUP(B47,'[1]26MY_PROLOGUE_DATA'!B:AS,19,FALSE)</f>
        <v>0</v>
      </c>
      <c r="Q47" s="79" t="str">
        <f>IF(VLOOKUP(B47,'[1]26MY_PROLOGUE_DATA'!B:AS,21,FALSE)="","",VLOOKUP(B47,'[1]26MY_PROLOGUE_DATA'!B:AS,21,FALSE))</f>
        <v/>
      </c>
    </row>
    <row r="48" spans="2:20" s="61" customFormat="1" ht="16.5" x14ac:dyDescent="0.25">
      <c r="B48" s="76">
        <v>85105297</v>
      </c>
      <c r="C48" s="135" t="str">
        <f>VLOOKUP(B48,'[1]26MY_PROLOGUE_DATA'!B:AS,4,FALSE)</f>
        <v>Écrous de roue – Noirs</v>
      </c>
      <c r="D48" s="80">
        <f t="shared" si="5"/>
        <v>85105297</v>
      </c>
      <c r="E48" s="56">
        <f>VLOOKUP(B48,'[1]26MY_PROLOGUE_DATA'!B:AS,9,FALSE)</f>
        <v>410</v>
      </c>
      <c r="F48" s="56">
        <f>VLOOKUP(B48,'[1]26MY_PROLOGUE_DATA'!B:AS,10,FALSE)</f>
        <v>683</v>
      </c>
      <c r="G48" s="57">
        <f>VLOOKUP(B48,'[1]26MY_PROLOGUE_DATA'!B:AS,7,FALSE)</f>
        <v>1.6</v>
      </c>
      <c r="H48" s="58">
        <f>VLOOKUP(B48,'[1]26MY_PROLOGUE_DATA'!B:AS,11,FALSE)</f>
        <v>947</v>
      </c>
      <c r="I48" s="59">
        <f>VLOOKUP(B48,'[1]26MY_PROLOGUE_DATA'!B:AS,12,FALSE)</f>
        <v>0</v>
      </c>
      <c r="J48" s="59" t="str">
        <f>VLOOKUP(B48,'[1]26MY_PROLOGUE_DATA'!B:AS,13,FALSE)</f>
        <v>•</v>
      </c>
      <c r="K48" s="59" t="str">
        <f>VLOOKUP(B48,'[1]26MY_PROLOGUE_DATA'!B:AS,14,FALSE)</f>
        <v>•</v>
      </c>
      <c r="L48" s="59">
        <f>VLOOKUP(B48,'[1]26MY_PROLOGUE_DATA'!B:AS,15,FALSE)</f>
        <v>0</v>
      </c>
      <c r="M48" s="59" t="str">
        <f>VLOOKUP($B48,'[1]26MY_PROLOGUE_DATA'!$B:$AS,16,FALSE)</f>
        <v>•</v>
      </c>
      <c r="N48" s="59">
        <f>VLOOKUP($B48,'[1]26MY_PROLOGUE_DATA'!$B:$AS,17,FALSE)</f>
        <v>0</v>
      </c>
      <c r="O48" s="59">
        <f>VLOOKUP($B48,'[1]26MY_PROLOGUE_DATA'!$B:$AS,18,FALSE)</f>
        <v>0</v>
      </c>
      <c r="P48" s="59">
        <f>VLOOKUP(B48,'[1]26MY_PROLOGUE_DATA'!B:AS,19,FALSE)</f>
        <v>0</v>
      </c>
      <c r="Q48" s="79" t="str">
        <f>IF(VLOOKUP(B48,'[1]26MY_PROLOGUE_DATA'!B:AS,21,FALSE)="","",VLOOKUP(B48,'[1]26MY_PROLOGUE_DATA'!B:AS,21,FALSE))</f>
        <v/>
      </c>
    </row>
    <row r="49" spans="2:17" s="73" customFormat="1" ht="10.5" customHeight="1" x14ac:dyDescent="0.25">
      <c r="B49" s="71"/>
      <c r="C49" s="81"/>
      <c r="D49" s="82"/>
      <c r="E49" s="83"/>
      <c r="F49" s="83"/>
      <c r="G49" s="84"/>
      <c r="H49" s="85"/>
      <c r="I49" s="86"/>
      <c r="J49" s="60"/>
      <c r="K49" s="86"/>
      <c r="L49" s="86"/>
      <c r="M49" s="86"/>
      <c r="N49" s="86"/>
      <c r="O49" s="86"/>
      <c r="P49" s="86"/>
      <c r="Q49" s="87"/>
    </row>
    <row r="50" spans="2:17" s="75" customFormat="1" ht="18.75" x14ac:dyDescent="0.3">
      <c r="B50" s="88"/>
      <c r="C50" s="46" t="s">
        <v>120</v>
      </c>
      <c r="D50" s="46"/>
      <c r="E50" s="74"/>
      <c r="F50" s="74"/>
      <c r="G50" s="74"/>
      <c r="H50" s="74"/>
      <c r="I50" s="74"/>
      <c r="J50" s="86"/>
      <c r="K50" s="74"/>
      <c r="L50" s="74"/>
      <c r="M50" s="74"/>
      <c r="N50" s="74"/>
      <c r="O50" s="74"/>
      <c r="P50" s="74"/>
      <c r="Q50" s="74"/>
    </row>
    <row r="51" spans="2:17" s="61" customFormat="1" ht="15" customHeight="1" x14ac:dyDescent="0.25">
      <c r="B51" s="76"/>
      <c r="C51" s="137" t="s">
        <v>110</v>
      </c>
      <c r="D51" s="137" t="s">
        <v>111</v>
      </c>
      <c r="E51" s="137" t="s">
        <v>112</v>
      </c>
      <c r="F51" s="137" t="s">
        <v>113</v>
      </c>
      <c r="G51" s="137" t="s">
        <v>114</v>
      </c>
      <c r="H51" s="150" t="s">
        <v>115</v>
      </c>
      <c r="I51" s="137" t="s">
        <v>32</v>
      </c>
      <c r="J51" s="137"/>
      <c r="K51" s="137"/>
      <c r="L51" s="137"/>
      <c r="M51" s="137"/>
      <c r="N51" s="137"/>
      <c r="O51" s="137"/>
      <c r="P51" s="137"/>
      <c r="Q51" s="137" t="s">
        <v>116</v>
      </c>
    </row>
    <row r="52" spans="2:17" s="61" customFormat="1" ht="16.5" x14ac:dyDescent="0.25">
      <c r="B52" s="76"/>
      <c r="C52" s="137"/>
      <c r="D52" s="137"/>
      <c r="E52" s="137"/>
      <c r="F52" s="137"/>
      <c r="G52" s="137"/>
      <c r="H52" s="150"/>
      <c r="I52" s="52">
        <f>'[1]26MY_PROLOGUE_DATA'!$M$6</f>
        <v>0</v>
      </c>
      <c r="J52" s="52" t="str">
        <f>'[1]26MY_PROLOGUE_DATA'!$N$6</f>
        <v>EX</v>
      </c>
      <c r="K52" s="52" t="str">
        <f>'[1]26MY_PROLOGUE_DATA'!$O$6</f>
        <v>EX-L</v>
      </c>
      <c r="L52" s="52">
        <f>'[1]26MY_PROLOGUE_DATA'!$P$6</f>
        <v>0</v>
      </c>
      <c r="M52" s="52" t="str">
        <f>'[1]26MY_PROLOGUE_DATA'!$Q$6</f>
        <v>Touring</v>
      </c>
      <c r="N52" s="52">
        <f>'[1]26MY_PROLOGUE_DATA'!$T$6</f>
        <v>0</v>
      </c>
      <c r="O52" s="52">
        <f>'[1]26MY_PROLOGUE_DATA'!$T$6</f>
        <v>0</v>
      </c>
      <c r="P52" s="52">
        <f>'[1]26MY_PROLOGUE_DATA'!$T$6</f>
        <v>0</v>
      </c>
      <c r="Q52" s="137"/>
    </row>
    <row r="53" spans="2:17" s="73" customFormat="1" ht="15" customHeight="1" x14ac:dyDescent="0.25">
      <c r="B53" s="71" t="s">
        <v>54</v>
      </c>
      <c r="C53" s="135" t="str">
        <f>VLOOKUP(B53,'[1]26MY_PROLOGUE_DATA'!B:AS,4,FALSE)</f>
        <v>Calandre</v>
      </c>
      <c r="D53" s="78" t="str">
        <f>B53</f>
        <v>08F21-PS2-100</v>
      </c>
      <c r="E53" s="56">
        <f>VLOOKUP(B53,'[1]26MY_PROLOGUE_DATA'!B:AS,9,FALSE)</f>
        <v>273</v>
      </c>
      <c r="F53" s="56">
        <f>VLOOKUP(B53,'[1]26MY_PROLOGUE_DATA'!B:AS,10,FALSE)</f>
        <v>455</v>
      </c>
      <c r="G53" s="57">
        <f>VLOOKUP(B53,'[1]26MY_PROLOGUE_DATA'!B:AS,7,FALSE)</f>
        <v>2</v>
      </c>
      <c r="H53" s="58">
        <f>VLOOKUP(B53,'[1]26MY_PROLOGUE_DATA'!B:AS,11,FALSE)</f>
        <v>785</v>
      </c>
      <c r="I53" s="59">
        <f>VLOOKUP(B53,'[1]26MY_PROLOGUE_DATA'!B:AS,12,FALSE)</f>
        <v>0</v>
      </c>
      <c r="J53" s="59" t="str">
        <f>VLOOKUP(B53,'[1]26MY_PROLOGUE_DATA'!B:AS,13,FALSE)</f>
        <v>•</v>
      </c>
      <c r="K53" s="59" t="str">
        <f>VLOOKUP(B53,'[1]26MY_PROLOGUE_DATA'!B:AS,14,FALSE)</f>
        <v>•</v>
      </c>
      <c r="L53" s="59">
        <f>VLOOKUP(B53,'[1]26MY_PROLOGUE_DATA'!B:AS,15,FALSE)</f>
        <v>0</v>
      </c>
      <c r="M53" s="59" t="str">
        <f>VLOOKUP($B53,'[1]26MY_PROLOGUE_DATA'!$B:$AS,16,FALSE)</f>
        <v>•</v>
      </c>
      <c r="N53" s="59">
        <f>VLOOKUP($B53,'[1]26MY_PROLOGUE_DATA'!$B:$AS,17,FALSE)</f>
        <v>0</v>
      </c>
      <c r="O53" s="59">
        <f>VLOOKUP($B53,'[1]26MY_PROLOGUE_DATA'!$B:$AS,18,FALSE)</f>
        <v>0</v>
      </c>
      <c r="P53" s="59">
        <f>VLOOKUP(B53,'[1]26MY_PROLOGUE_DATA'!B:AS,19,FALSE)</f>
        <v>0</v>
      </c>
      <c r="Q53" s="79" t="str">
        <f>IF(VLOOKUP(B53,'[1]26MY_PROLOGUE_DATA'!B:AS,21,FALSE)="","",VLOOKUP(B53,'[1]26MY_PROLOGUE_DATA'!B:AS,21,FALSE))</f>
        <v/>
      </c>
    </row>
    <row r="54" spans="2:17" s="73" customFormat="1" ht="15" customHeight="1" x14ac:dyDescent="0.25">
      <c r="B54" s="76" t="s">
        <v>55</v>
      </c>
      <c r="C54" s="135" t="str">
        <f>VLOOKUP(B54,'[1]26MY_PROLOGUE_DATA'!B:AS,4,FALSE)</f>
        <v>Garniture inférieure avant</v>
      </c>
      <c r="D54" s="78" t="str">
        <f t="shared" ref="D54:D82" si="6">B54</f>
        <v>08F23-PS2-110A</v>
      </c>
      <c r="E54" s="56">
        <f>VLOOKUP(B54,'[1]26MY_PROLOGUE_DATA'!B:AS,9,FALSE)</f>
        <v>364</v>
      </c>
      <c r="F54" s="56">
        <f>VLOOKUP(B54,'[1]26MY_PROLOGUE_DATA'!B:AS,10,FALSE)</f>
        <v>607</v>
      </c>
      <c r="G54" s="57">
        <f>VLOOKUP(B54,'[1]26MY_PROLOGUE_DATA'!B:AS,7,FALSE)</f>
        <v>1.8</v>
      </c>
      <c r="H54" s="58">
        <f>VLOOKUP(B54,'[1]26MY_PROLOGUE_DATA'!B:AS,11,FALSE)</f>
        <v>904</v>
      </c>
      <c r="I54" s="59">
        <f>VLOOKUP(B54,'[1]26MY_PROLOGUE_DATA'!B:AS,12,FALSE)</f>
        <v>0</v>
      </c>
      <c r="J54" s="59" t="str">
        <f>VLOOKUP(B54,'[1]26MY_PROLOGUE_DATA'!B:AS,13,FALSE)</f>
        <v>N/A</v>
      </c>
      <c r="K54" s="59" t="str">
        <f>VLOOKUP(B54,'[1]26MY_PROLOGUE_DATA'!B:AS,14,FALSE)</f>
        <v>•</v>
      </c>
      <c r="L54" s="59">
        <f>VLOOKUP(B54,'[1]26MY_PROLOGUE_DATA'!B:AS,15,FALSE)</f>
        <v>0</v>
      </c>
      <c r="M54" s="59" t="str">
        <f>VLOOKUP($B54,'[1]26MY_PROLOGUE_DATA'!$B:$AS,16,FALSE)</f>
        <v>•</v>
      </c>
      <c r="N54" s="59">
        <f>VLOOKUP($B54,'[1]26MY_PROLOGUE_DATA'!$B:$AS,17,FALSE)</f>
        <v>0</v>
      </c>
      <c r="O54" s="59">
        <f>VLOOKUP($B54,'[1]26MY_PROLOGUE_DATA'!$B:$AS,18,FALSE)</f>
        <v>0</v>
      </c>
      <c r="P54" s="59">
        <f>VLOOKUP(B54,'[1]26MY_PROLOGUE_DATA'!B:AS,19,FALSE)</f>
        <v>0</v>
      </c>
      <c r="Q54" s="79" t="str">
        <f>IF(VLOOKUP(B54,'[1]26MY_PROLOGUE_DATA'!B:AS,21,FALSE)="","",VLOOKUP(B54,'[1]26MY_PROLOGUE_DATA'!B:AS,21,FALSE))</f>
        <v/>
      </c>
    </row>
    <row r="55" spans="2:17" s="73" customFormat="1" ht="15" customHeight="1" x14ac:dyDescent="0.25">
      <c r="B55" s="76" t="s">
        <v>56</v>
      </c>
      <c r="C55" s="135" t="str">
        <f>VLOOKUP(B55,'[1]26MY_PROLOGUE_DATA'!B:AS,4,FALSE)</f>
        <v>Garniture centrale de portière</v>
      </c>
      <c r="D55" s="78" t="str">
        <f t="shared" si="6"/>
        <v>08F57-PS2-100A</v>
      </c>
      <c r="E55" s="56">
        <f>VLOOKUP(B55,'[1]26MY_PROLOGUE_DATA'!B:AS,9,FALSE)</f>
        <v>204</v>
      </c>
      <c r="F55" s="56">
        <f>VLOOKUP(B55,'[1]26MY_PROLOGUE_DATA'!B:AS,10,FALSE)</f>
        <v>340</v>
      </c>
      <c r="G55" s="57">
        <f>VLOOKUP(B55,'[1]26MY_PROLOGUE_DATA'!B:AS,7,FALSE)</f>
        <v>0.4</v>
      </c>
      <c r="H55" s="58">
        <f>VLOOKUP(B55,'[1]26MY_PROLOGUE_DATA'!B:AS,11,FALSE)</f>
        <v>406</v>
      </c>
      <c r="I55" s="59">
        <f>VLOOKUP(B55,'[1]26MY_PROLOGUE_DATA'!B:AS,12,FALSE)</f>
        <v>0</v>
      </c>
      <c r="J55" s="59" t="str">
        <f>VLOOKUP(B55,'[1]26MY_PROLOGUE_DATA'!B:AS,13,FALSE)</f>
        <v>•</v>
      </c>
      <c r="K55" s="59" t="str">
        <f>VLOOKUP(B55,'[1]26MY_PROLOGUE_DATA'!B:AS,14,FALSE)</f>
        <v>•</v>
      </c>
      <c r="L55" s="59">
        <f>VLOOKUP(B55,'[1]26MY_PROLOGUE_DATA'!B:AS,15,FALSE)</f>
        <v>0</v>
      </c>
      <c r="M55" s="59" t="str">
        <f>VLOOKUP($B55,'[1]26MY_PROLOGUE_DATA'!$B:$AS,16,FALSE)</f>
        <v>•</v>
      </c>
      <c r="N55" s="59">
        <f>VLOOKUP($B55,'[1]26MY_PROLOGUE_DATA'!$B:$AS,17,FALSE)</f>
        <v>0</v>
      </c>
      <c r="O55" s="59">
        <f>VLOOKUP($B55,'[1]26MY_PROLOGUE_DATA'!$B:$AS,18,FALSE)</f>
        <v>0</v>
      </c>
      <c r="P55" s="59">
        <f>VLOOKUP(B55,'[1]26MY_PROLOGUE_DATA'!B:AS,19,FALSE)</f>
        <v>0</v>
      </c>
      <c r="Q55" s="79" t="str">
        <f>IF(VLOOKUP(B55,'[1]26MY_PROLOGUE_DATA'!B:AS,21,FALSE)="","",VLOOKUP(B55,'[1]26MY_PROLOGUE_DATA'!B:AS,21,FALSE))</f>
        <v/>
      </c>
    </row>
    <row r="56" spans="2:17" s="73" customFormat="1" ht="15" customHeight="1" x14ac:dyDescent="0.25">
      <c r="B56" s="76" t="s">
        <v>57</v>
      </c>
      <c r="C56" s="135" t="str">
        <f>VLOOKUP(B56,'[1]26MY_PROLOGUE_DATA'!B:AS,4,FALSE)</f>
        <v>Garniture inférieure de portière</v>
      </c>
      <c r="D56" s="78" t="str">
        <f t="shared" si="6"/>
        <v>08F57-PS2-110</v>
      </c>
      <c r="E56" s="56">
        <f>VLOOKUP(B56,'[1]26MY_PROLOGUE_DATA'!B:AS,9,FALSE)</f>
        <v>364</v>
      </c>
      <c r="F56" s="56">
        <f>VLOOKUP(B56,'[1]26MY_PROLOGUE_DATA'!B:AS,10,FALSE)</f>
        <v>607</v>
      </c>
      <c r="G56" s="57">
        <f>VLOOKUP(B56,'[1]26MY_PROLOGUE_DATA'!B:AS,7,FALSE)</f>
        <v>1.2</v>
      </c>
      <c r="H56" s="58">
        <f>VLOOKUP(B56,'[1]26MY_PROLOGUE_DATA'!B:AS,11,FALSE)</f>
        <v>805</v>
      </c>
      <c r="I56" s="59">
        <f>VLOOKUP(B56,'[1]26MY_PROLOGUE_DATA'!B:AS,12,FALSE)</f>
        <v>0</v>
      </c>
      <c r="J56" s="59" t="str">
        <f>VLOOKUP(B56,'[1]26MY_PROLOGUE_DATA'!B:AS,13,FALSE)</f>
        <v>•</v>
      </c>
      <c r="K56" s="59" t="str">
        <f>VLOOKUP(B56,'[1]26MY_PROLOGUE_DATA'!B:AS,14,FALSE)</f>
        <v>•</v>
      </c>
      <c r="L56" s="59">
        <f>VLOOKUP(B56,'[1]26MY_PROLOGUE_DATA'!B:AS,15,FALSE)</f>
        <v>0</v>
      </c>
      <c r="M56" s="59" t="str">
        <f>VLOOKUP($B56,'[1]26MY_PROLOGUE_DATA'!$B:$AS,16,FALSE)</f>
        <v>•</v>
      </c>
      <c r="N56" s="59">
        <f>VLOOKUP($B56,'[1]26MY_PROLOGUE_DATA'!$B:$AS,17,FALSE)</f>
        <v>0</v>
      </c>
      <c r="O56" s="59">
        <f>VLOOKUP($B56,'[1]26MY_PROLOGUE_DATA'!$B:$AS,18,FALSE)</f>
        <v>0</v>
      </c>
      <c r="P56" s="59">
        <f>VLOOKUP(B56,'[1]26MY_PROLOGUE_DATA'!B:AS,19,FALSE)</f>
        <v>0</v>
      </c>
      <c r="Q56" s="79" t="str">
        <f>IF(VLOOKUP(B56,'[1]26MY_PROLOGUE_DATA'!B:AS,21,FALSE)="","",VLOOKUP(B56,'[1]26MY_PROLOGUE_DATA'!B:AS,21,FALSE))</f>
        <v/>
      </c>
    </row>
    <row r="57" spans="2:17" s="73" customFormat="1" ht="15" customHeight="1" x14ac:dyDescent="0.25">
      <c r="B57" s="76" t="s">
        <v>58</v>
      </c>
      <c r="C57" s="135" t="str">
        <f>VLOOKUP(B57,'[1]26MY_PROLOGUE_DATA'!B:AS,4,FALSE)</f>
        <v>Garniture inférieure arrière</v>
      </c>
      <c r="D57" s="78" t="str">
        <f t="shared" si="6"/>
        <v>08F24-PS2-110</v>
      </c>
      <c r="E57" s="56">
        <f>VLOOKUP(B57,'[1]26MY_PROLOGUE_DATA'!B:AS,9,FALSE)</f>
        <v>228</v>
      </c>
      <c r="F57" s="56">
        <f>VLOOKUP(B57,'[1]26MY_PROLOGUE_DATA'!B:AS,10,FALSE)</f>
        <v>380</v>
      </c>
      <c r="G57" s="57">
        <f>VLOOKUP(B57,'[1]26MY_PROLOGUE_DATA'!B:AS,7,FALSE)</f>
        <v>1.5</v>
      </c>
      <c r="H57" s="58">
        <f>VLOOKUP(B57,'[1]26MY_PROLOGUE_DATA'!B:AS,11,FALSE)</f>
        <v>627.5</v>
      </c>
      <c r="I57" s="59">
        <f>VLOOKUP(B57,'[1]26MY_PROLOGUE_DATA'!B:AS,12,FALSE)</f>
        <v>0</v>
      </c>
      <c r="J57" s="59" t="str">
        <f>VLOOKUP(B57,'[1]26MY_PROLOGUE_DATA'!B:AS,13,FALSE)</f>
        <v>•</v>
      </c>
      <c r="K57" s="59" t="str">
        <f>VLOOKUP(B57,'[1]26MY_PROLOGUE_DATA'!B:AS,14,FALSE)</f>
        <v>•</v>
      </c>
      <c r="L57" s="59">
        <f>VLOOKUP(B57,'[1]26MY_PROLOGUE_DATA'!B:AS,15,FALSE)</f>
        <v>0</v>
      </c>
      <c r="M57" s="59" t="str">
        <f>VLOOKUP($B57,'[1]26MY_PROLOGUE_DATA'!$B:$AS,16,FALSE)</f>
        <v>•</v>
      </c>
      <c r="N57" s="59">
        <f>VLOOKUP($B57,'[1]26MY_PROLOGUE_DATA'!$B:$AS,17,FALSE)</f>
        <v>0</v>
      </c>
      <c r="O57" s="59">
        <f>VLOOKUP($B57,'[1]26MY_PROLOGUE_DATA'!$B:$AS,18,FALSE)</f>
        <v>0</v>
      </c>
      <c r="P57" s="59">
        <f>VLOOKUP(B57,'[1]26MY_PROLOGUE_DATA'!B:AS,19,FALSE)</f>
        <v>0</v>
      </c>
      <c r="Q57" s="79" t="str">
        <f>IF(VLOOKUP(B57,'[1]26MY_PROLOGUE_DATA'!B:AS,21,FALSE)="","",VLOOKUP(B57,'[1]26MY_PROLOGUE_DATA'!B:AS,21,FALSE))</f>
        <v/>
      </c>
    </row>
    <row r="58" spans="2:17" s="73" customFormat="1" ht="16.5" x14ac:dyDescent="0.25">
      <c r="B58" s="76" t="s">
        <v>59</v>
      </c>
      <c r="C58" s="135" t="str">
        <f>VLOOKUP(B58,'[1]26MY_PROLOGUE_DATA'!B:AS,4,FALSE)</f>
        <v>Élargisseurs d’ailes</v>
      </c>
      <c r="D58" s="78" t="str">
        <f t="shared" si="6"/>
        <v>08P21-PS2-100</v>
      </c>
      <c r="E58" s="56">
        <f>VLOOKUP(B58,'[1]26MY_PROLOGUE_DATA'!B:AS,9,FALSE)</f>
        <v>590</v>
      </c>
      <c r="F58" s="56">
        <f>VLOOKUP(B58,'[1]26MY_PROLOGUE_DATA'!B:AS,10,FALSE)</f>
        <v>983</v>
      </c>
      <c r="G58" s="57">
        <f>VLOOKUP(B58,'[1]26MY_PROLOGUE_DATA'!B:AS,7,FALSE)</f>
        <v>1.2</v>
      </c>
      <c r="H58" s="58">
        <f>VLOOKUP(B58,'[1]26MY_PROLOGUE_DATA'!B:AS,11,FALSE)</f>
        <v>1181</v>
      </c>
      <c r="I58" s="59">
        <f>VLOOKUP(B58,'[1]26MY_PROLOGUE_DATA'!B:AS,12,FALSE)</f>
        <v>0</v>
      </c>
      <c r="J58" s="59" t="str">
        <f>VLOOKUP(B58,'[1]26MY_PROLOGUE_DATA'!B:AS,13,FALSE)</f>
        <v>N/A</v>
      </c>
      <c r="K58" s="59" t="str">
        <f>VLOOKUP(B58,'[1]26MY_PROLOGUE_DATA'!B:AS,14,FALSE)</f>
        <v>•</v>
      </c>
      <c r="L58" s="59">
        <f>VLOOKUP(B58,'[1]26MY_PROLOGUE_DATA'!B:AS,15,FALSE)</f>
        <v>0</v>
      </c>
      <c r="M58" s="59" t="str">
        <f>VLOOKUP($B58,'[1]26MY_PROLOGUE_DATA'!$B:$AS,16,FALSE)</f>
        <v>•</v>
      </c>
      <c r="N58" s="59">
        <f>VLOOKUP($B58,'[1]26MY_PROLOGUE_DATA'!$B:$AS,17,FALSE)</f>
        <v>0</v>
      </c>
      <c r="O58" s="59">
        <f>VLOOKUP($B58,'[1]26MY_PROLOGUE_DATA'!$B:$AS,18,FALSE)</f>
        <v>0</v>
      </c>
      <c r="P58" s="59">
        <f>VLOOKUP(B58,'[1]26MY_PROLOGUE_DATA'!B:AS,19,FALSE)</f>
        <v>0</v>
      </c>
      <c r="Q58" s="79" t="str">
        <f>IF(VLOOKUP(B58,'[1]26MY_PROLOGUE_DATA'!B:AS,21,FALSE)="","",VLOOKUP(B58,'[1]26MY_PROLOGUE_DATA'!B:AS,21,FALSE))</f>
        <v>Remplacent les garde-boue avant et arrière.</v>
      </c>
    </row>
    <row r="59" spans="2:17" s="73" customFormat="1" ht="16.5" x14ac:dyDescent="0.25">
      <c r="B59" s="71" t="s">
        <v>60</v>
      </c>
      <c r="C59" s="135" t="str">
        <f>VLOOKUP(B59,'[1]26MY_PROLOGUE_DATA'!B:AS,4,FALSE)</f>
        <v>Déflecteur de portière</v>
      </c>
      <c r="D59" s="78" t="str">
        <f t="shared" si="6"/>
        <v>08R04-PS2-100</v>
      </c>
      <c r="E59" s="56">
        <f>VLOOKUP(B59,'[1]26MY_PROLOGUE_DATA'!B:AS,9,FALSE)</f>
        <v>196</v>
      </c>
      <c r="F59" s="56">
        <f>VLOOKUP(B59,'[1]26MY_PROLOGUE_DATA'!B:AS,10,FALSE)</f>
        <v>327</v>
      </c>
      <c r="G59" s="57">
        <f>VLOOKUP(B59,'[1]26MY_PROLOGUE_DATA'!B:AS,7,FALSE)</f>
        <v>0.6</v>
      </c>
      <c r="H59" s="58">
        <f>VLOOKUP(B59,'[1]26MY_PROLOGUE_DATA'!B:AS,11,FALSE)</f>
        <v>426</v>
      </c>
      <c r="I59" s="59">
        <f>VLOOKUP(B59,'[1]26MY_PROLOGUE_DATA'!B:AS,12,FALSE)</f>
        <v>0</v>
      </c>
      <c r="J59" s="59" t="str">
        <f>VLOOKUP(B59,'[1]26MY_PROLOGUE_DATA'!B:AS,13,FALSE)</f>
        <v>•</v>
      </c>
      <c r="K59" s="59" t="str">
        <f>VLOOKUP(B59,'[1]26MY_PROLOGUE_DATA'!B:AS,14,FALSE)</f>
        <v>•</v>
      </c>
      <c r="L59" s="59">
        <f>VLOOKUP(B59,'[1]26MY_PROLOGUE_DATA'!B:AS,15,FALSE)</f>
        <v>0</v>
      </c>
      <c r="M59" s="59" t="str">
        <f>VLOOKUP($B59,'[1]26MY_PROLOGUE_DATA'!$B:$AS,16,FALSE)</f>
        <v>•</v>
      </c>
      <c r="N59" s="59">
        <f>VLOOKUP($B59,'[1]26MY_PROLOGUE_DATA'!$B:$AS,17,FALSE)</f>
        <v>0</v>
      </c>
      <c r="O59" s="59">
        <f>VLOOKUP($B59,'[1]26MY_PROLOGUE_DATA'!$B:$AS,18,FALSE)</f>
        <v>0</v>
      </c>
      <c r="P59" s="59">
        <f>VLOOKUP(B59,'[1]26MY_PROLOGUE_DATA'!B:AS,19,FALSE)</f>
        <v>0</v>
      </c>
      <c r="Q59" s="79" t="str">
        <f>IF(VLOOKUP(B59,'[1]26MY_PROLOGUE_DATA'!B:AS,21,FALSE)="","",VLOOKUP(B59,'[1]26MY_PROLOGUE_DATA'!B:AS,21,FALSE))</f>
        <v/>
      </c>
    </row>
    <row r="60" spans="2:17" s="73" customFormat="1" ht="15" customHeight="1" x14ac:dyDescent="0.25">
      <c r="B60" s="71" t="s">
        <v>61</v>
      </c>
      <c r="C60" s="89" t="str">
        <f>VLOOKUP(B60,'[1]26MY_PROLOGUE_DATA'!B:AS,4,FALSE)</f>
        <v>Emblèmes</v>
      </c>
      <c r="D60" s="90"/>
      <c r="E60" s="90"/>
      <c r="F60" s="90"/>
      <c r="G60" s="90"/>
      <c r="H60" s="90"/>
      <c r="I60" s="90"/>
      <c r="J60" s="90"/>
      <c r="K60" s="90"/>
      <c r="L60" s="90"/>
      <c r="M60" s="90"/>
      <c r="N60" s="90"/>
      <c r="O60" s="90"/>
      <c r="P60" s="90"/>
      <c r="Q60" s="65"/>
    </row>
    <row r="61" spans="2:17" s="73" customFormat="1" ht="30" x14ac:dyDescent="0.25">
      <c r="B61" s="71" t="s">
        <v>41</v>
      </c>
      <c r="C61" s="70" t="str">
        <f>VLOOKUP(B61,'[1]26MY_PROLOGUE_DATA'!B:AS,4,FALSE)</f>
        <v>Emblème noirs lustrés - Honda avant/arriere et Prologue</v>
      </c>
      <c r="D61" s="78" t="str">
        <f t="shared" si="6"/>
        <v>08F20-PS2-100</v>
      </c>
      <c r="E61" s="56">
        <f>VLOOKUP(B61,'[1]26MY_PROLOGUE_DATA'!B:AS,9,FALSE)</f>
        <v>97</v>
      </c>
      <c r="F61" s="56">
        <f>VLOOKUP(B61,'[1]26MY_PROLOGUE_DATA'!B:AS,10,FALSE)</f>
        <v>162</v>
      </c>
      <c r="G61" s="57">
        <f>VLOOKUP(B61,'[1]26MY_PROLOGUE_DATA'!B:AS,7,FALSE)</f>
        <v>0.7</v>
      </c>
      <c r="H61" s="58">
        <f>VLOOKUP(B61,'[1]26MY_PROLOGUE_DATA'!B:AS,11,FALSE)</f>
        <v>277.5</v>
      </c>
      <c r="I61" s="59">
        <f>VLOOKUP(B61,'[1]26MY_PROLOGUE_DATA'!B:AS,12,FALSE)</f>
        <v>0</v>
      </c>
      <c r="J61" s="59" t="str">
        <f>VLOOKUP(B61,'[1]26MY_PROLOGUE_DATA'!B:AS,13,FALSE)</f>
        <v>•</v>
      </c>
      <c r="K61" s="59" t="str">
        <f>VLOOKUP(B61,'[1]26MY_PROLOGUE_DATA'!B:AS,14,FALSE)</f>
        <v>•</v>
      </c>
      <c r="L61" s="59">
        <f>VLOOKUP(B61,'[1]26MY_PROLOGUE_DATA'!B:AS,15,FALSE)</f>
        <v>0</v>
      </c>
      <c r="M61" s="59" t="str">
        <f>VLOOKUP($B61,'[1]26MY_PROLOGUE_DATA'!$B:$AS,16,FALSE)</f>
        <v>•</v>
      </c>
      <c r="N61" s="59">
        <f>VLOOKUP($B61,'[1]26MY_PROLOGUE_DATA'!$B:$AS,17,FALSE)</f>
        <v>0</v>
      </c>
      <c r="O61" s="59">
        <f>VLOOKUP($B61,'[1]26MY_PROLOGUE_DATA'!$B:$AS,18,FALSE)</f>
        <v>0</v>
      </c>
      <c r="P61" s="59">
        <f>VLOOKUP(B61,'[1]26MY_PROLOGUE_DATA'!B:AS,19,FALSE)</f>
        <v>0</v>
      </c>
      <c r="Q61" s="79" t="str">
        <f>IF(VLOOKUP(B61,'[1]26MY_PROLOGUE_DATA'!B:AS,21,FALSE)="","",VLOOKUP(B61,'[1]26MY_PROLOGUE_DATA'!B:AS,21,FALSE))</f>
        <v/>
      </c>
    </row>
    <row r="62" spans="2:17" s="73" customFormat="1" ht="15" customHeight="1" x14ac:dyDescent="0.25">
      <c r="B62" s="71" t="s">
        <v>45</v>
      </c>
      <c r="C62" s="62" t="str">
        <f>VLOOKUP(B62,'[1]26MY_PROLOGUE_DATA'!B:AS,4,FALSE)</f>
        <v>Emblème noir - Touring</v>
      </c>
      <c r="D62" s="78" t="str">
        <f t="shared" si="6"/>
        <v>08F20-PS2-100A</v>
      </c>
      <c r="E62" s="56">
        <f>VLOOKUP(B62,'[1]26MY_PROLOGUE_DATA'!B:AS,9,FALSE)</f>
        <v>47</v>
      </c>
      <c r="F62" s="56">
        <f>VLOOKUP(B62,'[1]26MY_PROLOGUE_DATA'!B:AS,10,FALSE)</f>
        <v>78</v>
      </c>
      <c r="G62" s="57">
        <f>VLOOKUP(B62,'[1]26MY_PROLOGUE_DATA'!B:AS,7,FALSE)</f>
        <v>0.1</v>
      </c>
      <c r="H62" s="58">
        <f>VLOOKUP(B62,'[1]26MY_PROLOGUE_DATA'!B:AS,11,FALSE)</f>
        <v>94.5</v>
      </c>
      <c r="I62" s="59">
        <f>VLOOKUP(B62,'[1]26MY_PROLOGUE_DATA'!B:AS,12,FALSE)</f>
        <v>0</v>
      </c>
      <c r="J62" s="59" t="str">
        <f>VLOOKUP(B62,'[1]26MY_PROLOGUE_DATA'!B:AS,13,FALSE)</f>
        <v>N/A</v>
      </c>
      <c r="K62" s="59" t="str">
        <f>VLOOKUP(B62,'[1]26MY_PROLOGUE_DATA'!B:AS,14,FALSE)</f>
        <v>N/A</v>
      </c>
      <c r="L62" s="59">
        <f>VLOOKUP(B62,'[1]26MY_PROLOGUE_DATA'!B:AS,15,FALSE)</f>
        <v>0</v>
      </c>
      <c r="M62" s="59" t="str">
        <f>VLOOKUP($B62,'[1]26MY_PROLOGUE_DATA'!$B:$AS,16,FALSE)</f>
        <v>•</v>
      </c>
      <c r="N62" s="59">
        <f>VLOOKUP($B62,'[1]26MY_PROLOGUE_DATA'!$B:$AS,17,FALSE)</f>
        <v>0</v>
      </c>
      <c r="O62" s="59">
        <f>VLOOKUP($B62,'[1]26MY_PROLOGUE_DATA'!$B:$AS,18,FALSE)</f>
        <v>0</v>
      </c>
      <c r="P62" s="59">
        <f>VLOOKUP(B62,'[1]26MY_PROLOGUE_DATA'!B:AS,19,FALSE)</f>
        <v>0</v>
      </c>
      <c r="Q62" s="79" t="str">
        <f>IF(VLOOKUP(B62,'[1]26MY_PROLOGUE_DATA'!B:AS,21,FALSE)="","",VLOOKUP(B62,'[1]26MY_PROLOGUE_DATA'!B:AS,21,FALSE))</f>
        <v/>
      </c>
    </row>
    <row r="63" spans="2:17" s="73" customFormat="1" ht="15" customHeight="1" x14ac:dyDescent="0.25">
      <c r="B63" s="71" t="s">
        <v>42</v>
      </c>
      <c r="C63" s="62" t="str">
        <f>VLOOKUP(B63,'[1]26MY_PROLOGUE_DATA'!B:AS,4,FALSE)</f>
        <v>Emblème noir - AWD</v>
      </c>
      <c r="D63" s="78" t="str">
        <f t="shared" si="6"/>
        <v>08F20-PS2-100C</v>
      </c>
      <c r="E63" s="56">
        <f>VLOOKUP(B63,'[1]26MY_PROLOGUE_DATA'!B:AS,9,FALSE)</f>
        <v>33</v>
      </c>
      <c r="F63" s="56">
        <f>VLOOKUP(B63,'[1]26MY_PROLOGUE_DATA'!B:AS,10,FALSE)</f>
        <v>55</v>
      </c>
      <c r="G63" s="57">
        <f>VLOOKUP(B63,'[1]26MY_PROLOGUE_DATA'!B:AS,7,FALSE)</f>
        <v>0.1</v>
      </c>
      <c r="H63" s="58">
        <f>VLOOKUP(B63,'[1]26MY_PROLOGUE_DATA'!B:AS,11,FALSE)</f>
        <v>71.5</v>
      </c>
      <c r="I63" s="59">
        <f>VLOOKUP(B63,'[1]26MY_PROLOGUE_DATA'!B:AS,12,FALSE)</f>
        <v>0</v>
      </c>
      <c r="J63" s="59" t="str">
        <f>VLOOKUP(B63,'[1]26MY_PROLOGUE_DATA'!B:AS,13,FALSE)</f>
        <v>•</v>
      </c>
      <c r="K63" s="59" t="str">
        <f>VLOOKUP(B63,'[1]26MY_PROLOGUE_DATA'!B:AS,14,FALSE)</f>
        <v>•</v>
      </c>
      <c r="L63" s="59">
        <f>VLOOKUP(B63,'[1]26MY_PROLOGUE_DATA'!B:AS,15,FALSE)</f>
        <v>0</v>
      </c>
      <c r="M63" s="59" t="str">
        <f>VLOOKUP($B63,'[1]26MY_PROLOGUE_DATA'!$B:$AS,16,FALSE)</f>
        <v>•</v>
      </c>
      <c r="N63" s="59">
        <f>VLOOKUP($B63,'[1]26MY_PROLOGUE_DATA'!$B:$AS,17,FALSE)</f>
        <v>0</v>
      </c>
      <c r="O63" s="59">
        <f>VLOOKUP($B63,'[1]26MY_PROLOGUE_DATA'!$B:$AS,18,FALSE)</f>
        <v>0</v>
      </c>
      <c r="P63" s="59">
        <f>VLOOKUP(B63,'[1]26MY_PROLOGUE_DATA'!B:AS,19,FALSE)</f>
        <v>0</v>
      </c>
      <c r="Q63" s="79" t="str">
        <f>IF(VLOOKUP(B63,'[1]26MY_PROLOGUE_DATA'!B:AS,21,FALSE)="","",VLOOKUP(B63,'[1]26MY_PROLOGUE_DATA'!B:AS,21,FALSE))</f>
        <v/>
      </c>
    </row>
    <row r="64" spans="2:17" s="73" customFormat="1" ht="16.5" x14ac:dyDescent="0.25">
      <c r="B64" s="71" t="s">
        <v>43</v>
      </c>
      <c r="C64" s="62" t="str">
        <f>VLOOKUP(B64,'[1]26MY_PROLOGUE_DATA'!B:AS,4,FALSE)</f>
        <v>Emblèmes noirs « e: »</v>
      </c>
      <c r="D64" s="78" t="str">
        <f t="shared" si="6"/>
        <v>08F20-PS2-100D</v>
      </c>
      <c r="E64" s="56">
        <f>VLOOKUP(B64,'[1]26MY_PROLOGUE_DATA'!B:AS,9,FALSE)</f>
        <v>33</v>
      </c>
      <c r="F64" s="56">
        <f>VLOOKUP(B64,'[1]26MY_PROLOGUE_DATA'!B:AS,10,FALSE)</f>
        <v>55</v>
      </c>
      <c r="G64" s="57">
        <f>VLOOKUP(B64,'[1]26MY_PROLOGUE_DATA'!B:AS,7,FALSE)</f>
        <v>0.1</v>
      </c>
      <c r="H64" s="58">
        <f>VLOOKUP(B64,'[1]26MY_PROLOGUE_DATA'!B:AS,11,FALSE)</f>
        <v>71.5</v>
      </c>
      <c r="I64" s="59">
        <f>VLOOKUP(B64,'[1]26MY_PROLOGUE_DATA'!B:AS,12,FALSE)</f>
        <v>0</v>
      </c>
      <c r="J64" s="59" t="str">
        <f>VLOOKUP(B64,'[1]26MY_PROLOGUE_DATA'!B:AS,13,FALSE)</f>
        <v>•</v>
      </c>
      <c r="K64" s="59" t="str">
        <f>VLOOKUP(B64,'[1]26MY_PROLOGUE_DATA'!B:AS,14,FALSE)</f>
        <v>•</v>
      </c>
      <c r="L64" s="59">
        <f>VLOOKUP(B64,'[1]26MY_PROLOGUE_DATA'!B:AS,15,FALSE)</f>
        <v>0</v>
      </c>
      <c r="M64" s="59" t="str">
        <f>VLOOKUP($B64,'[1]26MY_PROLOGUE_DATA'!$B:$AS,16,FALSE)</f>
        <v>•</v>
      </c>
      <c r="N64" s="59">
        <f>VLOOKUP($B64,'[1]26MY_PROLOGUE_DATA'!$B:$AS,17,FALSE)</f>
        <v>0</v>
      </c>
      <c r="O64" s="59">
        <f>VLOOKUP($B64,'[1]26MY_PROLOGUE_DATA'!$B:$AS,18,FALSE)</f>
        <v>0</v>
      </c>
      <c r="P64" s="59">
        <f>VLOOKUP(B64,'[1]26MY_PROLOGUE_DATA'!B:AS,19,FALSE)</f>
        <v>0</v>
      </c>
      <c r="Q64" s="79" t="str">
        <f>IF(VLOOKUP(B64,'[1]26MY_PROLOGUE_DATA'!B:AS,21,FALSE)="","",VLOOKUP(B64,'[1]26MY_PROLOGUE_DATA'!B:AS,21,FALSE))</f>
        <v/>
      </c>
    </row>
    <row r="65" spans="2:17" s="73" customFormat="1" ht="30" x14ac:dyDescent="0.25">
      <c r="B65" s="71" t="s">
        <v>62</v>
      </c>
      <c r="C65" s="135" t="str">
        <f>VLOOKUP(B65,'[1]26MY_PROLOGUE_DATA'!B:AS,4,FALSE)</f>
        <v>Pellicule pour rebord de portière</v>
      </c>
      <c r="D65" s="78" t="str">
        <f t="shared" si="6"/>
        <v>08P20-PS2-100</v>
      </c>
      <c r="E65" s="56">
        <f>VLOOKUP(B65,'[1]26MY_PROLOGUE_DATA'!B:AS,9,FALSE)</f>
        <v>55</v>
      </c>
      <c r="F65" s="56">
        <f>VLOOKUP(B65,'[1]26MY_PROLOGUE_DATA'!B:AS,10,FALSE)</f>
        <v>92</v>
      </c>
      <c r="G65" s="57">
        <f>VLOOKUP(B65,'[1]26MY_PROLOGUE_DATA'!B:AS,7,FALSE)</f>
        <v>0.4</v>
      </c>
      <c r="H65" s="58">
        <f>VLOOKUP(B65,'[1]26MY_PROLOGUE_DATA'!B:AS,11,FALSE)</f>
        <v>158</v>
      </c>
      <c r="I65" s="59">
        <f>VLOOKUP(B65,'[1]26MY_PROLOGUE_DATA'!B:AS,12,FALSE)</f>
        <v>0</v>
      </c>
      <c r="J65" s="59" t="str">
        <f>VLOOKUP(B65,'[1]26MY_PROLOGUE_DATA'!B:AS,13,FALSE)</f>
        <v>•</v>
      </c>
      <c r="K65" s="59" t="str">
        <f>VLOOKUP(B65,'[1]26MY_PROLOGUE_DATA'!B:AS,14,FALSE)</f>
        <v>•</v>
      </c>
      <c r="L65" s="59">
        <f>VLOOKUP(B65,'[1]26MY_PROLOGUE_DATA'!B:AS,15,FALSE)</f>
        <v>0</v>
      </c>
      <c r="M65" s="59" t="str">
        <f>VLOOKUP($B65,'[1]26MY_PROLOGUE_DATA'!$B:$AS,16,FALSE)</f>
        <v>•</v>
      </c>
      <c r="N65" s="59">
        <f>VLOOKUP($B65,'[1]26MY_PROLOGUE_DATA'!$B:$AS,17,FALSE)</f>
        <v>0</v>
      </c>
      <c r="O65" s="59">
        <f>VLOOKUP($B65,'[1]26MY_PROLOGUE_DATA'!$B:$AS,18,FALSE)</f>
        <v>0</v>
      </c>
      <c r="P65" s="59">
        <f>VLOOKUP(B65,'[1]26MY_PROLOGUE_DATA'!B:AS,19,FALSE)</f>
        <v>0</v>
      </c>
      <c r="Q65" s="79" t="str">
        <f>IF(VLOOKUP(B65,'[1]26MY_PROLOGUE_DATA'!B:AS,21,FALSE)="","",VLOOKUP(B65,'[1]26MY_PROLOGUE_DATA'!B:AS,21,FALSE))</f>
        <v>Ne peut être installé simultanément avec Protecteurs de rebords de portières</v>
      </c>
    </row>
    <row r="66" spans="2:17" s="73" customFormat="1" ht="30" x14ac:dyDescent="0.25">
      <c r="B66" s="71" t="s">
        <v>63</v>
      </c>
      <c r="C66" s="136" t="str">
        <f>VLOOKUP(B66,'[1]26MY_PROLOGUE_DATA'!B:AS,4,FALSE)</f>
        <v>Pellicules protectrices de poignée de portière</v>
      </c>
      <c r="D66" s="78" t="str">
        <f t="shared" si="6"/>
        <v>08P48-PS2-100</v>
      </c>
      <c r="E66" s="56">
        <f>VLOOKUP(B66,'[1]26MY_PROLOGUE_DATA'!B:AS,9,FALSE)</f>
        <v>47</v>
      </c>
      <c r="F66" s="56">
        <f>VLOOKUP(B66,'[1]26MY_PROLOGUE_DATA'!B:AS,10,FALSE)</f>
        <v>78</v>
      </c>
      <c r="G66" s="57">
        <f>VLOOKUP(B66,'[1]26MY_PROLOGUE_DATA'!B:AS,7,FALSE)</f>
        <v>0.4</v>
      </c>
      <c r="H66" s="58">
        <f>VLOOKUP(B66,'[1]26MY_PROLOGUE_DATA'!B:AS,11,FALSE)</f>
        <v>144</v>
      </c>
      <c r="I66" s="59">
        <f>VLOOKUP(B66,'[1]26MY_PROLOGUE_DATA'!B:AS,12,FALSE)</f>
        <v>0</v>
      </c>
      <c r="J66" s="59" t="str">
        <f>VLOOKUP(B66,'[1]26MY_PROLOGUE_DATA'!B:AS,13,FALSE)</f>
        <v>•</v>
      </c>
      <c r="K66" s="59" t="str">
        <f>VLOOKUP(B66,'[1]26MY_PROLOGUE_DATA'!B:AS,14,FALSE)</f>
        <v>•</v>
      </c>
      <c r="L66" s="59">
        <f>VLOOKUP(B66,'[1]26MY_PROLOGUE_DATA'!B:AS,15,FALSE)</f>
        <v>0</v>
      </c>
      <c r="M66" s="59" t="str">
        <f>VLOOKUP($B66,'[1]26MY_PROLOGUE_DATA'!$B:$AS,16,FALSE)</f>
        <v>•</v>
      </c>
      <c r="N66" s="59">
        <f>VLOOKUP($B66,'[1]26MY_PROLOGUE_DATA'!$B:$AS,17,FALSE)</f>
        <v>0</v>
      </c>
      <c r="O66" s="59">
        <f>VLOOKUP($B66,'[1]26MY_PROLOGUE_DATA'!$B:$AS,18,FALSE)</f>
        <v>0</v>
      </c>
      <c r="P66" s="59">
        <f>VLOOKUP(B66,'[1]26MY_PROLOGUE_DATA'!B:AS,19,FALSE)</f>
        <v>0</v>
      </c>
      <c r="Q66" s="79" t="str">
        <f>IF(VLOOKUP(B66,'[1]26MY_PROLOGUE_DATA'!B:AS,21,FALSE)="","",VLOOKUP(B66,'[1]26MY_PROLOGUE_DATA'!B:AS,21,FALSE))</f>
        <v/>
      </c>
    </row>
    <row r="67" spans="2:17" s="73" customFormat="1" ht="16.5" x14ac:dyDescent="0.25">
      <c r="B67" s="71" t="s">
        <v>64</v>
      </c>
      <c r="C67" s="135" t="str">
        <f>VLOOKUP(B67,'[1]26MY_PROLOGUE_DATA'!B:AS,4,FALSE)</f>
        <v>Pellicule de protection de pare-chocs arrière</v>
      </c>
      <c r="D67" s="78" t="str">
        <f t="shared" si="6"/>
        <v>08P48-PS2-100A</v>
      </c>
      <c r="E67" s="56">
        <f>VLOOKUP(B67,'[1]26MY_PROLOGUE_DATA'!B:AS,9,FALSE)</f>
        <v>84</v>
      </c>
      <c r="F67" s="56">
        <f>VLOOKUP(B67,'[1]26MY_PROLOGUE_DATA'!B:AS,10,FALSE)</f>
        <v>140</v>
      </c>
      <c r="G67" s="57">
        <f>VLOOKUP(B67,'[1]26MY_PROLOGUE_DATA'!B:AS,7,FALSE)</f>
        <v>0.2</v>
      </c>
      <c r="H67" s="58">
        <f>VLOOKUP(B67,'[1]26MY_PROLOGUE_DATA'!B:AS,11,FALSE)</f>
        <v>173</v>
      </c>
      <c r="I67" s="59">
        <f>VLOOKUP(B67,'[1]26MY_PROLOGUE_DATA'!B:AS,12,FALSE)</f>
        <v>0</v>
      </c>
      <c r="J67" s="59" t="str">
        <f>VLOOKUP(B67,'[1]26MY_PROLOGUE_DATA'!B:AS,13,FALSE)</f>
        <v>•</v>
      </c>
      <c r="K67" s="59" t="str">
        <f>VLOOKUP(B67,'[1]26MY_PROLOGUE_DATA'!B:AS,14,FALSE)</f>
        <v>•</v>
      </c>
      <c r="L67" s="59">
        <f>VLOOKUP(B67,'[1]26MY_PROLOGUE_DATA'!B:AS,15,FALSE)</f>
        <v>0</v>
      </c>
      <c r="M67" s="59" t="str">
        <f>VLOOKUP($B67,'[1]26MY_PROLOGUE_DATA'!$B:$AS,16,FALSE)</f>
        <v>•</v>
      </c>
      <c r="N67" s="59">
        <f>VLOOKUP($B67,'[1]26MY_PROLOGUE_DATA'!$B:$AS,17,FALSE)</f>
        <v>0</v>
      </c>
      <c r="O67" s="59">
        <f>VLOOKUP($B67,'[1]26MY_PROLOGUE_DATA'!$B:$AS,18,FALSE)</f>
        <v>0</v>
      </c>
      <c r="P67" s="59">
        <f>VLOOKUP(B67,'[1]26MY_PROLOGUE_DATA'!B:AS,19,FALSE)</f>
        <v>0</v>
      </c>
      <c r="Q67" s="79" t="str">
        <f>IF(VLOOKUP(B67,'[1]26MY_PROLOGUE_DATA'!B:AS,21,FALSE)="","",VLOOKUP(B67,'[1]26MY_PROLOGUE_DATA'!B:AS,21,FALSE))</f>
        <v/>
      </c>
    </row>
    <row r="68" spans="2:17" s="73" customFormat="1" ht="16.5" x14ac:dyDescent="0.25">
      <c r="B68" s="71">
        <v>84933501</v>
      </c>
      <c r="C68" s="135" t="str">
        <f>VLOOKUP(B68,'[1]26MY_PROLOGUE_DATA'!B:AS,4,FALSE)</f>
        <v>Attelage de remorque avec faisceau</v>
      </c>
      <c r="D68" s="80">
        <f t="shared" si="6"/>
        <v>84933501</v>
      </c>
      <c r="E68" s="94">
        <f>VLOOKUP(B68,'[1]26MY_PROLOGUE_DATA'!B:AS,9,FALSE)</f>
        <v>1060</v>
      </c>
      <c r="F68" s="56">
        <f>VLOOKUP(B68,'[1]26MY_PROLOGUE_DATA'!B:AS,10,FALSE)</f>
        <v>1765</v>
      </c>
      <c r="G68" s="57">
        <f>VLOOKUP(B68,'[1]26MY_PROLOGUE_DATA'!B:AS,7,FALSE)</f>
        <v>0.8</v>
      </c>
      <c r="H68" s="95">
        <f>VLOOKUP(B68,'[1]26MY_PROLOGUE_DATA'!B:AS,11,FALSE)</f>
        <v>1897</v>
      </c>
      <c r="I68" s="59">
        <f>VLOOKUP(B68,'[1]26MY_PROLOGUE_DATA'!B:AS,12,FALSE)</f>
        <v>0</v>
      </c>
      <c r="J68" s="59" t="str">
        <f>VLOOKUP(B68,'[1]26MY_PROLOGUE_DATA'!B:AS,13,FALSE)</f>
        <v>•</v>
      </c>
      <c r="K68" s="59" t="str">
        <f>VLOOKUP(B68,'[1]26MY_PROLOGUE_DATA'!B:AS,14,FALSE)</f>
        <v>•</v>
      </c>
      <c r="L68" s="59">
        <f>VLOOKUP(B68,'[1]26MY_PROLOGUE_DATA'!B:AS,15,FALSE)</f>
        <v>0</v>
      </c>
      <c r="M68" s="59" t="str">
        <f>VLOOKUP($B68,'[1]26MY_PROLOGUE_DATA'!$B:$AS,16,FALSE)</f>
        <v>•</v>
      </c>
      <c r="N68" s="59">
        <f>VLOOKUP($B68,'[1]26MY_PROLOGUE_DATA'!$B:$AS,17,FALSE)</f>
        <v>0</v>
      </c>
      <c r="O68" s="59">
        <f>VLOOKUP($B68,'[1]26MY_PROLOGUE_DATA'!$B:$AS,18,FALSE)</f>
        <v>0</v>
      </c>
      <c r="P68" s="59">
        <f>VLOOKUP(B68,'[1]26MY_PROLOGUE_DATA'!B:AS,19,FALSE)</f>
        <v>0</v>
      </c>
      <c r="Q68" s="79" t="str">
        <f>IF(VLOOKUP(B68,'[1]26MY_PROLOGUE_DATA'!B:AS,21,FALSE)="","",VLOOKUP(B68,'[1]26MY_PROLOGUE_DATA'!B:AS,21,FALSE))</f>
        <v/>
      </c>
    </row>
    <row r="69" spans="2:17" s="73" customFormat="1" ht="16.5" x14ac:dyDescent="0.25">
      <c r="B69" s="71" t="s">
        <v>47</v>
      </c>
      <c r="C69" s="135" t="str">
        <f>VLOOKUP(B69,'[1]26MY_PROLOGUE_DATA'!B:AS,4,FALSE)</f>
        <v>Capuchon d’attelage de remorque</v>
      </c>
      <c r="D69" s="78" t="str">
        <f t="shared" si="6"/>
        <v>08F24-PS2-310A</v>
      </c>
      <c r="E69" s="56">
        <f>VLOOKUP(B69,'[1]26MY_PROLOGUE_DATA'!B:AS,9,FALSE)</f>
        <v>115</v>
      </c>
      <c r="F69" s="56">
        <f>VLOOKUP(B69,'[1]26MY_PROLOGUE_DATA'!B:AS,10,FALSE)</f>
        <v>190</v>
      </c>
      <c r="G69" s="57">
        <f>VLOOKUP(B69,'[1]26MY_PROLOGUE_DATA'!B:AS,7,FALSE)</f>
        <v>1.5</v>
      </c>
      <c r="H69" s="58">
        <f>VLOOKUP(B69,'[1]26MY_PROLOGUE_DATA'!B:AS,11,FALSE)</f>
        <v>437.5</v>
      </c>
      <c r="I69" s="59">
        <f>VLOOKUP(B69,'[1]26MY_PROLOGUE_DATA'!B:AS,12,FALSE)</f>
        <v>0</v>
      </c>
      <c r="J69" s="59" t="str">
        <f>VLOOKUP(B69,'[1]26MY_PROLOGUE_DATA'!B:AS,13,FALSE)</f>
        <v>•</v>
      </c>
      <c r="K69" s="59" t="str">
        <f>VLOOKUP(B69,'[1]26MY_PROLOGUE_DATA'!B:AS,14,FALSE)</f>
        <v>•</v>
      </c>
      <c r="L69" s="59">
        <f>VLOOKUP(B69,'[1]26MY_PROLOGUE_DATA'!B:AS,15,FALSE)</f>
        <v>0</v>
      </c>
      <c r="M69" s="59" t="str">
        <f>VLOOKUP($B69,'[1]26MY_PROLOGUE_DATA'!$B:$AS,16,FALSE)</f>
        <v>•</v>
      </c>
      <c r="N69" s="59">
        <f>VLOOKUP($B69,'[1]26MY_PROLOGUE_DATA'!$B:$AS,17,FALSE)</f>
        <v>0</v>
      </c>
      <c r="O69" s="59">
        <f>VLOOKUP($B69,'[1]26MY_PROLOGUE_DATA'!$B:$AS,18,FALSE)</f>
        <v>0</v>
      </c>
      <c r="P69" s="59">
        <f>VLOOKUP(B69,'[1]26MY_PROLOGUE_DATA'!B:AS,19,FALSE)</f>
        <v>0</v>
      </c>
      <c r="Q69" s="79" t="str">
        <f>IF(VLOOKUP(B69,'[1]26MY_PROLOGUE_DATA'!B:AS,21,FALSE)="","",VLOOKUP(B69,'[1]26MY_PROLOGUE_DATA'!B:AS,21,FALSE))</f>
        <v>Capuchon de récepteur d’attelage de remorque non inclus.</v>
      </c>
    </row>
    <row r="70" spans="2:17" s="73" customFormat="1" ht="16.5" x14ac:dyDescent="0.25">
      <c r="B70" s="71" t="s">
        <v>48</v>
      </c>
      <c r="C70" s="135" t="str">
        <f>VLOOKUP(B70,'[1]26MY_PROLOGUE_DATA'!B:AS,4,FALSE)</f>
        <v>Monture de rotule d'attelage de remorque</v>
      </c>
      <c r="D70" s="78" t="str">
        <f t="shared" si="6"/>
        <v>08L92-PS2-100A</v>
      </c>
      <c r="E70" s="56">
        <f>VLOOKUP(B70,'[1]26MY_PROLOGUE_DATA'!B:AS,9,FALSE)</f>
        <v>55</v>
      </c>
      <c r="F70" s="56">
        <f>VLOOKUP(B70,'[1]26MY_PROLOGUE_DATA'!B:AS,10,FALSE)</f>
        <v>92</v>
      </c>
      <c r="G70" s="57">
        <f>VLOOKUP(B70,'[1]26MY_PROLOGUE_DATA'!B:AS,7,FALSE)</f>
        <v>0</v>
      </c>
      <c r="H70" s="58">
        <f>VLOOKUP(B70,'[1]26MY_PROLOGUE_DATA'!B:AS,11,FALSE)</f>
        <v>92</v>
      </c>
      <c r="I70" s="59">
        <f>VLOOKUP(B70,'[1]26MY_PROLOGUE_DATA'!B:AS,12,FALSE)</f>
        <v>0</v>
      </c>
      <c r="J70" s="59" t="str">
        <f>VLOOKUP(B70,'[1]26MY_PROLOGUE_DATA'!B:AS,13,FALSE)</f>
        <v>•</v>
      </c>
      <c r="K70" s="59" t="str">
        <f>VLOOKUP(B70,'[1]26MY_PROLOGUE_DATA'!B:AS,14,FALSE)</f>
        <v>•</v>
      </c>
      <c r="L70" s="59">
        <f>VLOOKUP(B70,'[1]26MY_PROLOGUE_DATA'!B:AS,15,FALSE)</f>
        <v>0</v>
      </c>
      <c r="M70" s="59" t="str">
        <f>VLOOKUP($B70,'[1]26MY_PROLOGUE_DATA'!$B:$AS,16,FALSE)</f>
        <v>•</v>
      </c>
      <c r="N70" s="59">
        <f>VLOOKUP($B70,'[1]26MY_PROLOGUE_DATA'!$B:$AS,17,FALSE)</f>
        <v>0</v>
      </c>
      <c r="O70" s="59">
        <f>VLOOKUP($B70,'[1]26MY_PROLOGUE_DATA'!$B:$AS,18,FALSE)</f>
        <v>0</v>
      </c>
      <c r="P70" s="59">
        <f>VLOOKUP(B70,'[1]26MY_PROLOGUE_DATA'!B:AS,19,FALSE)</f>
        <v>0</v>
      </c>
      <c r="Q70" s="79" t="str">
        <f>IF(VLOOKUP(B70,'[1]26MY_PROLOGUE_DATA'!B:AS,21,FALSE)="","",VLOOKUP(B70,'[1]26MY_PROLOGUE_DATA'!B:AS,21,FALSE))</f>
        <v/>
      </c>
    </row>
    <row r="71" spans="2:17" s="73" customFormat="1" ht="16.5" x14ac:dyDescent="0.25">
      <c r="B71" s="71" t="s">
        <v>49</v>
      </c>
      <c r="C71" s="135" t="str">
        <f>VLOOKUP(B71,'[1]26MY_PROLOGUE_DATA'!B:AS,4,FALSE)</f>
        <v>Goupille de verrouillage d’attelage de remorque</v>
      </c>
      <c r="D71" s="78" t="str">
        <f t="shared" si="6"/>
        <v>08L92-SJC-300A</v>
      </c>
      <c r="E71" s="56">
        <f>VLOOKUP(B71,'[1]26MY_PROLOGUE_DATA'!B:AS,9,FALSE)</f>
        <v>106</v>
      </c>
      <c r="F71" s="56">
        <f>VLOOKUP(B71,'[1]26MY_PROLOGUE_DATA'!B:AS,10,FALSE)</f>
        <v>163</v>
      </c>
      <c r="G71" s="57">
        <f>VLOOKUP(B71,'[1]26MY_PROLOGUE_DATA'!B:AS,7,FALSE)</f>
        <v>0</v>
      </c>
      <c r="H71" s="58">
        <f>VLOOKUP(B71,'[1]26MY_PROLOGUE_DATA'!B:AS,11,FALSE)</f>
        <v>163</v>
      </c>
      <c r="I71" s="59">
        <f>VLOOKUP(B71,'[1]26MY_PROLOGUE_DATA'!B:AS,12,FALSE)</f>
        <v>0</v>
      </c>
      <c r="J71" s="59" t="str">
        <f>VLOOKUP(B71,'[1]26MY_PROLOGUE_DATA'!B:AS,13,FALSE)</f>
        <v>•</v>
      </c>
      <c r="K71" s="59" t="str">
        <f>VLOOKUP(B71,'[1]26MY_PROLOGUE_DATA'!B:AS,14,FALSE)</f>
        <v>•</v>
      </c>
      <c r="L71" s="59">
        <f>VLOOKUP(B71,'[1]26MY_PROLOGUE_DATA'!B:AS,15,FALSE)</f>
        <v>0</v>
      </c>
      <c r="M71" s="59" t="str">
        <f>VLOOKUP($B71,'[1]26MY_PROLOGUE_DATA'!$B:$AS,16,FALSE)</f>
        <v>•</v>
      </c>
      <c r="N71" s="59">
        <f>VLOOKUP($B71,'[1]26MY_PROLOGUE_DATA'!$B:$AS,17,FALSE)</f>
        <v>0</v>
      </c>
      <c r="O71" s="59">
        <f>VLOOKUP($B71,'[1]26MY_PROLOGUE_DATA'!$B:$AS,18,FALSE)</f>
        <v>0</v>
      </c>
      <c r="P71" s="59">
        <f>VLOOKUP(B71,'[1]26MY_PROLOGUE_DATA'!B:AS,19,FALSE)</f>
        <v>0</v>
      </c>
      <c r="Q71" s="79" t="str">
        <f>IF(VLOOKUP(B71,'[1]26MY_PROLOGUE_DATA'!B:AS,21,FALSE)="","",VLOOKUP(B71,'[1]26MY_PROLOGUE_DATA'!B:AS,21,FALSE))</f>
        <v/>
      </c>
    </row>
    <row r="72" spans="2:17" s="73" customFormat="1" ht="16.5" x14ac:dyDescent="0.25">
      <c r="B72" s="71" t="s">
        <v>65</v>
      </c>
      <c r="C72" s="135" t="str">
        <f>VLOOKUP(B72,'[1]26MY_PROLOGUE_DATA'!B:AS,4,FALSE)</f>
        <v>Rotule d'attelage de 1 7/8 po</v>
      </c>
      <c r="D72" s="78" t="str">
        <f t="shared" si="6"/>
        <v>08L92-S9V-300G</v>
      </c>
      <c r="E72" s="56">
        <f>VLOOKUP(B72,'[1]26MY_PROLOGUE_DATA'!B:AS,9,FALSE)</f>
        <v>28</v>
      </c>
      <c r="F72" s="56">
        <f>VLOOKUP(B72,'[1]26MY_PROLOGUE_DATA'!B:AS,10,FALSE)</f>
        <v>47</v>
      </c>
      <c r="G72" s="57">
        <f>VLOOKUP(B72,'[1]26MY_PROLOGUE_DATA'!B:AS,7,FALSE)</f>
        <v>0</v>
      </c>
      <c r="H72" s="58">
        <f>VLOOKUP(B72,'[1]26MY_PROLOGUE_DATA'!B:AS,11,FALSE)</f>
        <v>47</v>
      </c>
      <c r="I72" s="59">
        <f>VLOOKUP(B72,'[1]26MY_PROLOGUE_DATA'!B:AS,12,FALSE)</f>
        <v>0</v>
      </c>
      <c r="J72" s="59" t="str">
        <f>VLOOKUP(B72,'[1]26MY_PROLOGUE_DATA'!B:AS,13,FALSE)</f>
        <v>•</v>
      </c>
      <c r="K72" s="59" t="str">
        <f>VLOOKUP(B72,'[1]26MY_PROLOGUE_DATA'!B:AS,14,FALSE)</f>
        <v>•</v>
      </c>
      <c r="L72" s="59">
        <f>VLOOKUP(B72,'[1]26MY_PROLOGUE_DATA'!B:AS,15,FALSE)</f>
        <v>0</v>
      </c>
      <c r="M72" s="59" t="str">
        <f>VLOOKUP($B72,'[1]26MY_PROLOGUE_DATA'!$B:$AS,16,FALSE)</f>
        <v>•</v>
      </c>
      <c r="N72" s="59">
        <f>VLOOKUP($B72,'[1]26MY_PROLOGUE_DATA'!$B:$AS,17,FALSE)</f>
        <v>0</v>
      </c>
      <c r="O72" s="59">
        <f>VLOOKUP($B72,'[1]26MY_PROLOGUE_DATA'!$B:$AS,18,FALSE)</f>
        <v>0</v>
      </c>
      <c r="P72" s="59">
        <f>VLOOKUP(B72,'[1]26MY_PROLOGUE_DATA'!B:AS,19,FALSE)</f>
        <v>0</v>
      </c>
      <c r="Q72" s="79" t="str">
        <f>IF(VLOOKUP(B72,'[1]26MY_PROLOGUE_DATA'!B:AS,21,FALSE)="","",VLOOKUP(B72,'[1]26MY_PROLOGUE_DATA'!B:AS,21,FALSE))</f>
        <v/>
      </c>
    </row>
    <row r="73" spans="2:17" s="73" customFormat="1" ht="16.5" x14ac:dyDescent="0.25">
      <c r="B73" s="71" t="s">
        <v>66</v>
      </c>
      <c r="C73" s="135" t="str">
        <f>VLOOKUP(B73,'[1]26MY_PROLOGUE_DATA'!B:AS,4,FALSE)</f>
        <v>Rotule d'attelage de 2 po</v>
      </c>
      <c r="D73" s="78" t="str">
        <f t="shared" si="6"/>
        <v>08L92-S9V-300H</v>
      </c>
      <c r="E73" s="56">
        <f>VLOOKUP(B73,'[1]26MY_PROLOGUE_DATA'!B:AS,9,FALSE)</f>
        <v>28</v>
      </c>
      <c r="F73" s="56">
        <f>VLOOKUP(B73,'[1]26MY_PROLOGUE_DATA'!B:AS,10,FALSE)</f>
        <v>47</v>
      </c>
      <c r="G73" s="57">
        <f>VLOOKUP(B73,'[1]26MY_PROLOGUE_DATA'!B:AS,7,FALSE)</f>
        <v>0</v>
      </c>
      <c r="H73" s="58">
        <f>VLOOKUP(B73,'[1]26MY_PROLOGUE_DATA'!B:AS,11,FALSE)</f>
        <v>47</v>
      </c>
      <c r="I73" s="59">
        <f>VLOOKUP(B73,'[1]26MY_PROLOGUE_DATA'!B:AS,12,FALSE)</f>
        <v>0</v>
      </c>
      <c r="J73" s="59" t="str">
        <f>VLOOKUP(B73,'[1]26MY_PROLOGUE_DATA'!B:AS,13,FALSE)</f>
        <v>•</v>
      </c>
      <c r="K73" s="59" t="str">
        <f>VLOOKUP(B73,'[1]26MY_PROLOGUE_DATA'!B:AS,14,FALSE)</f>
        <v>•</v>
      </c>
      <c r="L73" s="59">
        <f>VLOOKUP(B73,'[1]26MY_PROLOGUE_DATA'!B:AS,15,FALSE)</f>
        <v>0</v>
      </c>
      <c r="M73" s="59" t="str">
        <f>VLOOKUP($B73,'[1]26MY_PROLOGUE_DATA'!$B:$AS,16,FALSE)</f>
        <v>•</v>
      </c>
      <c r="N73" s="59">
        <f>VLOOKUP($B73,'[1]26MY_PROLOGUE_DATA'!$B:$AS,17,FALSE)</f>
        <v>0</v>
      </c>
      <c r="O73" s="59">
        <f>VLOOKUP($B73,'[1]26MY_PROLOGUE_DATA'!$B:$AS,18,FALSE)</f>
        <v>0</v>
      </c>
      <c r="P73" s="59">
        <f>VLOOKUP(B73,'[1]26MY_PROLOGUE_DATA'!B:AS,19,FALSE)</f>
        <v>0</v>
      </c>
      <c r="Q73" s="79" t="str">
        <f>IF(VLOOKUP(B73,'[1]26MY_PROLOGUE_DATA'!B:AS,21,FALSE)="","",VLOOKUP(B73,'[1]26MY_PROLOGUE_DATA'!B:AS,21,FALSE))</f>
        <v/>
      </c>
    </row>
    <row r="74" spans="2:17" s="73" customFormat="1" ht="16.5" x14ac:dyDescent="0.25">
      <c r="B74" s="71" t="s">
        <v>67</v>
      </c>
      <c r="C74" s="135" t="str">
        <f>VLOOKUP(B74,'[1]26MY_PROLOGUE_DATA'!B:AS,4,FALSE)</f>
        <v>Barres transversales</v>
      </c>
      <c r="D74" s="78" t="str">
        <f t="shared" si="6"/>
        <v>08L04-PS2-300</v>
      </c>
      <c r="E74" s="56">
        <f>VLOOKUP(B74,'[1]26MY_PROLOGUE_DATA'!B:AS,9,FALSE)</f>
        <v>509</v>
      </c>
      <c r="F74" s="56">
        <f>VLOOKUP(B74,'[1]26MY_PROLOGUE_DATA'!B:AS,10,FALSE)</f>
        <v>848</v>
      </c>
      <c r="G74" s="57">
        <f>VLOOKUP(B74,'[1]26MY_PROLOGUE_DATA'!B:AS,7,FALSE)</f>
        <v>0.3</v>
      </c>
      <c r="H74" s="58">
        <f>VLOOKUP(B74,'[1]26MY_PROLOGUE_DATA'!B:AS,11,FALSE)</f>
        <v>897.5</v>
      </c>
      <c r="I74" s="59">
        <f>VLOOKUP(B74,'[1]26MY_PROLOGUE_DATA'!B:AS,12,FALSE)</f>
        <v>0</v>
      </c>
      <c r="J74" s="59" t="str">
        <f>VLOOKUP(B74,'[1]26MY_PROLOGUE_DATA'!B:AS,13,FALSE)</f>
        <v>N/A</v>
      </c>
      <c r="K74" s="59" t="str">
        <f>VLOOKUP(B74,'[1]26MY_PROLOGUE_DATA'!B:AS,14,FALSE)</f>
        <v>•</v>
      </c>
      <c r="L74" s="59">
        <f>VLOOKUP(B74,'[1]26MY_PROLOGUE_DATA'!B:AS,15,FALSE)</f>
        <v>0</v>
      </c>
      <c r="M74" s="59" t="str">
        <f>VLOOKUP($B74,'[1]26MY_PROLOGUE_DATA'!$B:$AS,16,FALSE)</f>
        <v>•</v>
      </c>
      <c r="N74" s="59">
        <f>VLOOKUP($B74,'[1]26MY_PROLOGUE_DATA'!$B:$AS,17,FALSE)</f>
        <v>0</v>
      </c>
      <c r="O74" s="59">
        <f>VLOOKUP($B74,'[1]26MY_PROLOGUE_DATA'!$B:$AS,18,FALSE)</f>
        <v>0</v>
      </c>
      <c r="P74" s="59">
        <f>VLOOKUP(B74,'[1]26MY_PROLOGUE_DATA'!B:AS,19,FALSE)</f>
        <v>0</v>
      </c>
      <c r="Q74" s="79" t="str">
        <f>IF(VLOOKUP(B74,'[1]26MY_PROLOGUE_DATA'!B:AS,21,FALSE)="","",VLOOKUP(B74,'[1]26MY_PROLOGUE_DATA'!B:AS,21,FALSE))</f>
        <v/>
      </c>
    </row>
    <row r="75" spans="2:17" s="73" customFormat="1" ht="15" customHeight="1" x14ac:dyDescent="0.25">
      <c r="B75" s="71" t="s">
        <v>68</v>
      </c>
      <c r="C75" s="89" t="str">
        <f>VLOOKUP(B75,'[1]26MY_PROLOGUE_DATA'!B:AS,4,FALSE)</f>
        <v>Accessoires de toit</v>
      </c>
      <c r="D75" s="90"/>
      <c r="E75" s="90"/>
      <c r="F75" s="90"/>
      <c r="G75" s="90"/>
      <c r="H75" s="90"/>
      <c r="I75" s="90"/>
      <c r="J75" s="90"/>
      <c r="K75" s="90"/>
      <c r="L75" s="90"/>
      <c r="M75" s="90"/>
      <c r="N75" s="90"/>
      <c r="O75" s="90"/>
      <c r="P75" s="90"/>
      <c r="Q75" s="65" t="str">
        <f>IF(VLOOKUP(B75,'[1]26MY_PROLOGUE_DATA'!B:AS,35,FALSE)="","",VLOOKUP(B75,'[1]26MY_PROLOGUE_DATA'!B:AS,35,FALSE))</f>
        <v/>
      </c>
    </row>
    <row r="76" spans="2:17" s="73" customFormat="1" ht="15" customHeight="1" x14ac:dyDescent="0.25">
      <c r="B76" s="71" t="s">
        <v>69</v>
      </c>
      <c r="C76" s="62" t="str">
        <f>VLOOKUP(B76,'[1]26MY_PROLOGUE_DATA'!B:AS,4,FALSE)</f>
        <v>Galerie de toit, Fixation pour skis/planche à neige</v>
      </c>
      <c r="D76" s="78" t="str">
        <f t="shared" si="6"/>
        <v>08L03-E09-300C</v>
      </c>
      <c r="E76" s="56">
        <f>VLOOKUP(B76,'[1]26MY_PROLOGUE_DATA'!B:AS,9,FALSE)</f>
        <v>415</v>
      </c>
      <c r="F76" s="56">
        <f>VLOOKUP(B76,'[1]26MY_PROLOGUE_DATA'!B:AS,10,FALSE)</f>
        <v>692</v>
      </c>
      <c r="G76" s="57">
        <f>VLOOKUP(B76,'[1]26MY_PROLOGUE_DATA'!B:AS,7,FALSE)</f>
        <v>0.2</v>
      </c>
      <c r="H76" s="58">
        <f>VLOOKUP(B76,'[1]26MY_PROLOGUE_DATA'!B:AS,11,FALSE)</f>
        <v>725</v>
      </c>
      <c r="I76" s="59">
        <f>VLOOKUP(B76,'[1]26MY_PROLOGUE_DATA'!B:AS,12,FALSE)</f>
        <v>0</v>
      </c>
      <c r="J76" s="59" t="str">
        <f>VLOOKUP(B76,'[1]26MY_PROLOGUE_DATA'!B:AS,13,FALSE)</f>
        <v>N/A</v>
      </c>
      <c r="K76" s="59" t="str">
        <f>VLOOKUP(B76,'[1]26MY_PROLOGUE_DATA'!B:AS,14,FALSE)</f>
        <v>•</v>
      </c>
      <c r="L76" s="59">
        <f>VLOOKUP(B76,'[1]26MY_PROLOGUE_DATA'!B:AS,15,FALSE)</f>
        <v>0</v>
      </c>
      <c r="M76" s="59" t="str">
        <f>VLOOKUP($B76,'[1]26MY_PROLOGUE_DATA'!$B:$AS,16,FALSE)</f>
        <v>•</v>
      </c>
      <c r="N76" s="59">
        <f>VLOOKUP($B76,'[1]26MY_PROLOGUE_DATA'!$B:$AS,17,FALSE)</f>
        <v>0</v>
      </c>
      <c r="O76" s="59">
        <f>VLOOKUP($B76,'[1]26MY_PROLOGUE_DATA'!$B:$AS,18,FALSE)</f>
        <v>0</v>
      </c>
      <c r="P76" s="59">
        <f>VLOOKUP(B76,'[1]26MY_PROLOGUE_DATA'!B:AS,19,FALSE)</f>
        <v>0</v>
      </c>
      <c r="Q76" s="147" t="str">
        <f>IF(VLOOKUP(B76,'[1]26MY_PROLOGUE_DATA'!B:AS,21,FALSE)="","",VLOOKUP(B76,'[1]26MY_PROLOGUE_DATA'!B:AS,21,FALSE))</f>
        <v>Nécessite des Barres transversales</v>
      </c>
    </row>
    <row r="77" spans="2:17" s="73" customFormat="1" ht="15" customHeight="1" x14ac:dyDescent="0.25">
      <c r="B77" s="71" t="s">
        <v>70</v>
      </c>
      <c r="C77" s="62" t="str">
        <f>VLOOKUP(B77,'[1]26MY_PROLOGUE_DATA'!B:AS,4,FALSE)</f>
        <v>Support à vélo vertical pour porte-bagages de toit</v>
      </c>
      <c r="D77" s="78" t="str">
        <f t="shared" si="6"/>
        <v>08L07-E09-101</v>
      </c>
      <c r="E77" s="56">
        <f>VLOOKUP(B77,'[1]26MY_PROLOGUE_DATA'!B:AS,9,FALSE)</f>
        <v>383</v>
      </c>
      <c r="F77" s="56">
        <f>VLOOKUP(B77,'[1]26MY_PROLOGUE_DATA'!B:AS,10,FALSE)</f>
        <v>547</v>
      </c>
      <c r="G77" s="57">
        <f>VLOOKUP(B77,'[1]26MY_PROLOGUE_DATA'!B:AS,7,FALSE)</f>
        <v>0.6</v>
      </c>
      <c r="H77" s="58">
        <f>VLOOKUP(B77,'[1]26MY_PROLOGUE_DATA'!B:AS,11,FALSE)</f>
        <v>646</v>
      </c>
      <c r="I77" s="59">
        <f>VLOOKUP(B77,'[1]26MY_PROLOGUE_DATA'!B:AS,12,FALSE)</f>
        <v>0</v>
      </c>
      <c r="J77" s="59" t="str">
        <f>VLOOKUP(B77,'[1]26MY_PROLOGUE_DATA'!B:AS,13,FALSE)</f>
        <v>N/A</v>
      </c>
      <c r="K77" s="59" t="str">
        <f>VLOOKUP(B77,'[1]26MY_PROLOGUE_DATA'!B:AS,14,FALSE)</f>
        <v>•</v>
      </c>
      <c r="L77" s="59">
        <f>VLOOKUP(B77,'[1]26MY_PROLOGUE_DATA'!B:AS,15,FALSE)</f>
        <v>0</v>
      </c>
      <c r="M77" s="59" t="str">
        <f>VLOOKUP($B77,'[1]26MY_PROLOGUE_DATA'!$B:$AS,16,FALSE)</f>
        <v>•</v>
      </c>
      <c r="N77" s="59">
        <f>VLOOKUP($B77,'[1]26MY_PROLOGUE_DATA'!$B:$AS,17,FALSE)</f>
        <v>0</v>
      </c>
      <c r="O77" s="59">
        <f>VLOOKUP($B77,'[1]26MY_PROLOGUE_DATA'!$B:$AS,18,FALSE)</f>
        <v>0</v>
      </c>
      <c r="P77" s="59">
        <f>VLOOKUP(B77,'[1]26MY_PROLOGUE_DATA'!B:AS,19,FALSE)</f>
        <v>0</v>
      </c>
      <c r="Q77" s="148"/>
    </row>
    <row r="78" spans="2:17" s="73" customFormat="1" ht="15" customHeight="1" x14ac:dyDescent="0.25">
      <c r="B78" s="71" t="s">
        <v>71</v>
      </c>
      <c r="C78" s="62" t="str">
        <f>VLOOKUP(B78,'[1]26MY_PROLOGUE_DATA'!B:AS,4,FALSE)</f>
        <v>Fixation pour bicyclette – Ancrage de fourche</v>
      </c>
      <c r="D78" s="78" t="str">
        <f t="shared" si="6"/>
        <v>08L07-E09-300A</v>
      </c>
      <c r="E78" s="56">
        <f>VLOOKUP(B78,'[1]26MY_PROLOGUE_DATA'!B:AS,9,FALSE)</f>
        <v>292</v>
      </c>
      <c r="F78" s="56">
        <f>VLOOKUP(B78,'[1]26MY_PROLOGUE_DATA'!B:AS,10,FALSE)</f>
        <v>487</v>
      </c>
      <c r="G78" s="57">
        <f>VLOOKUP(B78,'[1]26MY_PROLOGUE_DATA'!B:AS,7,FALSE)</f>
        <v>0.4</v>
      </c>
      <c r="H78" s="58">
        <f>VLOOKUP(B78,'[1]26MY_PROLOGUE_DATA'!B:AS,11,FALSE)</f>
        <v>553</v>
      </c>
      <c r="I78" s="59">
        <f>VLOOKUP(B78,'[1]26MY_PROLOGUE_DATA'!B:AS,12,FALSE)</f>
        <v>0</v>
      </c>
      <c r="J78" s="59" t="str">
        <f>VLOOKUP(B78,'[1]26MY_PROLOGUE_DATA'!B:AS,13,FALSE)</f>
        <v>N/A</v>
      </c>
      <c r="K78" s="59" t="str">
        <f>VLOOKUP(B78,'[1]26MY_PROLOGUE_DATA'!B:AS,14,FALSE)</f>
        <v>•</v>
      </c>
      <c r="L78" s="59">
        <f>VLOOKUP(B78,'[1]26MY_PROLOGUE_DATA'!B:AS,15,FALSE)</f>
        <v>0</v>
      </c>
      <c r="M78" s="59" t="str">
        <f>VLOOKUP($B78,'[1]26MY_PROLOGUE_DATA'!$B:$AS,16,FALSE)</f>
        <v>•</v>
      </c>
      <c r="N78" s="59">
        <f>VLOOKUP($B78,'[1]26MY_PROLOGUE_DATA'!$B:$AS,17,FALSE)</f>
        <v>0</v>
      </c>
      <c r="O78" s="59">
        <f>VLOOKUP($B78,'[1]26MY_PROLOGUE_DATA'!$B:$AS,18,FALSE)</f>
        <v>0</v>
      </c>
      <c r="P78" s="59">
        <f>VLOOKUP(B78,'[1]26MY_PROLOGUE_DATA'!B:AS,19,FALSE)</f>
        <v>0</v>
      </c>
      <c r="Q78" s="148"/>
    </row>
    <row r="79" spans="2:17" s="73" customFormat="1" ht="15" customHeight="1" x14ac:dyDescent="0.25">
      <c r="B79" s="71" t="s">
        <v>72</v>
      </c>
      <c r="C79" s="62" t="str">
        <f>VLOOKUP(B79,'[1]26MY_PROLOGUE_DATA'!B:AS,4,FALSE)</f>
        <v>Boîte de toit courte</v>
      </c>
      <c r="D79" s="78" t="str">
        <f t="shared" si="6"/>
        <v>08L20-E09-300B</v>
      </c>
      <c r="E79" s="56">
        <f>VLOOKUP(B79,'[1]26MY_PROLOGUE_DATA'!B:AS,9,FALSE)</f>
        <v>799</v>
      </c>
      <c r="F79" s="56">
        <f>VLOOKUP(B79,'[1]26MY_PROLOGUE_DATA'!B:AS,10,FALSE)</f>
        <v>1332</v>
      </c>
      <c r="G79" s="57">
        <f>VLOOKUP(B79,'[1]26MY_PROLOGUE_DATA'!B:AS,7,FALSE)</f>
        <v>0.2</v>
      </c>
      <c r="H79" s="58">
        <f>VLOOKUP(B79,'[1]26MY_PROLOGUE_DATA'!B:AS,11,FALSE)</f>
        <v>1365</v>
      </c>
      <c r="I79" s="59">
        <f>VLOOKUP(B79,'[1]26MY_PROLOGUE_DATA'!B:AS,12,FALSE)</f>
        <v>0</v>
      </c>
      <c r="J79" s="59" t="str">
        <f>VLOOKUP(B79,'[1]26MY_PROLOGUE_DATA'!B:AS,13,FALSE)</f>
        <v>N/A</v>
      </c>
      <c r="K79" s="59" t="str">
        <f>VLOOKUP(B79,'[1]26MY_PROLOGUE_DATA'!B:AS,14,FALSE)</f>
        <v>•</v>
      </c>
      <c r="L79" s="59">
        <f>VLOOKUP(B79,'[1]26MY_PROLOGUE_DATA'!B:AS,15,FALSE)</f>
        <v>0</v>
      </c>
      <c r="M79" s="59" t="str">
        <f>VLOOKUP($B79,'[1]26MY_PROLOGUE_DATA'!$B:$AS,16,FALSE)</f>
        <v>•</v>
      </c>
      <c r="N79" s="59">
        <f>VLOOKUP($B79,'[1]26MY_PROLOGUE_DATA'!$B:$AS,17,FALSE)</f>
        <v>0</v>
      </c>
      <c r="O79" s="59">
        <f>VLOOKUP($B79,'[1]26MY_PROLOGUE_DATA'!$B:$AS,18,FALSE)</f>
        <v>0</v>
      </c>
      <c r="P79" s="59">
        <f>VLOOKUP(B79,'[1]26MY_PROLOGUE_DATA'!B:AS,19,FALSE)</f>
        <v>0</v>
      </c>
      <c r="Q79" s="148"/>
    </row>
    <row r="80" spans="2:17" s="73" customFormat="1" ht="15" customHeight="1" x14ac:dyDescent="0.25">
      <c r="B80" s="71" t="s">
        <v>73</v>
      </c>
      <c r="C80" s="62" t="str">
        <f>VLOOKUP(B80,'[1]26MY_PROLOGUE_DATA'!B:AS,4,FALSE)</f>
        <v>Boîte de toit – longue</v>
      </c>
      <c r="D80" s="78" t="str">
        <f t="shared" si="6"/>
        <v>08L20-E09-300A</v>
      </c>
      <c r="E80" s="56">
        <f>VLOOKUP(B80,'[1]26MY_PROLOGUE_DATA'!B:AS,9,FALSE)</f>
        <v>875</v>
      </c>
      <c r="F80" s="56">
        <f>VLOOKUP(B80,'[1]26MY_PROLOGUE_DATA'!B:AS,10,FALSE)</f>
        <v>1458</v>
      </c>
      <c r="G80" s="57">
        <f>VLOOKUP(B80,'[1]26MY_PROLOGUE_DATA'!B:AS,7,FALSE)</f>
        <v>0.2</v>
      </c>
      <c r="H80" s="58">
        <f>VLOOKUP(B80,'[1]26MY_PROLOGUE_DATA'!B:AS,11,FALSE)</f>
        <v>1491</v>
      </c>
      <c r="I80" s="59">
        <f>VLOOKUP(B80,'[1]26MY_PROLOGUE_DATA'!B:AS,12,FALSE)</f>
        <v>0</v>
      </c>
      <c r="J80" s="59" t="str">
        <f>VLOOKUP(B80,'[1]26MY_PROLOGUE_DATA'!B:AS,13,FALSE)</f>
        <v>N/A</v>
      </c>
      <c r="K80" s="59" t="str">
        <f>VLOOKUP(B80,'[1]26MY_PROLOGUE_DATA'!B:AS,14,FALSE)</f>
        <v>•</v>
      </c>
      <c r="L80" s="59">
        <f>VLOOKUP(B80,'[1]26MY_PROLOGUE_DATA'!B:AS,15,FALSE)</f>
        <v>0</v>
      </c>
      <c r="M80" s="59" t="str">
        <f>VLOOKUP($B80,'[1]26MY_PROLOGUE_DATA'!$B:$AS,16,FALSE)</f>
        <v>•</v>
      </c>
      <c r="N80" s="59">
        <f>VLOOKUP($B80,'[1]26MY_PROLOGUE_DATA'!$B:$AS,17,FALSE)</f>
        <v>0</v>
      </c>
      <c r="O80" s="59">
        <f>VLOOKUP($B80,'[1]26MY_PROLOGUE_DATA'!$B:$AS,18,FALSE)</f>
        <v>0</v>
      </c>
      <c r="P80" s="59">
        <f>VLOOKUP(B80,'[1]26MY_PROLOGUE_DATA'!B:AS,19,FALSE)</f>
        <v>0</v>
      </c>
      <c r="Q80" s="148"/>
    </row>
    <row r="81" spans="2:17" s="73" customFormat="1" ht="16.5" x14ac:dyDescent="0.25">
      <c r="B81" s="71" t="s">
        <v>74</v>
      </c>
      <c r="C81" s="62" t="str">
        <f>VLOOKUP(B81,'[1]26MY_PROLOGUE_DATA'!B:AS,4,FALSE)</f>
        <v>Panier de toit</v>
      </c>
      <c r="D81" s="78" t="str">
        <f t="shared" si="6"/>
        <v>08L20-E09-101C</v>
      </c>
      <c r="E81" s="56">
        <f>VLOOKUP(B81,'[1]26MY_PROLOGUE_DATA'!B:AS,9,FALSE)</f>
        <v>571</v>
      </c>
      <c r="F81" s="56">
        <f>VLOOKUP(B81,'[1]26MY_PROLOGUE_DATA'!B:AS,10,FALSE)</f>
        <v>952</v>
      </c>
      <c r="G81" s="57">
        <f>VLOOKUP(B81,'[1]26MY_PROLOGUE_DATA'!B:AS,7,FALSE)</f>
        <v>0.4</v>
      </c>
      <c r="H81" s="58">
        <f>VLOOKUP(B81,'[1]26MY_PROLOGUE_DATA'!B:AS,11,FALSE)</f>
        <v>1018</v>
      </c>
      <c r="I81" s="59">
        <f>VLOOKUP(B81,'[1]26MY_PROLOGUE_DATA'!B:AS,12,FALSE)</f>
        <v>0</v>
      </c>
      <c r="J81" s="59" t="str">
        <f>VLOOKUP(B81,'[1]26MY_PROLOGUE_DATA'!B:AS,13,FALSE)</f>
        <v>N/A</v>
      </c>
      <c r="K81" s="59" t="str">
        <f>VLOOKUP(B81,'[1]26MY_PROLOGUE_DATA'!B:AS,14,FALSE)</f>
        <v>•</v>
      </c>
      <c r="L81" s="59">
        <f>VLOOKUP(B81,'[1]26MY_PROLOGUE_DATA'!B:AS,15,FALSE)</f>
        <v>0</v>
      </c>
      <c r="M81" s="59" t="str">
        <f>VLOOKUP($B81,'[1]26MY_PROLOGUE_DATA'!$B:$AS,16,FALSE)</f>
        <v>•</v>
      </c>
      <c r="N81" s="59">
        <f>VLOOKUP($B81,'[1]26MY_PROLOGUE_DATA'!$B:$AS,17,FALSE)</f>
        <v>0</v>
      </c>
      <c r="O81" s="59">
        <f>VLOOKUP($B81,'[1]26MY_PROLOGUE_DATA'!$B:$AS,18,FALSE)</f>
        <v>0</v>
      </c>
      <c r="P81" s="59">
        <f>VLOOKUP(B81,'[1]26MY_PROLOGUE_DATA'!B:AS,19,FALSE)</f>
        <v>0</v>
      </c>
      <c r="Q81" s="149"/>
    </row>
    <row r="82" spans="2:17" s="73" customFormat="1" ht="16.5" x14ac:dyDescent="0.25">
      <c r="B82" s="71" t="s">
        <v>75</v>
      </c>
      <c r="C82" s="135" t="str">
        <f>VLOOKUP(B82,'[1]26MY_PROLOGUE_DATA'!B:AS,4,FALSE)</f>
        <v>Tente</v>
      </c>
      <c r="D82" s="78" t="str">
        <f t="shared" si="6"/>
        <v>08Z04-SCV-110B</v>
      </c>
      <c r="E82" s="56">
        <f>VLOOKUP(B82,'[1]26MY_PROLOGUE_DATA'!B:AS,9,FALSE)</f>
        <v>477</v>
      </c>
      <c r="F82" s="56">
        <f>VLOOKUP(B82,'[1]26MY_PROLOGUE_DATA'!B:AS,10,FALSE)</f>
        <v>681</v>
      </c>
      <c r="G82" s="57">
        <f>VLOOKUP(B82,'[1]26MY_PROLOGUE_DATA'!B:AS,7,FALSE)</f>
        <v>0</v>
      </c>
      <c r="H82" s="58">
        <f>VLOOKUP(B82,'[1]26MY_PROLOGUE_DATA'!B:AS,11,FALSE)</f>
        <v>681</v>
      </c>
      <c r="I82" s="59">
        <f>VLOOKUP(B82,'[1]26MY_PROLOGUE_DATA'!B:AS,12,FALSE)</f>
        <v>0</v>
      </c>
      <c r="J82" s="59" t="str">
        <f>VLOOKUP(B82,'[1]26MY_PROLOGUE_DATA'!B:AS,13,FALSE)</f>
        <v>•</v>
      </c>
      <c r="K82" s="59" t="str">
        <f>VLOOKUP(B82,'[1]26MY_PROLOGUE_DATA'!B:AS,14,FALSE)</f>
        <v>•</v>
      </c>
      <c r="L82" s="59">
        <f>VLOOKUP(B82,'[1]26MY_PROLOGUE_DATA'!B:AS,15,FALSE)</f>
        <v>0</v>
      </c>
      <c r="M82" s="59" t="str">
        <f>VLOOKUP($B82,'[1]26MY_PROLOGUE_DATA'!$B:$AS,16,FALSE)</f>
        <v>•</v>
      </c>
      <c r="N82" s="59">
        <f>VLOOKUP($B82,'[1]26MY_PROLOGUE_DATA'!$B:$AS,17,FALSE)</f>
        <v>0</v>
      </c>
      <c r="O82" s="59">
        <f>VLOOKUP($B82,'[1]26MY_PROLOGUE_DATA'!$B:$AS,18,FALSE)</f>
        <v>0</v>
      </c>
      <c r="P82" s="59">
        <f>VLOOKUP(B82,'[1]26MY_PROLOGUE_DATA'!B:AS,19,FALSE)</f>
        <v>0</v>
      </c>
      <c r="Q82" s="79" t="str">
        <f>IF(VLOOKUP(B82,'[1]26MY_PROLOGUE_DATA'!B:AS,21,FALSE)="","",VLOOKUP(B82,'[1]26MY_PROLOGUE_DATA'!B:AS,21,FALSE))</f>
        <v/>
      </c>
    </row>
    <row r="83" spans="2:17" s="73" customFormat="1" ht="15" customHeight="1" x14ac:dyDescent="0.25">
      <c r="B83" s="71" t="s">
        <v>76</v>
      </c>
      <c r="C83" s="89" t="str">
        <f>VLOOKUP(B83,'[1]26MY_PROLOGUE_DATA'!B:AS,4,FALSE)</f>
        <v>Moulure latérale</v>
      </c>
      <c r="D83" s="90"/>
      <c r="E83" s="90"/>
      <c r="F83" s="90"/>
      <c r="G83" s="90"/>
      <c r="H83" s="90"/>
      <c r="I83" s="90"/>
      <c r="J83" s="90"/>
      <c r="K83" s="90"/>
      <c r="L83" s="90"/>
      <c r="M83" s="90"/>
      <c r="N83" s="90"/>
      <c r="O83" s="90"/>
      <c r="P83" s="90"/>
      <c r="Q83" s="65"/>
    </row>
    <row r="84" spans="2:17" s="73" customFormat="1" ht="15" customHeight="1" x14ac:dyDescent="0.25">
      <c r="B84" s="71" t="s">
        <v>77</v>
      </c>
      <c r="C84" s="62" t="str">
        <f>VLOOKUP(B84,'[1]26MY_PROLOGUE_DATA'!B:AS,4,FALSE)</f>
        <v>Blanc platine nacré (NH-883P)</v>
      </c>
      <c r="D84" s="78" t="str">
        <f t="shared" ref="D84:D90" si="7">B84</f>
        <v>08P20-PS2-120A</v>
      </c>
      <c r="E84" s="56">
        <f>VLOOKUP(B84,'[1]26MY_PROLOGUE_DATA'!B:AS,9,FALSE)</f>
        <v>159</v>
      </c>
      <c r="F84" s="56">
        <f>VLOOKUP(B84,'[1]26MY_PROLOGUE_DATA'!B:AS,10,FALSE)</f>
        <v>265</v>
      </c>
      <c r="G84" s="57">
        <f>VLOOKUP(B84,'[1]26MY_PROLOGUE_DATA'!B:AS,7,FALSE)</f>
        <v>0.4</v>
      </c>
      <c r="H84" s="58">
        <f>VLOOKUP(B84,'[1]26MY_PROLOGUE_DATA'!B:AS,11,FALSE)</f>
        <v>331</v>
      </c>
      <c r="I84" s="59">
        <f>VLOOKUP(B84,'[1]26MY_PROLOGUE_DATA'!B:AS,12,FALSE)</f>
        <v>0</v>
      </c>
      <c r="J84" s="59" t="str">
        <f>VLOOKUP(B84,'[1]26MY_PROLOGUE_DATA'!B:AS,13,FALSE)</f>
        <v>•</v>
      </c>
      <c r="K84" s="59" t="str">
        <f>VLOOKUP(B84,'[1]26MY_PROLOGUE_DATA'!B:AS,14,FALSE)</f>
        <v>•</v>
      </c>
      <c r="L84" s="59">
        <f>VLOOKUP(B84,'[1]26MY_PROLOGUE_DATA'!B:AS,15,FALSE)</f>
        <v>0</v>
      </c>
      <c r="M84" s="59" t="str">
        <f>VLOOKUP($B84,'[1]26MY_PROLOGUE_DATA'!$B:$AS,16,FALSE)</f>
        <v>•</v>
      </c>
      <c r="N84" s="59">
        <f>VLOOKUP($B84,'[1]26MY_PROLOGUE_DATA'!$B:$AS,17,FALSE)</f>
        <v>0</v>
      </c>
      <c r="O84" s="59">
        <f>VLOOKUP($B84,'[1]26MY_PROLOGUE_DATA'!$B:$AS,18,FALSE)</f>
        <v>0</v>
      </c>
      <c r="P84" s="59">
        <f>VLOOKUP(B84,'[1]26MY_PROLOGUE_DATA'!B:AS,19,FALSE)</f>
        <v>0</v>
      </c>
      <c r="Q84" s="147" t="str">
        <f>IF(VLOOKUP(B84,'[1]26MY_PROLOGUE_DATA'!B:AS,21,FALSE)="","",VLOOKUP(B84,'[1]26MY_PROLOGUE_DATA'!B:AS,21,FALSE))</f>
        <v/>
      </c>
    </row>
    <row r="85" spans="2:17" s="73" customFormat="1" ht="15" customHeight="1" x14ac:dyDescent="0.25">
      <c r="B85" s="71" t="s">
        <v>78</v>
      </c>
      <c r="C85" s="62" t="str">
        <f>VLOOKUP(B85,'[1]26MY_PROLOGUE_DATA'!B:AS,4,FALSE)</f>
        <v>Refl et solaire argent métallisé (NH-932M)</v>
      </c>
      <c r="D85" s="78" t="str">
        <f t="shared" si="7"/>
        <v>08P20-PS2-130A</v>
      </c>
      <c r="E85" s="56">
        <f>VLOOKUP(B85,'[1]26MY_PROLOGUE_DATA'!B:AS,9,FALSE)</f>
        <v>159</v>
      </c>
      <c r="F85" s="56">
        <f>VLOOKUP(B85,'[1]26MY_PROLOGUE_DATA'!B:AS,10,FALSE)</f>
        <v>265</v>
      </c>
      <c r="G85" s="57">
        <f>VLOOKUP(B85,'[1]26MY_PROLOGUE_DATA'!B:AS,7,FALSE)</f>
        <v>0.4</v>
      </c>
      <c r="H85" s="58">
        <f>VLOOKUP(B85,'[1]26MY_PROLOGUE_DATA'!B:AS,11,FALSE)</f>
        <v>331</v>
      </c>
      <c r="I85" s="59">
        <f>VLOOKUP(B85,'[1]26MY_PROLOGUE_DATA'!B:AS,12,FALSE)</f>
        <v>0</v>
      </c>
      <c r="J85" s="59" t="str">
        <f>VLOOKUP(B85,'[1]26MY_PROLOGUE_DATA'!B:AS,13,FALSE)</f>
        <v>•</v>
      </c>
      <c r="K85" s="59" t="str">
        <f>VLOOKUP(B85,'[1]26MY_PROLOGUE_DATA'!B:AS,14,FALSE)</f>
        <v>•</v>
      </c>
      <c r="L85" s="59">
        <f>VLOOKUP(B85,'[1]26MY_PROLOGUE_DATA'!B:AS,15,FALSE)</f>
        <v>0</v>
      </c>
      <c r="M85" s="59" t="str">
        <f>VLOOKUP($B85,'[1]26MY_PROLOGUE_DATA'!$B:$AS,16,FALSE)</f>
        <v>•</v>
      </c>
      <c r="N85" s="59">
        <f>VLOOKUP($B85,'[1]26MY_PROLOGUE_DATA'!$B:$AS,17,FALSE)</f>
        <v>0</v>
      </c>
      <c r="O85" s="59">
        <f>VLOOKUP($B85,'[1]26MY_PROLOGUE_DATA'!$B:$AS,18,FALSE)</f>
        <v>0</v>
      </c>
      <c r="P85" s="59">
        <f>VLOOKUP(B85,'[1]26MY_PROLOGUE_DATA'!B:AS,19,FALSE)</f>
        <v>0</v>
      </c>
      <c r="Q85" s="148"/>
    </row>
    <row r="86" spans="2:17" s="73" customFormat="1" ht="15" customHeight="1" x14ac:dyDescent="0.25">
      <c r="B86" s="71" t="s">
        <v>79</v>
      </c>
      <c r="C86" s="62" t="str">
        <f>VLOOKUP(B86,'[1]26MY_PROLOGUE_DATA'!B:AS,4,FALSE)</f>
        <v>Gris météorite métallisé (NH-904M)</v>
      </c>
      <c r="D86" s="78" t="str">
        <f t="shared" si="7"/>
        <v>08P20-PS2-140A</v>
      </c>
      <c r="E86" s="56">
        <f>VLOOKUP(B86,'[1]26MY_PROLOGUE_DATA'!B:AS,9,FALSE)</f>
        <v>159</v>
      </c>
      <c r="F86" s="56">
        <f>VLOOKUP(B86,'[1]26MY_PROLOGUE_DATA'!B:AS,10,FALSE)</f>
        <v>265</v>
      </c>
      <c r="G86" s="57">
        <f>VLOOKUP(B86,'[1]26MY_PROLOGUE_DATA'!B:AS,7,FALSE)</f>
        <v>0.4</v>
      </c>
      <c r="H86" s="58">
        <f>VLOOKUP(B86,'[1]26MY_PROLOGUE_DATA'!B:AS,11,FALSE)</f>
        <v>331</v>
      </c>
      <c r="I86" s="59">
        <f>VLOOKUP(B86,'[1]26MY_PROLOGUE_DATA'!B:AS,12,FALSE)</f>
        <v>0</v>
      </c>
      <c r="J86" s="59" t="str">
        <f>VLOOKUP(B86,'[1]26MY_PROLOGUE_DATA'!B:AS,13,FALSE)</f>
        <v>•</v>
      </c>
      <c r="K86" s="59" t="str">
        <f>VLOOKUP(B86,'[1]26MY_PROLOGUE_DATA'!B:AS,14,FALSE)</f>
        <v>•</v>
      </c>
      <c r="L86" s="59">
        <f>VLOOKUP(B86,'[1]26MY_PROLOGUE_DATA'!B:AS,15,FALSE)</f>
        <v>0</v>
      </c>
      <c r="M86" s="59" t="str">
        <f>VLOOKUP($B86,'[1]26MY_PROLOGUE_DATA'!$B:$AS,16,FALSE)</f>
        <v>•</v>
      </c>
      <c r="N86" s="59">
        <f>VLOOKUP($B86,'[1]26MY_PROLOGUE_DATA'!$B:$AS,17,FALSE)</f>
        <v>0</v>
      </c>
      <c r="O86" s="59">
        <f>VLOOKUP($B86,'[1]26MY_PROLOGUE_DATA'!$B:$AS,18,FALSE)</f>
        <v>0</v>
      </c>
      <c r="P86" s="59">
        <f>VLOOKUP(B86,'[1]26MY_PROLOGUE_DATA'!B:AS,19,FALSE)</f>
        <v>0</v>
      </c>
      <c r="Q86" s="148"/>
    </row>
    <row r="87" spans="2:17" s="73" customFormat="1" ht="15" customHeight="1" x14ac:dyDescent="0.25">
      <c r="B87" s="71" t="s">
        <v>80</v>
      </c>
      <c r="C87" s="62" t="str">
        <f>VLOOKUP(B87,'[1]26MY_PROLOGUE_DATA'!B:AS,4,FALSE)</f>
        <v>Gris urbain nacré  (NH-912P)</v>
      </c>
      <c r="D87" s="78" t="str">
        <f t="shared" si="7"/>
        <v>08P20-PS2-150A</v>
      </c>
      <c r="E87" s="56">
        <f>VLOOKUP(B87,'[1]26MY_PROLOGUE_DATA'!B:AS,9,FALSE)</f>
        <v>159</v>
      </c>
      <c r="F87" s="56">
        <f>VLOOKUP(B87,'[1]26MY_PROLOGUE_DATA'!B:AS,10,FALSE)</f>
        <v>265</v>
      </c>
      <c r="G87" s="57">
        <f>VLOOKUP(B87,'[1]26MY_PROLOGUE_DATA'!B:AS,7,FALSE)</f>
        <v>0.4</v>
      </c>
      <c r="H87" s="58">
        <f>VLOOKUP(B87,'[1]26MY_PROLOGUE_DATA'!B:AS,11,FALSE)</f>
        <v>331</v>
      </c>
      <c r="I87" s="59">
        <f>VLOOKUP(B87,'[1]26MY_PROLOGUE_DATA'!B:AS,12,FALSE)</f>
        <v>0</v>
      </c>
      <c r="J87" s="59" t="str">
        <f>VLOOKUP(B87,'[1]26MY_PROLOGUE_DATA'!B:AS,13,FALSE)</f>
        <v>N/A</v>
      </c>
      <c r="K87" s="59" t="str">
        <f>VLOOKUP(B87,'[1]26MY_PROLOGUE_DATA'!B:AS,14,FALSE)</f>
        <v>N/A</v>
      </c>
      <c r="L87" s="59">
        <f>VLOOKUP(B87,'[1]26MY_PROLOGUE_DATA'!B:AS,15,FALSE)</f>
        <v>0</v>
      </c>
      <c r="M87" s="59" t="str">
        <f>VLOOKUP($B87,'[1]26MY_PROLOGUE_DATA'!$B:$AS,16,FALSE)</f>
        <v>•</v>
      </c>
      <c r="N87" s="59">
        <f>VLOOKUP($B87,'[1]26MY_PROLOGUE_DATA'!$B:$AS,17,FALSE)</f>
        <v>0</v>
      </c>
      <c r="O87" s="59">
        <f>VLOOKUP($B87,'[1]26MY_PROLOGUE_DATA'!$B:$AS,18,FALSE)</f>
        <v>0</v>
      </c>
      <c r="P87" s="59">
        <f>VLOOKUP(B87,'[1]26MY_PROLOGUE_DATA'!B:AS,19,FALSE)</f>
        <v>0</v>
      </c>
      <c r="Q87" s="148"/>
    </row>
    <row r="88" spans="2:17" s="73" customFormat="1" ht="15" customHeight="1" x14ac:dyDescent="0.25">
      <c r="B88" s="71" t="s">
        <v>81</v>
      </c>
      <c r="C88" s="62" t="str">
        <f>VLOOKUP(B88,'[1]26MY_PROLOGUE_DATA'!B:AS,4,FALSE)</f>
        <v>Noir cristal nacré  (NH-731P)</v>
      </c>
      <c r="D88" s="78" t="str">
        <f t="shared" si="7"/>
        <v>08P20-PS2-110A</v>
      </c>
      <c r="E88" s="56">
        <f>VLOOKUP(B88,'[1]26MY_PROLOGUE_DATA'!B:AS,9,FALSE)</f>
        <v>159</v>
      </c>
      <c r="F88" s="56">
        <f>VLOOKUP(B88,'[1]26MY_PROLOGUE_DATA'!B:AS,10,FALSE)</f>
        <v>265</v>
      </c>
      <c r="G88" s="57">
        <f>VLOOKUP(B88,'[1]26MY_PROLOGUE_DATA'!B:AS,7,FALSE)</f>
        <v>0.4</v>
      </c>
      <c r="H88" s="58">
        <f>VLOOKUP(B88,'[1]26MY_PROLOGUE_DATA'!B:AS,11,FALSE)</f>
        <v>331</v>
      </c>
      <c r="I88" s="59">
        <f>VLOOKUP(B88,'[1]26MY_PROLOGUE_DATA'!B:AS,12,FALSE)</f>
        <v>0</v>
      </c>
      <c r="J88" s="59" t="str">
        <f>VLOOKUP(B88,'[1]26MY_PROLOGUE_DATA'!B:AS,13,FALSE)</f>
        <v>•</v>
      </c>
      <c r="K88" s="59" t="str">
        <f>VLOOKUP(B88,'[1]26MY_PROLOGUE_DATA'!B:AS,14,FALSE)</f>
        <v>•</v>
      </c>
      <c r="L88" s="59">
        <f>VLOOKUP(B88,'[1]26MY_PROLOGUE_DATA'!B:AS,15,FALSE)</f>
        <v>0</v>
      </c>
      <c r="M88" s="59" t="str">
        <f>VLOOKUP($B88,'[1]26MY_PROLOGUE_DATA'!$B:$AS,16,FALSE)</f>
        <v>•</v>
      </c>
      <c r="N88" s="59">
        <f>VLOOKUP($B88,'[1]26MY_PROLOGUE_DATA'!$B:$AS,17,FALSE)</f>
        <v>0</v>
      </c>
      <c r="O88" s="59">
        <f>VLOOKUP($B88,'[1]26MY_PROLOGUE_DATA'!$B:$AS,18,FALSE)</f>
        <v>0</v>
      </c>
      <c r="P88" s="59">
        <f>VLOOKUP(B88,'[1]26MY_PROLOGUE_DATA'!B:AS,19,FALSE)</f>
        <v>0</v>
      </c>
      <c r="Q88" s="148"/>
    </row>
    <row r="89" spans="2:17" s="73" customFormat="1" ht="15" customHeight="1" x14ac:dyDescent="0.25">
      <c r="B89" s="71" t="s">
        <v>82</v>
      </c>
      <c r="C89" s="62" t="str">
        <f>VLOOKUP(B89,'[1]26MY_PROLOGUE_DATA'!B:AS,4,FALSE)</f>
        <v>Radiant rouge métallisé (R-569M)</v>
      </c>
      <c r="D89" s="78" t="str">
        <f t="shared" si="7"/>
        <v>08P20-PS2-160A</v>
      </c>
      <c r="E89" s="56">
        <f>VLOOKUP(B89,'[1]26MY_PROLOGUE_DATA'!B:AS,9,FALSE)</f>
        <v>159</v>
      </c>
      <c r="F89" s="56">
        <f>VLOOKUP(B89,'[1]26MY_PROLOGUE_DATA'!B:AS,10,FALSE)</f>
        <v>265</v>
      </c>
      <c r="G89" s="57">
        <f>VLOOKUP(B89,'[1]26MY_PROLOGUE_DATA'!B:AS,7,FALSE)</f>
        <v>0.4</v>
      </c>
      <c r="H89" s="58">
        <f>VLOOKUP(B89,'[1]26MY_PROLOGUE_DATA'!B:AS,11,FALSE)</f>
        <v>331</v>
      </c>
      <c r="I89" s="59">
        <f>VLOOKUP(B89,'[1]26MY_PROLOGUE_DATA'!B:AS,12,FALSE)</f>
        <v>0</v>
      </c>
      <c r="J89" s="59" t="str">
        <f>VLOOKUP(B89,'[1]26MY_PROLOGUE_DATA'!B:AS,13,FALSE)</f>
        <v>N/A</v>
      </c>
      <c r="K89" s="59" t="str">
        <f>VLOOKUP(B89,'[1]26MY_PROLOGUE_DATA'!B:AS,14,FALSE)</f>
        <v>N/A</v>
      </c>
      <c r="L89" s="59">
        <f>VLOOKUP(B89,'[1]26MY_PROLOGUE_DATA'!B:AS,15,FALSE)</f>
        <v>0</v>
      </c>
      <c r="M89" s="59" t="str">
        <f>VLOOKUP($B89,'[1]26MY_PROLOGUE_DATA'!$B:$AS,16,FALSE)</f>
        <v>•</v>
      </c>
      <c r="N89" s="59">
        <f>VLOOKUP($B89,'[1]26MY_PROLOGUE_DATA'!$B:$AS,17,FALSE)</f>
        <v>0</v>
      </c>
      <c r="O89" s="59">
        <f>VLOOKUP($B89,'[1]26MY_PROLOGUE_DATA'!$B:$AS,18,FALSE)</f>
        <v>0</v>
      </c>
      <c r="P89" s="59">
        <f>VLOOKUP(B89,'[1]26MY_PROLOGUE_DATA'!B:AS,19,FALSE)</f>
        <v>0</v>
      </c>
      <c r="Q89" s="149"/>
    </row>
    <row r="90" spans="2:17" s="73" customFormat="1" ht="15" customHeight="1" x14ac:dyDescent="0.25">
      <c r="B90" s="71" t="s">
        <v>83</v>
      </c>
      <c r="C90" s="62" t="str">
        <f>VLOOKUP(B90,'[1]26MY_PROLOGUE_DATA'!B:AS,4,FALSE)</f>
        <v>Garde-boue</v>
      </c>
      <c r="D90" s="78" t="str">
        <f t="shared" si="7"/>
        <v>08P00-PS2-100</v>
      </c>
      <c r="E90" s="56">
        <f>VLOOKUP(B90,'[1]26MY_PROLOGUE_DATA'!B:AS,9,FALSE)</f>
        <v>113</v>
      </c>
      <c r="F90" s="56">
        <f>VLOOKUP(B90,'[1]26MY_PROLOGUE_DATA'!B:AS,10,FALSE)</f>
        <v>187</v>
      </c>
      <c r="G90" s="57">
        <f>VLOOKUP(B90,'[1]26MY_PROLOGUE_DATA'!B:AS,7,FALSE)</f>
        <v>0.4</v>
      </c>
      <c r="H90" s="58">
        <f>VLOOKUP(B90,'[1]26MY_PROLOGUE_DATA'!B:AS,11,FALSE)</f>
        <v>253</v>
      </c>
      <c r="I90" s="59">
        <f>VLOOKUP(B90,'[1]26MY_PROLOGUE_DATA'!B:AS,12,FALSE)</f>
        <v>0</v>
      </c>
      <c r="J90" s="59" t="str">
        <f>VLOOKUP(B90,'[1]26MY_PROLOGUE_DATA'!B:AS,13,FALSE)</f>
        <v>•</v>
      </c>
      <c r="K90" s="59" t="str">
        <f>VLOOKUP(B90,'[1]26MY_PROLOGUE_DATA'!B:AS,14,FALSE)</f>
        <v>•</v>
      </c>
      <c r="L90" s="59">
        <f>VLOOKUP(B90,'[1]26MY_PROLOGUE_DATA'!B:AS,15,FALSE)</f>
        <v>0</v>
      </c>
      <c r="M90" s="59" t="str">
        <f>VLOOKUP($B90,'[1]26MY_PROLOGUE_DATA'!$B:$AS,16,FALSE)</f>
        <v>•</v>
      </c>
      <c r="N90" s="59">
        <f>VLOOKUP($B90,'[1]26MY_PROLOGUE_DATA'!$B:$AS,17,FALSE)</f>
        <v>0</v>
      </c>
      <c r="O90" s="59">
        <f>VLOOKUP($B90,'[1]26MY_PROLOGUE_DATA'!$B:$AS,18,FALSE)</f>
        <v>0</v>
      </c>
      <c r="P90" s="59">
        <f>VLOOKUP(B90,'[1]26MY_PROLOGUE_DATA'!B:AS,19,FALSE)</f>
        <v>0</v>
      </c>
      <c r="Q90" s="79" t="str">
        <f>IF(VLOOKUP(B90,'[1]26MY_PROLOGUE_DATA'!B:AS,21,FALSE)="","",VLOOKUP(B90,'[1]26MY_PROLOGUE_DATA'!B:AS,21,FALSE))</f>
        <v/>
      </c>
    </row>
    <row r="91" spans="2:17" s="73" customFormat="1" ht="15" customHeight="1" x14ac:dyDescent="0.25">
      <c r="B91" s="71"/>
      <c r="C91" s="97"/>
      <c r="D91" s="97"/>
      <c r="E91" s="98"/>
      <c r="F91" s="98"/>
      <c r="G91" s="99"/>
      <c r="H91" s="98"/>
      <c r="I91" s="98"/>
      <c r="J91" s="98"/>
      <c r="K91" s="98"/>
      <c r="L91" s="98"/>
      <c r="M91" s="98"/>
      <c r="N91" s="98"/>
      <c r="O91" s="98"/>
      <c r="P91" s="98"/>
      <c r="Q91" s="100"/>
    </row>
    <row r="92" spans="2:17" s="75" customFormat="1" ht="18.75" x14ac:dyDescent="0.3">
      <c r="B92" s="88"/>
      <c r="C92" s="46" t="s">
        <v>121</v>
      </c>
      <c r="D92" s="46"/>
      <c r="E92" s="101"/>
      <c r="F92" s="101"/>
      <c r="G92" s="101"/>
      <c r="H92" s="101"/>
      <c r="I92" s="101"/>
      <c r="J92" s="101"/>
      <c r="K92" s="101"/>
      <c r="L92" s="101"/>
      <c r="M92" s="101"/>
      <c r="N92" s="101"/>
      <c r="O92" s="101"/>
      <c r="P92" s="101"/>
      <c r="Q92" s="101"/>
    </row>
    <row r="93" spans="2:17" s="61" customFormat="1" ht="15" customHeight="1" x14ac:dyDescent="0.25">
      <c r="B93" s="76"/>
      <c r="C93" s="137" t="s">
        <v>110</v>
      </c>
      <c r="D93" s="137" t="s">
        <v>111</v>
      </c>
      <c r="E93" s="137" t="s">
        <v>112</v>
      </c>
      <c r="F93" s="137" t="s">
        <v>113</v>
      </c>
      <c r="G93" s="137" t="s">
        <v>114</v>
      </c>
      <c r="H93" s="150" t="s">
        <v>115</v>
      </c>
      <c r="I93" s="137" t="s">
        <v>32</v>
      </c>
      <c r="J93" s="137"/>
      <c r="K93" s="137"/>
      <c r="L93" s="137"/>
      <c r="M93" s="137"/>
      <c r="N93" s="137"/>
      <c r="O93" s="137"/>
      <c r="P93" s="137"/>
      <c r="Q93" s="137" t="s">
        <v>116</v>
      </c>
    </row>
    <row r="94" spans="2:17" s="61" customFormat="1" ht="16.5" x14ac:dyDescent="0.25">
      <c r="B94" s="76"/>
      <c r="C94" s="137"/>
      <c r="D94" s="137"/>
      <c r="E94" s="137"/>
      <c r="F94" s="137"/>
      <c r="G94" s="137"/>
      <c r="H94" s="150"/>
      <c r="I94" s="52">
        <f>'[1]26MY_PROLOGUE_DATA'!$M$6</f>
        <v>0</v>
      </c>
      <c r="J94" s="52" t="str">
        <f>'[1]26MY_PROLOGUE_DATA'!$N$6</f>
        <v>EX</v>
      </c>
      <c r="K94" s="52" t="str">
        <f>'[1]26MY_PROLOGUE_DATA'!$O$6</f>
        <v>EX-L</v>
      </c>
      <c r="L94" s="52">
        <f>'[1]26MY_PROLOGUE_DATA'!$P$6</f>
        <v>0</v>
      </c>
      <c r="M94" s="52" t="str">
        <f>'[1]26MY_PROLOGUE_DATA'!$Q$6</f>
        <v>Touring</v>
      </c>
      <c r="N94" s="52">
        <f>'[1]26MY_PROLOGUE_DATA'!$T$6</f>
        <v>0</v>
      </c>
      <c r="O94" s="52">
        <f>'[1]26MY_PROLOGUE_DATA'!$T$6</f>
        <v>0</v>
      </c>
      <c r="P94" s="52">
        <f>'[1]26MY_PROLOGUE_DATA'!$T$6</f>
        <v>0</v>
      </c>
      <c r="Q94" s="137"/>
    </row>
    <row r="95" spans="2:17" s="73" customFormat="1" ht="15" customHeight="1" x14ac:dyDescent="0.25">
      <c r="B95" s="71" t="s">
        <v>35</v>
      </c>
      <c r="C95" s="135" t="str">
        <f>VLOOKUP(B95,'[1]26MY_PROLOGUE_DATA'!B:AS,4,FALSE)</f>
        <v>Tapis toutes saisons</v>
      </c>
      <c r="D95" s="78" t="str">
        <f t="shared" ref="D95:D101" si="8">B95</f>
        <v>08P17-PS2-110</v>
      </c>
      <c r="E95" s="56">
        <f>VLOOKUP(B95,'[1]26MY_PROLOGUE_DATA'!B:AS,9,FALSE)</f>
        <v>215</v>
      </c>
      <c r="F95" s="56">
        <f>VLOOKUP(B95,'[1]26MY_PROLOGUE_DATA'!B:AS,10,FALSE)</f>
        <v>358</v>
      </c>
      <c r="G95" s="57">
        <f>VLOOKUP(B95,'[1]26MY_PROLOGUE_DATA'!B:AS,7,FALSE)</f>
        <v>0.1</v>
      </c>
      <c r="H95" s="58">
        <f>VLOOKUP(B95,'[1]26MY_PROLOGUE_DATA'!B:AS,11,FALSE)</f>
        <v>374.5</v>
      </c>
      <c r="I95" s="59">
        <f>VLOOKUP(B95,'[1]26MY_PROLOGUE_DATA'!B:AS,12,FALSE)</f>
        <v>0</v>
      </c>
      <c r="J95" s="59" t="str">
        <f>VLOOKUP(B95,'[1]26MY_PROLOGUE_DATA'!B:AS,13,FALSE)</f>
        <v>•</v>
      </c>
      <c r="K95" s="59" t="str">
        <f>VLOOKUP(B95,'[1]26MY_PROLOGUE_DATA'!B:AS,14,FALSE)</f>
        <v>•</v>
      </c>
      <c r="L95" s="59">
        <f>VLOOKUP(B95,'[1]26MY_PROLOGUE_DATA'!B:AS,15,FALSE)</f>
        <v>0</v>
      </c>
      <c r="M95" s="59" t="str">
        <f>VLOOKUP($B95,'[1]26MY_PROLOGUE_DATA'!$B:$AS,16,FALSE)</f>
        <v>•</v>
      </c>
      <c r="N95" s="59">
        <f>VLOOKUP($B95,'[1]26MY_PROLOGUE_DATA'!$B:$AS,17,FALSE)</f>
        <v>0</v>
      </c>
      <c r="O95" s="59">
        <f>VLOOKUP($B95,'[1]26MY_PROLOGUE_DATA'!$B:$AS,18,FALSE)</f>
        <v>0</v>
      </c>
      <c r="P95" s="59">
        <f>VLOOKUP(B95,'[1]26MY_PROLOGUE_DATA'!B:AS,19,FALSE)</f>
        <v>0</v>
      </c>
      <c r="Q95" s="79" t="str">
        <f>IF(VLOOKUP(B95,'[1]26MY_PROLOGUE_DATA'!B:AS,21,FALSE)="","",VLOOKUP(B95,'[1]26MY_PROLOGUE_DATA'!B:AS,21,FALSE))</f>
        <v/>
      </c>
    </row>
    <row r="96" spans="2:17" s="73" customFormat="1" ht="15" customHeight="1" x14ac:dyDescent="0.25">
      <c r="B96" s="71" t="s">
        <v>36</v>
      </c>
      <c r="C96" s="135" t="str">
        <f>VLOOKUP(B96,'[1]26MY_PROLOGUE_DATA'!B:AS,4,FALSE)</f>
        <v>Plateau pour compartiment utilitaire</v>
      </c>
      <c r="D96" s="78" t="str">
        <f t="shared" si="8"/>
        <v>08U45-PS2-100</v>
      </c>
      <c r="E96" s="56">
        <f>VLOOKUP(B96,'[1]26MY_PROLOGUE_DATA'!B:AS,9,FALSE)</f>
        <v>120</v>
      </c>
      <c r="F96" s="56">
        <f>VLOOKUP(B96,'[1]26MY_PROLOGUE_DATA'!B:AS,10,FALSE)</f>
        <v>200</v>
      </c>
      <c r="G96" s="57">
        <f>VLOOKUP(B96,'[1]26MY_PROLOGUE_DATA'!B:AS,7,FALSE)</f>
        <v>0.1</v>
      </c>
      <c r="H96" s="58">
        <f>VLOOKUP(B96,'[1]26MY_PROLOGUE_DATA'!B:AS,11,FALSE)</f>
        <v>216.5</v>
      </c>
      <c r="I96" s="59">
        <f>VLOOKUP(B96,'[1]26MY_PROLOGUE_DATA'!B:AS,12,FALSE)</f>
        <v>0</v>
      </c>
      <c r="J96" s="59" t="str">
        <f>VLOOKUP(B96,'[1]26MY_PROLOGUE_DATA'!B:AS,13,FALSE)</f>
        <v>•</v>
      </c>
      <c r="K96" s="59" t="str">
        <f>VLOOKUP(B96,'[1]26MY_PROLOGUE_DATA'!B:AS,14,FALSE)</f>
        <v>•</v>
      </c>
      <c r="L96" s="59">
        <f>VLOOKUP(B96,'[1]26MY_PROLOGUE_DATA'!B:AS,15,FALSE)</f>
        <v>0</v>
      </c>
      <c r="M96" s="59" t="str">
        <f>VLOOKUP($B96,'[1]26MY_PROLOGUE_DATA'!$B:$AS,16,FALSE)</f>
        <v>•</v>
      </c>
      <c r="N96" s="59">
        <f>VLOOKUP($B96,'[1]26MY_PROLOGUE_DATA'!$B:$AS,17,FALSE)</f>
        <v>0</v>
      </c>
      <c r="O96" s="59">
        <f>VLOOKUP($B96,'[1]26MY_PROLOGUE_DATA'!$B:$AS,18,FALSE)</f>
        <v>0</v>
      </c>
      <c r="P96" s="59">
        <f>VLOOKUP(B96,'[1]26MY_PROLOGUE_DATA'!B:AS,19,FALSE)</f>
        <v>0</v>
      </c>
      <c r="Q96" s="79" t="str">
        <f>IF(VLOOKUP(B96,'[1]26MY_PROLOGUE_DATA'!B:AS,21,FALSE)="","",VLOOKUP(B96,'[1]26MY_PROLOGUE_DATA'!B:AS,21,FALSE))</f>
        <v/>
      </c>
    </row>
    <row r="97" spans="2:17" s="73" customFormat="1" ht="15" customHeight="1" x14ac:dyDescent="0.25">
      <c r="B97" s="71" t="s">
        <v>38</v>
      </c>
      <c r="C97" s="135" t="str">
        <f>VLOOKUP(B97,'[1]26MY_PROLOGUE_DATA'!B:AS,4,FALSE)</f>
        <v>Cache-bagages</v>
      </c>
      <c r="D97" s="78" t="str">
        <f t="shared" si="8"/>
        <v>08Z07-PS2-310</v>
      </c>
      <c r="E97" s="56">
        <f>VLOOKUP(B97,'[1]26MY_PROLOGUE_DATA'!B:AS,9,FALSE)</f>
        <v>279</v>
      </c>
      <c r="F97" s="56">
        <f>VLOOKUP(B97,'[1]26MY_PROLOGUE_DATA'!B:AS,10,FALSE)</f>
        <v>465</v>
      </c>
      <c r="G97" s="57">
        <f>VLOOKUP(B97,'[1]26MY_PROLOGUE_DATA'!B:AS,7,FALSE)</f>
        <v>0.1</v>
      </c>
      <c r="H97" s="58">
        <f>VLOOKUP(B97,'[1]26MY_PROLOGUE_DATA'!B:AS,11,FALSE)</f>
        <v>481.5</v>
      </c>
      <c r="I97" s="59">
        <f>VLOOKUP(B97,'[1]26MY_PROLOGUE_DATA'!B:AS,12,FALSE)</f>
        <v>0</v>
      </c>
      <c r="J97" s="59" t="str">
        <f>VLOOKUP(B97,'[1]26MY_PROLOGUE_DATA'!B:AS,13,FALSE)</f>
        <v>•</v>
      </c>
      <c r="K97" s="59" t="str">
        <f>VLOOKUP(B97,'[1]26MY_PROLOGUE_DATA'!B:AS,14,FALSE)</f>
        <v>•</v>
      </c>
      <c r="L97" s="59">
        <f>VLOOKUP(B97,'[1]26MY_PROLOGUE_DATA'!B:AS,15,FALSE)</f>
        <v>0</v>
      </c>
      <c r="M97" s="59" t="str">
        <f>VLOOKUP($B97,'[1]26MY_PROLOGUE_DATA'!$B:$AS,16,FALSE)</f>
        <v>•</v>
      </c>
      <c r="N97" s="59">
        <f>VLOOKUP($B97,'[1]26MY_PROLOGUE_DATA'!$B:$AS,17,FALSE)</f>
        <v>0</v>
      </c>
      <c r="O97" s="59">
        <f>VLOOKUP($B97,'[1]26MY_PROLOGUE_DATA'!$B:$AS,18,FALSE)</f>
        <v>0</v>
      </c>
      <c r="P97" s="59">
        <f>VLOOKUP(B97,'[1]26MY_PROLOGUE_DATA'!B:AS,19,FALSE)</f>
        <v>0</v>
      </c>
      <c r="Q97" s="79" t="str">
        <f>IF(VLOOKUP(B97,'[1]26MY_PROLOGUE_DATA'!B:AS,21,FALSE)="","",VLOOKUP(B97,'[1]26MY_PROLOGUE_DATA'!B:AS,21,FALSE))</f>
        <v/>
      </c>
    </row>
    <row r="98" spans="2:17" s="73" customFormat="1" ht="15" customHeight="1" x14ac:dyDescent="0.25">
      <c r="B98" s="71" t="s">
        <v>39</v>
      </c>
      <c r="C98" s="135" t="str">
        <f>VLOOKUP(B98,'[1]26MY_PROLOGUE_DATA'!B:AS,4,FALSE)</f>
        <v>Protecteur de dossier de siège</v>
      </c>
      <c r="D98" s="78" t="str">
        <f t="shared" si="8"/>
        <v>08P30-PS2-100</v>
      </c>
      <c r="E98" s="56">
        <f>VLOOKUP(B98,'[1]26MY_PROLOGUE_DATA'!B:AS,9,FALSE)</f>
        <v>124</v>
      </c>
      <c r="F98" s="56">
        <f>VLOOKUP(B98,'[1]26MY_PROLOGUE_DATA'!B:AS,10,FALSE)</f>
        <v>207</v>
      </c>
      <c r="G98" s="57">
        <f>VLOOKUP(B98,'[1]26MY_PROLOGUE_DATA'!B:AS,7,FALSE)</f>
        <v>0.2</v>
      </c>
      <c r="H98" s="58">
        <f>VLOOKUP(B98,'[1]26MY_PROLOGUE_DATA'!B:AS,11,FALSE)</f>
        <v>240</v>
      </c>
      <c r="I98" s="59">
        <f>VLOOKUP(B98,'[1]26MY_PROLOGUE_DATA'!B:AS,12,FALSE)</f>
        <v>0</v>
      </c>
      <c r="J98" s="59" t="str">
        <f>VLOOKUP(B98,'[1]26MY_PROLOGUE_DATA'!B:AS,13,FALSE)</f>
        <v>•</v>
      </c>
      <c r="K98" s="59" t="str">
        <f>VLOOKUP(B98,'[1]26MY_PROLOGUE_DATA'!B:AS,14,FALSE)</f>
        <v>•</v>
      </c>
      <c r="L98" s="59">
        <f>VLOOKUP(B98,'[1]26MY_PROLOGUE_DATA'!B:AS,15,FALSE)</f>
        <v>0</v>
      </c>
      <c r="M98" s="59" t="str">
        <f>VLOOKUP($B98,'[1]26MY_PROLOGUE_DATA'!$B:$AS,16,FALSE)</f>
        <v>•</v>
      </c>
      <c r="N98" s="59">
        <f>VLOOKUP($B98,'[1]26MY_PROLOGUE_DATA'!$B:$AS,17,FALSE)</f>
        <v>0</v>
      </c>
      <c r="O98" s="59">
        <f>VLOOKUP($B98,'[1]26MY_PROLOGUE_DATA'!$B:$AS,18,FALSE)</f>
        <v>0</v>
      </c>
      <c r="P98" s="59">
        <f>VLOOKUP(B98,'[1]26MY_PROLOGUE_DATA'!B:AS,19,FALSE)</f>
        <v>0</v>
      </c>
      <c r="Q98" s="79" t="str">
        <f>IF(VLOOKUP(B98,'[1]26MY_PROLOGUE_DATA'!B:AS,21,FALSE)="","",VLOOKUP(B98,'[1]26MY_PROLOGUE_DATA'!B:AS,21,FALSE))</f>
        <v/>
      </c>
    </row>
    <row r="99" spans="2:17" s="73" customFormat="1" ht="15" customHeight="1" x14ac:dyDescent="0.25">
      <c r="B99" s="71" t="s">
        <v>85</v>
      </c>
      <c r="C99" s="135" t="str">
        <f>VLOOKUP(B99,'[1]26MY_PROLOGUE_DATA'!B:AS,4,FALSE)</f>
        <v>Pellicule de protection de seuil de portière</v>
      </c>
      <c r="D99" s="78" t="str">
        <f t="shared" si="8"/>
        <v>08P04-PS2-100</v>
      </c>
      <c r="E99" s="56">
        <f>VLOOKUP(B99,'[1]26MY_PROLOGUE_DATA'!B:AS,9,FALSE)</f>
        <v>124</v>
      </c>
      <c r="F99" s="56">
        <f>VLOOKUP(B99,'[1]26MY_PROLOGUE_DATA'!B:AS,10,FALSE)</f>
        <v>207</v>
      </c>
      <c r="G99" s="57">
        <f>VLOOKUP(B99,'[1]26MY_PROLOGUE_DATA'!B:AS,7,FALSE)</f>
        <v>0.5</v>
      </c>
      <c r="H99" s="58">
        <f>VLOOKUP(B99,'[1]26MY_PROLOGUE_DATA'!B:AS,11,FALSE)</f>
        <v>289.5</v>
      </c>
      <c r="I99" s="59">
        <f>VLOOKUP(B99,'[1]26MY_PROLOGUE_DATA'!B:AS,12,FALSE)</f>
        <v>0</v>
      </c>
      <c r="J99" s="59" t="str">
        <f>VLOOKUP(B99,'[1]26MY_PROLOGUE_DATA'!B:AS,13,FALSE)</f>
        <v>•</v>
      </c>
      <c r="K99" s="59" t="str">
        <f>VLOOKUP(B99,'[1]26MY_PROLOGUE_DATA'!B:AS,14,FALSE)</f>
        <v>•</v>
      </c>
      <c r="L99" s="59">
        <f>VLOOKUP(B99,'[1]26MY_PROLOGUE_DATA'!B:AS,15,FALSE)</f>
        <v>0</v>
      </c>
      <c r="M99" s="59" t="str">
        <f>VLOOKUP($B99,'[1]26MY_PROLOGUE_DATA'!$B:$AS,16,FALSE)</f>
        <v>•</v>
      </c>
      <c r="N99" s="59">
        <f>VLOOKUP($B99,'[1]26MY_PROLOGUE_DATA'!$B:$AS,17,FALSE)</f>
        <v>0</v>
      </c>
      <c r="O99" s="59">
        <f>VLOOKUP($B99,'[1]26MY_PROLOGUE_DATA'!$B:$AS,18,FALSE)</f>
        <v>0</v>
      </c>
      <c r="P99" s="59">
        <f>VLOOKUP(B99,'[1]26MY_PROLOGUE_DATA'!B:AS,19,FALSE)</f>
        <v>0</v>
      </c>
      <c r="Q99" s="79" t="str">
        <f>IF(VLOOKUP(B99,'[1]26MY_PROLOGUE_DATA'!B:AS,21,FALSE)="","",VLOOKUP(B99,'[1]26MY_PROLOGUE_DATA'!B:AS,21,FALSE))</f>
        <v/>
      </c>
    </row>
    <row r="100" spans="2:17" s="73" customFormat="1" ht="15" customHeight="1" x14ac:dyDescent="0.25">
      <c r="B100" s="71" t="s">
        <v>86</v>
      </c>
      <c r="C100" s="135" t="str">
        <f>VLOOKUP(B100,'[1]26MY_PROLOGUE_DATA'!B:AS,4,FALSE)</f>
        <v>Pare-soleil</v>
      </c>
      <c r="D100" s="78" t="str">
        <f t="shared" si="8"/>
        <v>08R13-PS2-100</v>
      </c>
      <c r="E100" s="56">
        <f>VLOOKUP(B100,'[1]26MY_PROLOGUE_DATA'!B:AS,9,FALSE)</f>
        <v>204</v>
      </c>
      <c r="F100" s="56">
        <f>VLOOKUP(B100,'[1]26MY_PROLOGUE_DATA'!B:AS,10,FALSE)</f>
        <v>340</v>
      </c>
      <c r="G100" s="57">
        <f>VLOOKUP(B100,'[1]26MY_PROLOGUE_DATA'!B:AS,7,FALSE)</f>
        <v>0.5</v>
      </c>
      <c r="H100" s="58">
        <f>VLOOKUP(B100,'[1]26MY_PROLOGUE_DATA'!B:AS,11,FALSE)</f>
        <v>422.5</v>
      </c>
      <c r="I100" s="59">
        <f>VLOOKUP(B100,'[1]26MY_PROLOGUE_DATA'!B:AS,12,FALSE)</f>
        <v>0</v>
      </c>
      <c r="J100" s="59" t="str">
        <f>VLOOKUP(B100,'[1]26MY_PROLOGUE_DATA'!B:AS,13,FALSE)</f>
        <v>•</v>
      </c>
      <c r="K100" s="59" t="str">
        <f>VLOOKUP(B100,'[1]26MY_PROLOGUE_DATA'!B:AS,14,FALSE)</f>
        <v>•</v>
      </c>
      <c r="L100" s="59">
        <f>VLOOKUP(B100,'[1]26MY_PROLOGUE_DATA'!B:AS,15,FALSE)</f>
        <v>0</v>
      </c>
      <c r="M100" s="59" t="str">
        <f>VLOOKUP($B100,'[1]26MY_PROLOGUE_DATA'!$B:$AS,16,FALSE)</f>
        <v>•</v>
      </c>
      <c r="N100" s="59">
        <f>VLOOKUP($B100,'[1]26MY_PROLOGUE_DATA'!$B:$AS,17,FALSE)</f>
        <v>0</v>
      </c>
      <c r="O100" s="59">
        <f>VLOOKUP($B100,'[1]26MY_PROLOGUE_DATA'!$B:$AS,18,FALSE)</f>
        <v>0</v>
      </c>
      <c r="P100" s="59">
        <f>VLOOKUP(B100,'[1]26MY_PROLOGUE_DATA'!B:AS,19,FALSE)</f>
        <v>0</v>
      </c>
      <c r="Q100" s="79" t="str">
        <f>IF(VLOOKUP(B100,'[1]26MY_PROLOGUE_DATA'!B:AS,21,FALSE)="","",VLOOKUP(B100,'[1]26MY_PROLOGUE_DATA'!B:AS,21,FALSE))</f>
        <v/>
      </c>
    </row>
    <row r="101" spans="2:17" s="73" customFormat="1" ht="16.5" x14ac:dyDescent="0.25">
      <c r="B101" s="71" t="s">
        <v>87</v>
      </c>
      <c r="C101" s="135" t="str">
        <f>VLOOKUP(B101,'[1]26MY_PROLOGUE_DATA'!B:AS,4,FALSE)</f>
        <v>Cendrier de type porte-gobelet</v>
      </c>
      <c r="D101" s="78" t="str">
        <f t="shared" si="8"/>
        <v>08U25-S5D-116</v>
      </c>
      <c r="E101" s="56">
        <f>VLOOKUP(B101,'[1]26MY_PROLOGUE_DATA'!B:AS,9,FALSE)</f>
        <v>39</v>
      </c>
      <c r="F101" s="56">
        <f>VLOOKUP(B101,'[1]26MY_PROLOGUE_DATA'!B:AS,10,FALSE)</f>
        <v>65</v>
      </c>
      <c r="G101" s="57">
        <f>VLOOKUP(B101,'[1]26MY_PROLOGUE_DATA'!B:AS,7,FALSE)</f>
        <v>0</v>
      </c>
      <c r="H101" s="58">
        <f>VLOOKUP(B101,'[1]26MY_PROLOGUE_DATA'!B:AS,11,FALSE)</f>
        <v>65</v>
      </c>
      <c r="I101" s="59">
        <f>VLOOKUP(B101,'[1]26MY_PROLOGUE_DATA'!B:AS,12,FALSE)</f>
        <v>0</v>
      </c>
      <c r="J101" s="59" t="str">
        <f>VLOOKUP(B101,'[1]26MY_PROLOGUE_DATA'!B:AS,13,FALSE)</f>
        <v>•</v>
      </c>
      <c r="K101" s="59" t="str">
        <f>VLOOKUP(B101,'[1]26MY_PROLOGUE_DATA'!B:AS,14,FALSE)</f>
        <v>•</v>
      </c>
      <c r="L101" s="59">
        <f>VLOOKUP(B101,'[1]26MY_PROLOGUE_DATA'!B:AS,15,FALSE)</f>
        <v>0</v>
      </c>
      <c r="M101" s="59" t="str">
        <f>VLOOKUP($B101,'[1]26MY_PROLOGUE_DATA'!$B:$AS,16,FALSE)</f>
        <v>•</v>
      </c>
      <c r="N101" s="59">
        <f>VLOOKUP($B101,'[1]26MY_PROLOGUE_DATA'!$B:$AS,17,FALSE)</f>
        <v>0</v>
      </c>
      <c r="O101" s="59">
        <f>VLOOKUP($B101,'[1]26MY_PROLOGUE_DATA'!$B:$AS,18,FALSE)</f>
        <v>0</v>
      </c>
      <c r="P101" s="59">
        <f>VLOOKUP(B101,'[1]26MY_PROLOGUE_DATA'!B:AS,19,FALSE)</f>
        <v>0</v>
      </c>
      <c r="Q101" s="79" t="str">
        <f>IF(VLOOKUP(B101,'[1]26MY_PROLOGUE_DATA'!B:AS,21,FALSE)="","",VLOOKUP(B101,'[1]26MY_PROLOGUE_DATA'!B:AS,21,FALSE))</f>
        <v/>
      </c>
    </row>
    <row r="102" spans="2:17" s="73" customFormat="1" ht="12" customHeight="1" x14ac:dyDescent="0.25">
      <c r="B102" s="71"/>
      <c r="C102" s="102"/>
      <c r="D102" s="103"/>
      <c r="E102" s="104"/>
      <c r="F102" s="104"/>
      <c r="G102" s="105"/>
      <c r="H102" s="106"/>
      <c r="I102" s="107"/>
      <c r="J102" s="107"/>
      <c r="K102" s="107"/>
      <c r="L102" s="107"/>
      <c r="M102" s="107"/>
      <c r="N102" s="107"/>
      <c r="O102" s="107"/>
      <c r="P102" s="107"/>
      <c r="Q102" s="108"/>
    </row>
    <row r="103" spans="2:17" s="75" customFormat="1" ht="18.75" x14ac:dyDescent="0.3">
      <c r="B103" s="88"/>
      <c r="C103" s="46" t="s">
        <v>122</v>
      </c>
      <c r="D103" s="46"/>
      <c r="E103" s="109"/>
      <c r="F103" s="110"/>
      <c r="G103" s="110"/>
      <c r="H103" s="110"/>
      <c r="I103" s="110"/>
      <c r="J103" s="110"/>
      <c r="K103" s="110"/>
      <c r="L103" s="110"/>
      <c r="M103" s="110"/>
      <c r="N103" s="110"/>
      <c r="O103" s="110"/>
      <c r="P103" s="110"/>
      <c r="Q103" s="110"/>
    </row>
    <row r="104" spans="2:17" s="61" customFormat="1" ht="15" customHeight="1" x14ac:dyDescent="0.25">
      <c r="B104" s="76"/>
      <c r="C104" s="137" t="s">
        <v>110</v>
      </c>
      <c r="D104" s="137" t="s">
        <v>111</v>
      </c>
      <c r="E104" s="137" t="s">
        <v>112</v>
      </c>
      <c r="F104" s="137" t="s">
        <v>113</v>
      </c>
      <c r="G104" s="137" t="s">
        <v>114</v>
      </c>
      <c r="H104" s="150" t="s">
        <v>115</v>
      </c>
      <c r="I104" s="137" t="s">
        <v>32</v>
      </c>
      <c r="J104" s="137"/>
      <c r="K104" s="137"/>
      <c r="L104" s="137"/>
      <c r="M104" s="137"/>
      <c r="N104" s="137"/>
      <c r="O104" s="137"/>
      <c r="P104" s="137"/>
      <c r="Q104" s="137" t="s">
        <v>116</v>
      </c>
    </row>
    <row r="105" spans="2:17" s="61" customFormat="1" ht="16.5" x14ac:dyDescent="0.25">
      <c r="B105" s="76"/>
      <c r="C105" s="137"/>
      <c r="D105" s="137"/>
      <c r="E105" s="137"/>
      <c r="F105" s="137"/>
      <c r="G105" s="137"/>
      <c r="H105" s="150"/>
      <c r="I105" s="52">
        <f>'[1]26MY_PROLOGUE_DATA'!$M$6</f>
        <v>0</v>
      </c>
      <c r="J105" s="52" t="str">
        <f>'[1]26MY_PROLOGUE_DATA'!$N$6</f>
        <v>EX</v>
      </c>
      <c r="K105" s="52" t="str">
        <f>'[1]26MY_PROLOGUE_DATA'!$O$6</f>
        <v>EX-L</v>
      </c>
      <c r="L105" s="52">
        <f>'[1]26MY_PROLOGUE_DATA'!$P$6</f>
        <v>0</v>
      </c>
      <c r="M105" s="52" t="str">
        <f>'[1]26MY_PROLOGUE_DATA'!$Q$6</f>
        <v>Touring</v>
      </c>
      <c r="N105" s="52">
        <f>'[1]26MY_PROLOGUE_DATA'!$T$6</f>
        <v>0</v>
      </c>
      <c r="O105" s="52">
        <f>'[1]26MY_PROLOGUE_DATA'!$T$6</f>
        <v>0</v>
      </c>
      <c r="P105" s="52">
        <f>'[1]26MY_PROLOGUE_DATA'!$T$6</f>
        <v>0</v>
      </c>
      <c r="Q105" s="137"/>
    </row>
    <row r="106" spans="2:17" s="73" customFormat="1" ht="60" x14ac:dyDescent="0.25">
      <c r="B106" s="71" t="s">
        <v>89</v>
      </c>
      <c r="C106" s="135" t="str">
        <f>VLOOKUP(B106,'[1]26MY_PROLOGUE_DATA'!B:AS,4,FALSE)</f>
        <v>Chargeur portable</v>
      </c>
      <c r="D106" s="78" t="str">
        <f t="shared" ref="D106:D107" si="9">B106</f>
        <v>08E70-PT9-300CP</v>
      </c>
      <c r="E106" s="56">
        <f>VLOOKUP(B106,'[1]26MY_PROLOGUE_DATA'!B:AS,9,FALSE)</f>
        <v>513</v>
      </c>
      <c r="F106" s="56">
        <f>VLOOKUP(B106,'[1]26MY_PROLOGUE_DATA'!B:AS,10,FALSE)</f>
        <v>855</v>
      </c>
      <c r="G106" s="57">
        <f>VLOOKUP(B106,'[1]26MY_PROLOGUE_DATA'!B:AS,7,FALSE)</f>
        <v>0</v>
      </c>
      <c r="H106" s="58">
        <f>VLOOKUP(B106,'[1]26MY_PROLOGUE_DATA'!B:AS,11,FALSE)</f>
        <v>855</v>
      </c>
      <c r="I106" s="59">
        <f>VLOOKUP(B106,'[1]26MY_PROLOGUE_DATA'!B:AS,12,FALSE)</f>
        <v>0</v>
      </c>
      <c r="J106" s="59" t="str">
        <f>VLOOKUP(B106,'[1]26MY_PROLOGUE_DATA'!B:AS,13,FALSE)</f>
        <v>•</v>
      </c>
      <c r="K106" s="59" t="str">
        <f>VLOOKUP(B106,'[1]26MY_PROLOGUE_DATA'!B:AS,14,FALSE)</f>
        <v>•</v>
      </c>
      <c r="L106" s="59">
        <f>VLOOKUP(B106,'[1]26MY_PROLOGUE_DATA'!B:AS,15,FALSE)</f>
        <v>0</v>
      </c>
      <c r="M106" s="59" t="str">
        <f>VLOOKUP($B106,'[1]26MY_PROLOGUE_DATA'!$B:$AS,16,FALSE)</f>
        <v>•</v>
      </c>
      <c r="N106" s="59">
        <f>VLOOKUP($B106,'[1]26MY_PROLOGUE_DATA'!$B:$AS,17,FALSE)</f>
        <v>0</v>
      </c>
      <c r="O106" s="59">
        <f>VLOOKUP($B106,'[1]26MY_PROLOGUE_DATA'!$B:$AS,18,FALSE)</f>
        <v>0</v>
      </c>
      <c r="P106" s="59">
        <f>VLOOKUP(B106,'[1]26MY_PROLOGUE_DATA'!B:AS,19,FALSE)</f>
        <v>0</v>
      </c>
      <c r="Q106" s="79" t="str">
        <f>IF(VLOOKUP(B106,'[1]26MY_PROLOGUE_DATA'!B:AS,21,FALSE)="","",VLOOKUP(B106,'[1]26MY_PROLOGUE_DATA'!B:AS,21,FALSE))</f>
        <v>Permet une recharge jusqu’à 23,2 milles d’autonomie par heure avec une prise de courant pour électroménager (NEMA 14-50)
Permet une recharge jusqu’à 4,2 milles d’autonomie par heure avec une prise domestique standard (NEMA 5-15)</v>
      </c>
    </row>
    <row r="107" spans="2:17" s="73" customFormat="1" ht="16.5" x14ac:dyDescent="0.25">
      <c r="B107" s="71">
        <v>86275140</v>
      </c>
      <c r="C107" s="135" t="str">
        <f>VLOOKUP(B107,'[1]26MY_PROLOGUE_DATA'!B:AS,4,FALSE)</f>
        <v>Honda Adaptateur NACS-CCS</v>
      </c>
      <c r="D107" s="111">
        <f t="shared" si="9"/>
        <v>86275140</v>
      </c>
      <c r="E107" s="56">
        <f>VLOOKUP(B107,'[1]26MY_PROLOGUE_DATA'!B:AS,9,FALSE)</f>
        <v>321</v>
      </c>
      <c r="F107" s="56">
        <f>VLOOKUP(B107,'[1]26MY_PROLOGUE_DATA'!B:AS,10,FALSE)</f>
        <v>400</v>
      </c>
      <c r="G107" s="57">
        <f>VLOOKUP(B107,'[1]26MY_PROLOGUE_DATA'!B:AS,7,FALSE)</f>
        <v>0</v>
      </c>
      <c r="H107" s="58">
        <f>VLOOKUP(B107,'[1]26MY_PROLOGUE_DATA'!B:AS,11,FALSE)</f>
        <v>400</v>
      </c>
      <c r="I107" s="59">
        <f>VLOOKUP(B107,'[1]26MY_PROLOGUE_DATA'!B:AS,12,FALSE)</f>
        <v>0</v>
      </c>
      <c r="J107" s="59" t="str">
        <f>VLOOKUP(B107,'[1]26MY_PROLOGUE_DATA'!B:AS,13,FALSE)</f>
        <v>•</v>
      </c>
      <c r="K107" s="59" t="str">
        <f>VLOOKUP(B107,'[1]26MY_PROLOGUE_DATA'!B:AS,14,FALSE)</f>
        <v>•</v>
      </c>
      <c r="L107" s="59">
        <f>VLOOKUP(B107,'[1]26MY_PROLOGUE_DATA'!B:AS,15,FALSE)</f>
        <v>0</v>
      </c>
      <c r="M107" s="59" t="str">
        <f>VLOOKUP($B107,'[1]26MY_PROLOGUE_DATA'!$B:$AS,16,FALSE)</f>
        <v>•</v>
      </c>
      <c r="N107" s="59">
        <f>VLOOKUP($B107,'[1]26MY_PROLOGUE_DATA'!$B:$AS,17,FALSE)</f>
        <v>0</v>
      </c>
      <c r="O107" s="59">
        <f>VLOOKUP($B107,'[1]26MY_PROLOGUE_DATA'!$B:$AS,18,FALSE)</f>
        <v>0</v>
      </c>
      <c r="P107" s="59">
        <f>VLOOKUP(B107,'[1]26MY_PROLOGUE_DATA'!B:AS,19,FALSE)</f>
        <v>0</v>
      </c>
      <c r="Q107" s="79" t="str">
        <f>IF(VLOOKUP(B107,'[1]26MY_PROLOGUE_DATA'!B:AS,21,FALSE)="","",VLOOKUP(B107,'[1]26MY_PROLOGUE_DATA'!B:AS,21,FALSE))</f>
        <v/>
      </c>
    </row>
    <row r="108" spans="2:17" s="73" customFormat="1" ht="15" customHeight="1" x14ac:dyDescent="0.25">
      <c r="B108" s="71"/>
      <c r="C108" s="112"/>
      <c r="D108" s="113"/>
      <c r="E108" s="48"/>
      <c r="F108" s="48"/>
      <c r="G108" s="114"/>
      <c r="H108" s="48"/>
      <c r="I108" s="48"/>
      <c r="J108" s="48"/>
      <c r="K108" s="48"/>
      <c r="L108" s="48"/>
      <c r="M108" s="48"/>
      <c r="N108" s="48"/>
      <c r="O108" s="48"/>
      <c r="P108" s="48"/>
      <c r="Q108" s="72"/>
    </row>
    <row r="109" spans="2:17" s="75" customFormat="1" ht="18.75" x14ac:dyDescent="0.3">
      <c r="B109" s="71"/>
      <c r="C109" s="46" t="s">
        <v>123</v>
      </c>
      <c r="D109" s="46"/>
      <c r="E109" s="74"/>
      <c r="F109" s="74"/>
      <c r="G109" s="74"/>
      <c r="H109" s="74"/>
      <c r="I109" s="74"/>
      <c r="J109" s="74"/>
      <c r="K109" s="74"/>
      <c r="L109" s="74"/>
      <c r="M109" s="74"/>
      <c r="N109" s="74"/>
      <c r="O109" s="74"/>
      <c r="P109" s="74"/>
      <c r="Q109" s="74"/>
    </row>
    <row r="110" spans="2:17" s="61" customFormat="1" ht="15" customHeight="1" x14ac:dyDescent="0.25">
      <c r="B110" s="76"/>
      <c r="C110" s="137" t="s">
        <v>110</v>
      </c>
      <c r="D110" s="137" t="s">
        <v>111</v>
      </c>
      <c r="E110" s="137" t="s">
        <v>112</v>
      </c>
      <c r="F110" s="137" t="s">
        <v>113</v>
      </c>
      <c r="G110" s="137" t="s">
        <v>114</v>
      </c>
      <c r="H110" s="150" t="s">
        <v>115</v>
      </c>
      <c r="I110" s="137" t="s">
        <v>32</v>
      </c>
      <c r="J110" s="137"/>
      <c r="K110" s="137"/>
      <c r="L110" s="137"/>
      <c r="M110" s="137"/>
      <c r="N110" s="137"/>
      <c r="O110" s="137"/>
      <c r="P110" s="137"/>
      <c r="Q110" s="137" t="s">
        <v>116</v>
      </c>
    </row>
    <row r="111" spans="2:17" s="61" customFormat="1" ht="16.5" x14ac:dyDescent="0.25">
      <c r="B111" s="76"/>
      <c r="C111" s="137"/>
      <c r="D111" s="137"/>
      <c r="E111" s="137"/>
      <c r="F111" s="137"/>
      <c r="G111" s="137"/>
      <c r="H111" s="150"/>
      <c r="I111" s="52">
        <f>'[1]26MY_PROLOGUE_DATA'!$M$6</f>
        <v>0</v>
      </c>
      <c r="J111" s="52" t="str">
        <f>'[1]26MY_PROLOGUE_DATA'!$N$6</f>
        <v>EX</v>
      </c>
      <c r="K111" s="52" t="str">
        <f>'[1]26MY_PROLOGUE_DATA'!$O$6</f>
        <v>EX-L</v>
      </c>
      <c r="L111" s="52">
        <f>'[1]26MY_PROLOGUE_DATA'!$P$6</f>
        <v>0</v>
      </c>
      <c r="M111" s="52" t="str">
        <f>'[1]26MY_PROLOGUE_DATA'!$Q$6</f>
        <v>Touring</v>
      </c>
      <c r="N111" s="52">
        <f>'[1]26MY_PROLOGUE_DATA'!$T$6</f>
        <v>0</v>
      </c>
      <c r="O111" s="52">
        <f>'[1]26MY_PROLOGUE_DATA'!$T$6</f>
        <v>0</v>
      </c>
      <c r="P111" s="52">
        <f>'[1]26MY_PROLOGUE_DATA'!$T$6</f>
        <v>0</v>
      </c>
      <c r="Q111" s="137"/>
    </row>
    <row r="112" spans="2:17" s="73" customFormat="1" ht="15" customHeight="1" x14ac:dyDescent="0.25">
      <c r="B112" s="71" t="s">
        <v>91</v>
      </c>
      <c r="C112" s="135" t="str">
        <f>VLOOKUP(B112,'[1]26MY_PROLOGUE_DATA'!B:AS,4,FALSE)</f>
        <v>Chute de neige nacrée (140X)</v>
      </c>
      <c r="D112" s="78" t="str">
        <f t="shared" ref="D112:D117" si="10">B112</f>
        <v>TUCH-140X-A1</v>
      </c>
      <c r="E112" s="138">
        <f>VLOOKUP(B112,'[1]26MY_PROLOGUE_DATA'!B:AS,9,FALSE)</f>
        <v>13</v>
      </c>
      <c r="F112" s="138">
        <f>VLOOKUP(B112,'[1]26MY_PROLOGUE_DATA'!B:AS,10,FALSE)</f>
        <v>21.5</v>
      </c>
      <c r="G112" s="141">
        <f>VLOOKUP(B112,'[1]26MY_PROLOGUE_DATA'!B:AS,7,FALSE)</f>
        <v>0</v>
      </c>
      <c r="H112" s="144">
        <f>VLOOKUP(B112,'[1]26MY_PROLOGUE_DATA'!B:AS,11,FALSE)</f>
        <v>21.5</v>
      </c>
      <c r="I112" s="59">
        <f>VLOOKUP(B112,'[1]26MY_PROLOGUE_DATA'!B:AS,12,FALSE)</f>
        <v>0</v>
      </c>
      <c r="J112" s="59" t="str">
        <f>VLOOKUP(B112,'[1]26MY_PROLOGUE_DATA'!B:AS,13,FALSE)</f>
        <v>•</v>
      </c>
      <c r="K112" s="59" t="str">
        <f>VLOOKUP(B112,'[1]26MY_PROLOGUE_DATA'!B:AS,14,FALSE)</f>
        <v>•</v>
      </c>
      <c r="L112" s="59">
        <f>VLOOKUP(B112,'[1]26MY_PROLOGUE_DATA'!B:AS,15,FALSE)</f>
        <v>0</v>
      </c>
      <c r="M112" s="59" t="str">
        <f>VLOOKUP($B112,'[1]26MY_PROLOGUE_DATA'!$B:$AS,16,FALSE)</f>
        <v>•</v>
      </c>
      <c r="N112" s="59">
        <f>VLOOKUP($B112,'[1]26MY_PROLOGUE_DATA'!$B:$AS,17,FALSE)</f>
        <v>0</v>
      </c>
      <c r="O112" s="59">
        <f>VLOOKUP($B112,'[1]26MY_PROLOGUE_DATA'!$B:$AS,18,FALSE)</f>
        <v>0</v>
      </c>
      <c r="P112" s="59">
        <f>VLOOKUP(B112,'[1]26MY_PROLOGUE_DATA'!B:AS,19,FALSE)</f>
        <v>0</v>
      </c>
      <c r="Q112" s="147" t="str">
        <f>IF(VLOOKUP(B112,'[1]26MY_PROLOGUE_DATA'!B:AS,21,FALSE)="","",VLOOKUP(B112,'[1]26MY_PROLOGUE_DATA'!B:AS,21,FALSE))</f>
        <v/>
      </c>
    </row>
    <row r="113" spans="2:17" s="73" customFormat="1" ht="15" customHeight="1" x14ac:dyDescent="0.25">
      <c r="B113" s="71" t="s">
        <v>92</v>
      </c>
      <c r="C113" s="135" t="str">
        <f>VLOOKUP(B113,'[1]26MY_PROLOGUE_DATA'!B:AS,4,FALSE)</f>
        <v>Argent mercure métallisé (130H)</v>
      </c>
      <c r="D113" s="78" t="str">
        <f t="shared" si="10"/>
        <v>TUCH-130H-A1</v>
      </c>
      <c r="E113" s="139"/>
      <c r="F113" s="139"/>
      <c r="G113" s="142"/>
      <c r="H113" s="145"/>
      <c r="I113" s="59">
        <f>VLOOKUP(B113,'[1]26MY_PROLOGUE_DATA'!B:AS,12,FALSE)</f>
        <v>0</v>
      </c>
      <c r="J113" s="59" t="str">
        <f>VLOOKUP(B113,'[1]26MY_PROLOGUE_DATA'!B:AS,13,FALSE)</f>
        <v>•</v>
      </c>
      <c r="K113" s="59" t="str">
        <f>VLOOKUP(B113,'[1]26MY_PROLOGUE_DATA'!B:AS,14,FALSE)</f>
        <v>•</v>
      </c>
      <c r="L113" s="59">
        <f>VLOOKUP(B113,'[1]26MY_PROLOGUE_DATA'!B:AS,15,FALSE)</f>
        <v>0</v>
      </c>
      <c r="M113" s="59" t="str">
        <f>VLOOKUP($B113,'[1]26MY_PROLOGUE_DATA'!$B:$AS,16,FALSE)</f>
        <v>•</v>
      </c>
      <c r="N113" s="59">
        <f>VLOOKUP($B113,'[1]26MY_PROLOGUE_DATA'!$B:$AS,17,FALSE)</f>
        <v>0</v>
      </c>
      <c r="O113" s="59">
        <f>VLOOKUP($B113,'[1]26MY_PROLOGUE_DATA'!$B:$AS,18,FALSE)</f>
        <v>0</v>
      </c>
      <c r="P113" s="59">
        <f>VLOOKUP(B113,'[1]26MY_PROLOGUE_DATA'!B:AS,19,FALSE)</f>
        <v>0</v>
      </c>
      <c r="Q113" s="148"/>
    </row>
    <row r="114" spans="2:17" s="73" customFormat="1" ht="15" customHeight="1" x14ac:dyDescent="0.25">
      <c r="B114" s="71" t="s">
        <v>93</v>
      </c>
      <c r="C114" s="135" t="str">
        <f>VLOOKUP(B114,'[1]26MY_PROLOGUE_DATA'!B:AS,4,FALSE)</f>
        <v>Rouge écarlate métallisé (170H)</v>
      </c>
      <c r="D114" s="78" t="str">
        <f t="shared" si="10"/>
        <v>TUCH-170H-A1</v>
      </c>
      <c r="E114" s="139"/>
      <c r="F114" s="139"/>
      <c r="G114" s="142"/>
      <c r="H114" s="145"/>
      <c r="I114" s="59">
        <f>VLOOKUP(B114,'[1]26MY_PROLOGUE_DATA'!B:AS,12,FALSE)</f>
        <v>0</v>
      </c>
      <c r="J114" s="59" t="str">
        <f>VLOOKUP(B114,'[1]26MY_PROLOGUE_DATA'!B:AS,13,FALSE)</f>
        <v>•</v>
      </c>
      <c r="K114" s="59" t="str">
        <f>VLOOKUP(B114,'[1]26MY_PROLOGUE_DATA'!B:AS,14,FALSE)</f>
        <v>•</v>
      </c>
      <c r="L114" s="59">
        <f>VLOOKUP(B114,'[1]26MY_PROLOGUE_DATA'!B:AS,15,FALSE)</f>
        <v>0</v>
      </c>
      <c r="M114" s="59" t="str">
        <f>VLOOKUP($B114,'[1]26MY_PROLOGUE_DATA'!$B:$AS,16,FALSE)</f>
        <v>•</v>
      </c>
      <c r="N114" s="59">
        <f>VLOOKUP($B114,'[1]26MY_PROLOGUE_DATA'!$B:$AS,17,FALSE)</f>
        <v>0</v>
      </c>
      <c r="O114" s="59">
        <f>VLOOKUP($B114,'[1]26MY_PROLOGUE_DATA'!$B:$AS,18,FALSE)</f>
        <v>0</v>
      </c>
      <c r="P114" s="59">
        <f>VLOOKUP(B114,'[1]26MY_PROLOGUE_DATA'!B:AS,19,FALSE)</f>
        <v>0</v>
      </c>
      <c r="Q114" s="148"/>
    </row>
    <row r="115" spans="2:17" s="73" customFormat="1" ht="15" customHeight="1" x14ac:dyDescent="0.25">
      <c r="B115" s="71" t="s">
        <v>94</v>
      </c>
      <c r="C115" s="135" t="str">
        <f>VLOOKUP(B115,'[1]26MY_PROLOGUE_DATA'!B:AS,4,FALSE)</f>
        <v>Bleu pacifique métallisé (121J)</v>
      </c>
      <c r="D115" s="78" t="str">
        <f t="shared" si="10"/>
        <v>TUCH-121J-A1</v>
      </c>
      <c r="E115" s="139"/>
      <c r="F115" s="139"/>
      <c r="G115" s="142"/>
      <c r="H115" s="145"/>
      <c r="I115" s="59">
        <f>VLOOKUP(B115,'[1]26MY_PROLOGUE_DATA'!B:AS,12,FALSE)</f>
        <v>0</v>
      </c>
      <c r="J115" s="59" t="str">
        <f>VLOOKUP(B115,'[1]26MY_PROLOGUE_DATA'!B:AS,13,FALSE)</f>
        <v>N/A</v>
      </c>
      <c r="K115" s="59" t="str">
        <f>VLOOKUP(B115,'[1]26MY_PROLOGUE_DATA'!B:AS,14,FALSE)</f>
        <v>N/A</v>
      </c>
      <c r="L115" s="59">
        <f>VLOOKUP(B115,'[1]26MY_PROLOGUE_DATA'!B:AS,15,FALSE)</f>
        <v>0</v>
      </c>
      <c r="M115" s="59" t="str">
        <f>VLOOKUP($B115,'[1]26MY_PROLOGUE_DATA'!$B:$AS,16,FALSE)</f>
        <v>•</v>
      </c>
      <c r="N115" s="59">
        <f>VLOOKUP($B115,'[1]26MY_PROLOGUE_DATA'!$B:$AS,17,FALSE)</f>
        <v>0</v>
      </c>
      <c r="O115" s="59">
        <f>VLOOKUP($B115,'[1]26MY_PROLOGUE_DATA'!$B:$AS,18,FALSE)</f>
        <v>0</v>
      </c>
      <c r="P115" s="59">
        <f>VLOOKUP(B115,'[1]26MY_PROLOGUE_DATA'!B:AS,19,FALSE)</f>
        <v>0</v>
      </c>
      <c r="Q115" s="148"/>
    </row>
    <row r="116" spans="2:17" s="73" customFormat="1" ht="15" customHeight="1" x14ac:dyDescent="0.25">
      <c r="B116" s="71" t="s">
        <v>95</v>
      </c>
      <c r="C116" s="135" t="str">
        <f>VLOOKUP(B116,'[1]26MY_PROLOGUE_DATA'!B:AS,4,FALSE)</f>
        <v>Noir corbeau (8555)</v>
      </c>
      <c r="D116" s="78" t="str">
        <f t="shared" si="10"/>
        <v>TUCH-8555-A1</v>
      </c>
      <c r="E116" s="139"/>
      <c r="F116" s="139"/>
      <c r="G116" s="142"/>
      <c r="H116" s="145"/>
      <c r="I116" s="59">
        <f>VLOOKUP(B116,'[1]26MY_PROLOGUE_DATA'!B:AS,12,FALSE)</f>
        <v>0</v>
      </c>
      <c r="J116" s="59" t="str">
        <f>VLOOKUP(B116,'[1]26MY_PROLOGUE_DATA'!B:AS,13,FALSE)</f>
        <v>•</v>
      </c>
      <c r="K116" s="59" t="str">
        <f>VLOOKUP(B116,'[1]26MY_PROLOGUE_DATA'!B:AS,14,FALSE)</f>
        <v>•</v>
      </c>
      <c r="L116" s="59">
        <f>VLOOKUP(B116,'[1]26MY_PROLOGUE_DATA'!B:AS,15,FALSE)</f>
        <v>0</v>
      </c>
      <c r="M116" s="59" t="str">
        <f>VLOOKUP($B116,'[1]26MY_PROLOGUE_DATA'!$B:$AS,16,FALSE)</f>
        <v>•</v>
      </c>
      <c r="N116" s="59">
        <f>VLOOKUP($B116,'[1]26MY_PROLOGUE_DATA'!$B:$AS,17,FALSE)</f>
        <v>0</v>
      </c>
      <c r="O116" s="59">
        <f>VLOOKUP($B116,'[1]26MY_PROLOGUE_DATA'!$B:$AS,18,FALSE)</f>
        <v>0</v>
      </c>
      <c r="P116" s="59">
        <f>VLOOKUP(B116,'[1]26MY_PROLOGUE_DATA'!B:AS,19,FALSE)</f>
        <v>0</v>
      </c>
      <c r="Q116" s="148"/>
    </row>
    <row r="117" spans="2:17" s="73" customFormat="1" ht="15" customHeight="1" x14ac:dyDescent="0.25">
      <c r="B117" s="71" t="s">
        <v>96</v>
      </c>
      <c r="C117" s="135" t="str">
        <f>VLOOKUP(B117,'[1]26MY_PROLOGUE_DATA'!B:AS,4,FALSE)</f>
        <v>Gris sonique nacré (138P)</v>
      </c>
      <c r="D117" s="78" t="str">
        <f t="shared" si="10"/>
        <v>TUCH-138P-A1</v>
      </c>
      <c r="E117" s="140"/>
      <c r="F117" s="140"/>
      <c r="G117" s="143"/>
      <c r="H117" s="146"/>
      <c r="I117" s="59">
        <f>VLOOKUP(B117,'[1]26MY_PROLOGUE_DATA'!B:AS,12,FALSE)</f>
        <v>0</v>
      </c>
      <c r="J117" s="59" t="str">
        <f>VLOOKUP(B117,'[1]26MY_PROLOGUE_DATA'!B:AS,13,FALSE)</f>
        <v>N/A</v>
      </c>
      <c r="K117" s="59" t="str">
        <f>VLOOKUP(B117,'[1]26MY_PROLOGUE_DATA'!B:AS,14,FALSE)</f>
        <v>N/A</v>
      </c>
      <c r="L117" s="59">
        <f>VLOOKUP(B117,'[1]26MY_PROLOGUE_DATA'!B:AS,15,FALSE)</f>
        <v>0</v>
      </c>
      <c r="M117" s="59" t="str">
        <f>VLOOKUP($B117,'[1]26MY_PROLOGUE_DATA'!$B:$AS,16,FALSE)</f>
        <v>•</v>
      </c>
      <c r="N117" s="59">
        <f>VLOOKUP($B117,'[1]26MY_PROLOGUE_DATA'!$B:$AS,17,FALSE)</f>
        <v>0</v>
      </c>
      <c r="O117" s="59">
        <f>VLOOKUP($B117,'[1]26MY_PROLOGUE_DATA'!$B:$AS,18,FALSE)</f>
        <v>0</v>
      </c>
      <c r="P117" s="59">
        <f>VLOOKUP(B117,'[1]26MY_PROLOGUE_DATA'!B:AS,19,FALSE)</f>
        <v>0</v>
      </c>
      <c r="Q117" s="149"/>
    </row>
    <row r="118" spans="2:17" s="61" customFormat="1" ht="7.15" customHeight="1" x14ac:dyDescent="0.25">
      <c r="B118" s="76"/>
      <c r="C118" s="89"/>
      <c r="D118" s="90"/>
      <c r="E118" s="90"/>
      <c r="F118" s="90"/>
      <c r="G118" s="90"/>
      <c r="H118" s="90"/>
      <c r="I118" s="90"/>
      <c r="J118" s="90"/>
      <c r="K118" s="90"/>
      <c r="L118" s="90"/>
      <c r="M118" s="90"/>
      <c r="N118" s="90"/>
      <c r="O118" s="90"/>
      <c r="P118" s="90"/>
      <c r="Q118" s="115"/>
    </row>
    <row r="119" spans="2:17" s="73" customFormat="1" ht="15" customHeight="1" x14ac:dyDescent="0.25">
      <c r="B119" s="71" t="s">
        <v>97</v>
      </c>
      <c r="C119" s="135" t="str">
        <f>VLOOKUP(B119,'[1]26MY_PROLOGUE_DATA'!B:AS,4,FALSE)</f>
        <v>Aiguilles abrasives fines</v>
      </c>
      <c r="D119" s="78" t="str">
        <f t="shared" ref="D119:D121" si="11">B119</f>
        <v>TUCH-NEEDLES</v>
      </c>
      <c r="E119" s="56">
        <f>VLOOKUP(B119,'[1]26MY_PROLOGUE_DATA'!B:AS,9,FALSE)</f>
        <v>9.5</v>
      </c>
      <c r="F119" s="56">
        <f>VLOOKUP(B119,'[1]26MY_PROLOGUE_DATA'!B:AS,10,FALSE)</f>
        <v>15.75</v>
      </c>
      <c r="G119" s="57">
        <f>VLOOKUP(B119,'[1]26MY_PROLOGUE_DATA'!B:AS,7,FALSE)</f>
        <v>0</v>
      </c>
      <c r="H119" s="58">
        <f>VLOOKUP(B119,'[1]26MY_PROLOGUE_DATA'!B:AS,11,FALSE)</f>
        <v>15.75</v>
      </c>
      <c r="I119" s="59">
        <f>VLOOKUP(B119,'[1]26MY_PROLOGUE_DATA'!B:AS,12,FALSE)</f>
        <v>0</v>
      </c>
      <c r="J119" s="59" t="str">
        <f>VLOOKUP(B119,'[1]26MY_PROLOGUE_DATA'!B:AS,13,FALSE)</f>
        <v>•</v>
      </c>
      <c r="K119" s="59" t="str">
        <f>VLOOKUP(B119,'[1]26MY_PROLOGUE_DATA'!B:AS,14,FALSE)</f>
        <v>•</v>
      </c>
      <c r="L119" s="59">
        <f>VLOOKUP(B119,'[1]26MY_PROLOGUE_DATA'!B:AS,15,FALSE)</f>
        <v>0</v>
      </c>
      <c r="M119" s="59" t="str">
        <f>VLOOKUP($B119,'[1]26MY_PROLOGUE_DATA'!$B:$AS,16,FALSE)</f>
        <v>•</v>
      </c>
      <c r="N119" s="59">
        <f>VLOOKUP($B119,'[1]26MY_PROLOGUE_DATA'!$B:$AS,17,FALSE)</f>
        <v>0</v>
      </c>
      <c r="O119" s="59">
        <f>VLOOKUP($B119,'[1]26MY_PROLOGUE_DATA'!$B:$AS,18,FALSE)</f>
        <v>0</v>
      </c>
      <c r="P119" s="59">
        <f>VLOOKUP(B119,'[1]26MY_PROLOGUE_DATA'!B:AS,19,FALSE)</f>
        <v>0</v>
      </c>
      <c r="Q119" s="79" t="str">
        <f>IF(VLOOKUP(B119,'[1]26MY_PROLOGUE_DATA'!B:AS,21,FALSE)="","",VLOOKUP(B119,'[1]26MY_PROLOGUE_DATA'!B:AS,21,FALSE))</f>
        <v>Quantité de 5</v>
      </c>
    </row>
    <row r="120" spans="2:17" s="73" customFormat="1" ht="15" customHeight="1" x14ac:dyDescent="0.25">
      <c r="B120" s="71" t="s">
        <v>98</v>
      </c>
      <c r="C120" s="135" t="str">
        <f>VLOOKUP(B120,'[1]26MY_PROLOGUE_DATA'!B:AS,4,FALSE)</f>
        <v>Bâtons abrasifs fins</v>
      </c>
      <c r="D120" s="78" t="str">
        <f t="shared" si="11"/>
        <v>TUCH-STICKS</v>
      </c>
      <c r="E120" s="56">
        <f>VLOOKUP(B120,'[1]26MY_PROLOGUE_DATA'!B:AS,9,FALSE)</f>
        <v>2.4500000000000002</v>
      </c>
      <c r="F120" s="56">
        <f>VLOOKUP(B120,'[1]26MY_PROLOGUE_DATA'!B:AS,10,FALSE)</f>
        <v>4</v>
      </c>
      <c r="G120" s="57">
        <f>VLOOKUP(B120,'[1]26MY_PROLOGUE_DATA'!B:AS,7,FALSE)</f>
        <v>0</v>
      </c>
      <c r="H120" s="58">
        <f>VLOOKUP(B120,'[1]26MY_PROLOGUE_DATA'!B:AS,11,FALSE)</f>
        <v>4</v>
      </c>
      <c r="I120" s="59">
        <f>VLOOKUP(B120,'[1]26MY_PROLOGUE_DATA'!B:AS,12,FALSE)</f>
        <v>0</v>
      </c>
      <c r="J120" s="59" t="str">
        <f>VLOOKUP(B120,'[1]26MY_PROLOGUE_DATA'!B:AS,13,FALSE)</f>
        <v>•</v>
      </c>
      <c r="K120" s="59" t="str">
        <f>VLOOKUP(B120,'[1]26MY_PROLOGUE_DATA'!B:AS,14,FALSE)</f>
        <v>•</v>
      </c>
      <c r="L120" s="59">
        <f>VLOOKUP(B120,'[1]26MY_PROLOGUE_DATA'!B:AS,15,FALSE)</f>
        <v>0</v>
      </c>
      <c r="M120" s="59" t="str">
        <f>VLOOKUP($B120,'[1]26MY_PROLOGUE_DATA'!$B:$AS,16,FALSE)</f>
        <v>•</v>
      </c>
      <c r="N120" s="59">
        <f>VLOOKUP($B120,'[1]26MY_PROLOGUE_DATA'!$B:$AS,17,FALSE)</f>
        <v>0</v>
      </c>
      <c r="O120" s="59">
        <f>VLOOKUP($B120,'[1]26MY_PROLOGUE_DATA'!$B:$AS,18,FALSE)</f>
        <v>0</v>
      </c>
      <c r="P120" s="59">
        <f>VLOOKUP(B120,'[1]26MY_PROLOGUE_DATA'!B:AS,19,FALSE)</f>
        <v>0</v>
      </c>
      <c r="Q120" s="79" t="str">
        <f>IF(VLOOKUP(B120,'[1]26MY_PROLOGUE_DATA'!B:AS,21,FALSE)="","",VLOOKUP(B120,'[1]26MY_PROLOGUE_DATA'!B:AS,21,FALSE))</f>
        <v>Quantité de 5</v>
      </c>
    </row>
    <row r="121" spans="2:17" s="73" customFormat="1" ht="15" customHeight="1" x14ac:dyDescent="0.25">
      <c r="B121" s="71" t="s">
        <v>99</v>
      </c>
      <c r="C121" s="135" t="str">
        <f>VLOOKUP(B121,'[1]26MY_PROLOGUE_DATA'!B:AS,4,FALSE)</f>
        <v>Pointes de remplacement pour stylos de peinture</v>
      </c>
      <c r="D121" s="78" t="str">
        <f t="shared" si="11"/>
        <v>TUCH-TIPS</v>
      </c>
      <c r="E121" s="56">
        <f>VLOOKUP(B121,'[1]26MY_PROLOGUE_DATA'!B:AS,9,FALSE)</f>
        <v>13.75</v>
      </c>
      <c r="F121" s="56">
        <f>VLOOKUP(B121,'[1]26MY_PROLOGUE_DATA'!B:AS,10,FALSE)</f>
        <v>23</v>
      </c>
      <c r="G121" s="57">
        <f>VLOOKUP(B121,'[1]26MY_PROLOGUE_DATA'!B:AS,7,FALSE)</f>
        <v>0</v>
      </c>
      <c r="H121" s="58">
        <f>VLOOKUP(B121,'[1]26MY_PROLOGUE_DATA'!B:AS,11,FALSE)</f>
        <v>23</v>
      </c>
      <c r="I121" s="59">
        <f>VLOOKUP(B121,'[1]26MY_PROLOGUE_DATA'!B:AS,12,FALSE)</f>
        <v>0</v>
      </c>
      <c r="J121" s="59" t="str">
        <f>VLOOKUP(B121,'[1]26MY_PROLOGUE_DATA'!B:AS,13,FALSE)</f>
        <v>•</v>
      </c>
      <c r="K121" s="59" t="str">
        <f>VLOOKUP(B121,'[1]26MY_PROLOGUE_DATA'!B:AS,14,FALSE)</f>
        <v>•</v>
      </c>
      <c r="L121" s="59">
        <f>VLOOKUP(B121,'[1]26MY_PROLOGUE_DATA'!B:AS,15,FALSE)</f>
        <v>0</v>
      </c>
      <c r="M121" s="59" t="str">
        <f>VLOOKUP($B121,'[1]26MY_PROLOGUE_DATA'!$B:$AS,16,FALSE)</f>
        <v>•</v>
      </c>
      <c r="N121" s="59">
        <f>VLOOKUP($B121,'[1]26MY_PROLOGUE_DATA'!$B:$AS,17,FALSE)</f>
        <v>0</v>
      </c>
      <c r="O121" s="59">
        <f>VLOOKUP($B121,'[1]26MY_PROLOGUE_DATA'!$B:$AS,18,FALSE)</f>
        <v>0</v>
      </c>
      <c r="P121" s="59">
        <f>VLOOKUP(B121,'[1]26MY_PROLOGUE_DATA'!B:AS,19,FALSE)</f>
        <v>0</v>
      </c>
      <c r="Q121" s="79" t="str">
        <f>IF(VLOOKUP(B121,'[1]26MY_PROLOGUE_DATA'!B:AS,21,FALSE)="","",VLOOKUP(B121,'[1]26MY_PROLOGUE_DATA'!B:AS,21,FALSE))</f>
        <v>Quantité de 25</v>
      </c>
    </row>
    <row r="122" spans="2:17" s="73" customFormat="1" ht="15" customHeight="1" x14ac:dyDescent="0.25">
      <c r="B122" s="120"/>
      <c r="C122" s="81"/>
      <c r="D122" s="116"/>
      <c r="E122" s="117"/>
      <c r="F122" s="117"/>
      <c r="G122" s="118"/>
      <c r="H122" s="119"/>
      <c r="I122" s="118"/>
      <c r="J122" s="118"/>
      <c r="K122" s="118"/>
      <c r="L122" s="118"/>
      <c r="M122" s="118"/>
      <c r="N122" s="118"/>
      <c r="O122" s="118"/>
      <c r="P122" s="118"/>
      <c r="Q122" s="118"/>
    </row>
    <row r="123" spans="2:17" s="73" customFormat="1" ht="15" customHeight="1" x14ac:dyDescent="0.25">
      <c r="B123" s="120"/>
      <c r="C123" s="121" t="s">
        <v>124</v>
      </c>
      <c r="D123" s="122" t="s">
        <v>15</v>
      </c>
      <c r="E123" s="123"/>
      <c r="F123" s="123"/>
      <c r="G123" s="123"/>
      <c r="H123" s="123"/>
      <c r="I123" s="123"/>
      <c r="J123" s="123"/>
      <c r="K123" s="123"/>
      <c r="L123" s="123"/>
      <c r="M123" s="123"/>
      <c r="N123" s="123"/>
      <c r="O123" s="123"/>
      <c r="P123" s="123"/>
      <c r="Q123" s="123"/>
    </row>
    <row r="124" spans="2:17" ht="14.25" customHeight="1" x14ac:dyDescent="0.25">
      <c r="C124" s="125">
        <f>'[1]26MY_PROLOGUE_DATA'!$C$4</f>
        <v>46056</v>
      </c>
      <c r="D124" s="122" t="s">
        <v>125</v>
      </c>
      <c r="E124" s="43"/>
      <c r="F124" s="43"/>
      <c r="G124" s="43"/>
      <c r="H124" s="43"/>
      <c r="I124" s="43"/>
      <c r="J124" s="43"/>
      <c r="K124" s="43"/>
      <c r="L124" s="43"/>
      <c r="M124" s="43"/>
      <c r="N124" s="43"/>
      <c r="O124" s="43"/>
      <c r="P124" s="43"/>
      <c r="Q124" s="43"/>
    </row>
    <row r="125" spans="2:17" ht="14.25" customHeight="1" x14ac:dyDescent="0.25"/>
    <row r="126" spans="2:17" ht="14.25" customHeight="1" x14ac:dyDescent="0.25"/>
    <row r="127" spans="2:17" ht="14.25" customHeight="1" x14ac:dyDescent="0.25"/>
    <row r="128" spans="2:17"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sheetData>
  <sheetProtection algorithmName="SHA-512" hashValue="qkf5SZQ77BzTOSuA41AHRSX9Lp4WkSOb9wNhPqaAWenzIy/edgZrFoHaBwjeUIeUfWe3fFd4NUgZfZv5I7zjTQ==" saltValue="Yhh1N2go0rdAZbgsIoo4Ow==" spinCount="100000" sheet="1" objects="1" scenarios="1"/>
  <mergeCells count="124">
    <mergeCell ref="C5:M5"/>
    <mergeCell ref="C6:M6"/>
    <mergeCell ref="C7:M7"/>
    <mergeCell ref="C8:M8"/>
    <mergeCell ref="C12:C13"/>
    <mergeCell ref="D12:D13"/>
    <mergeCell ref="E12:E13"/>
    <mergeCell ref="F12:F13"/>
    <mergeCell ref="G12:G13"/>
    <mergeCell ref="H12:H13"/>
    <mergeCell ref="I12:P12"/>
    <mergeCell ref="Q12:Q13"/>
    <mergeCell ref="E14:E16"/>
    <mergeCell ref="F14:F16"/>
    <mergeCell ref="G14:G16"/>
    <mergeCell ref="H14:H16"/>
    <mergeCell ref="I14:I16"/>
    <mergeCell ref="J14:J16"/>
    <mergeCell ref="K14:K16"/>
    <mergeCell ref="L14:L16"/>
    <mergeCell ref="M14:M16"/>
    <mergeCell ref="N14:N16"/>
    <mergeCell ref="O14:O16"/>
    <mergeCell ref="P14:P16"/>
    <mergeCell ref="Q14:Q16"/>
    <mergeCell ref="E18:E22"/>
    <mergeCell ref="F18:F22"/>
    <mergeCell ref="G18:G22"/>
    <mergeCell ref="H18:H22"/>
    <mergeCell ref="I18:I22"/>
    <mergeCell ref="P18:P22"/>
    <mergeCell ref="Q18:Q22"/>
    <mergeCell ref="E24:E27"/>
    <mergeCell ref="F24:F27"/>
    <mergeCell ref="G24:G27"/>
    <mergeCell ref="H24:H27"/>
    <mergeCell ref="I24:I27"/>
    <mergeCell ref="J24:J27"/>
    <mergeCell ref="K24:K27"/>
    <mergeCell ref="L24:L27"/>
    <mergeCell ref="J18:J22"/>
    <mergeCell ref="K18:K22"/>
    <mergeCell ref="L18:L22"/>
    <mergeCell ref="M18:M22"/>
    <mergeCell ref="N18:N22"/>
    <mergeCell ref="O18:O22"/>
    <mergeCell ref="M24:M27"/>
    <mergeCell ref="N24:N27"/>
    <mergeCell ref="O24:O27"/>
    <mergeCell ref="P24:P27"/>
    <mergeCell ref="Q24:Q27"/>
    <mergeCell ref="E29:E33"/>
    <mergeCell ref="F29:F33"/>
    <mergeCell ref="G29:G33"/>
    <mergeCell ref="H29:H33"/>
    <mergeCell ref="I29:I33"/>
    <mergeCell ref="P29:P33"/>
    <mergeCell ref="Q29:Q33"/>
    <mergeCell ref="E35:E40"/>
    <mergeCell ref="F35:F40"/>
    <mergeCell ref="G35:G40"/>
    <mergeCell ref="H35:H40"/>
    <mergeCell ref="I35:I40"/>
    <mergeCell ref="J35:J40"/>
    <mergeCell ref="K35:K40"/>
    <mergeCell ref="L35:L40"/>
    <mergeCell ref="J29:J33"/>
    <mergeCell ref="K29:K33"/>
    <mergeCell ref="L29:L33"/>
    <mergeCell ref="M29:M33"/>
    <mergeCell ref="N29:N33"/>
    <mergeCell ref="O29:O33"/>
    <mergeCell ref="M35:M40"/>
    <mergeCell ref="N35:N40"/>
    <mergeCell ref="O35:O40"/>
    <mergeCell ref="P35:P40"/>
    <mergeCell ref="Q35:Q40"/>
    <mergeCell ref="C43:C44"/>
    <mergeCell ref="D43:D44"/>
    <mergeCell ref="E43:E44"/>
    <mergeCell ref="F43:F44"/>
    <mergeCell ref="G43:G44"/>
    <mergeCell ref="H43:H44"/>
    <mergeCell ref="I43:P43"/>
    <mergeCell ref="Q43:Q44"/>
    <mergeCell ref="C51:C52"/>
    <mergeCell ref="D51:D52"/>
    <mergeCell ref="E51:E52"/>
    <mergeCell ref="F51:F52"/>
    <mergeCell ref="G51:G52"/>
    <mergeCell ref="H51:H52"/>
    <mergeCell ref="I51:P51"/>
    <mergeCell ref="Q51:Q52"/>
    <mergeCell ref="Q76:Q81"/>
    <mergeCell ref="Q84:Q89"/>
    <mergeCell ref="C93:C94"/>
    <mergeCell ref="D93:D94"/>
    <mergeCell ref="E93:E94"/>
    <mergeCell ref="F93:F94"/>
    <mergeCell ref="G93:G94"/>
    <mergeCell ref="H93:H94"/>
    <mergeCell ref="I93:P93"/>
    <mergeCell ref="Q93:Q94"/>
    <mergeCell ref="C104:C105"/>
    <mergeCell ref="D104:D105"/>
    <mergeCell ref="E104:E105"/>
    <mergeCell ref="F104:F105"/>
    <mergeCell ref="G104:G105"/>
    <mergeCell ref="H104:H105"/>
    <mergeCell ref="I104:P104"/>
    <mergeCell ref="Q104:Q105"/>
    <mergeCell ref="I110:P110"/>
    <mergeCell ref="Q110:Q111"/>
    <mergeCell ref="E112:E117"/>
    <mergeCell ref="F112:F117"/>
    <mergeCell ref="G112:G117"/>
    <mergeCell ref="H112:H117"/>
    <mergeCell ref="Q112:Q117"/>
    <mergeCell ref="C110:C111"/>
    <mergeCell ref="D110:D111"/>
    <mergeCell ref="E110:E111"/>
    <mergeCell ref="F110:F111"/>
    <mergeCell ref="G110:G111"/>
    <mergeCell ref="H110:H111"/>
  </mergeCells>
  <conditionalFormatting sqref="E1:F1 E2">
    <cfRule type="containsText" dxfId="3" priority="11" operator="containsText" text=".99">
      <formula>NOT(ISERROR(SEARCH(".99",E1)))</formula>
    </cfRule>
  </conditionalFormatting>
  <conditionalFormatting sqref="E5:F18 E23:F24 E28:F29 E34:F35">
    <cfRule type="containsText" dxfId="2" priority="10" operator="containsText" text=".99">
      <formula>NOT(ISERROR(SEARCH(".99",E5)))</formula>
    </cfRule>
  </conditionalFormatting>
  <conditionalFormatting sqref="E41:F112">
    <cfRule type="containsText" dxfId="1" priority="1" operator="containsText" text=".99">
      <formula>NOT(ISERROR(SEARCH(".99",E41)))</formula>
    </cfRule>
  </conditionalFormatting>
  <conditionalFormatting sqref="E118:F1048576">
    <cfRule type="containsText" dxfId="0" priority="2" operator="containsText" text=".99">
      <formula>NOT(ISERROR(SEARCH(".99",E118)))</formula>
    </cfRule>
  </conditionalFormatting>
  <printOptions horizontalCentered="1"/>
  <pageMargins left="0.23622047244094499" right="0.23622047244094499" top="0.39370078740157499" bottom="0.39370078740157499" header="0.31496062992126" footer="0.31496062992126"/>
  <pageSetup scale="50" fitToHeight="0" orientation="portrait" horizontalDpi="1200" verticalDpi="1200" r:id="rId1"/>
  <headerFooter>
    <oddFooter>&amp;CPage &amp;P of &amp;N</oddFooter>
  </headerFooter>
  <rowBreaks count="1" manualBreakCount="1">
    <brk id="74" min="2" max="1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SELECT PROVINCE</vt:lpstr>
      <vt:lpstr>26MY_Prologue_APP_EN</vt:lpstr>
      <vt:lpstr>26MY_Prologue_APP_FR</vt:lpstr>
      <vt:lpstr>'26MY_Prologue_APP_EN'!Print_Area</vt:lpstr>
      <vt:lpstr>'26MY_Prologue_APP_FR'!Print_Area</vt:lpstr>
      <vt:lpstr>'SELECT PROVINCE'!Print_Area</vt:lpstr>
      <vt:lpstr>'26MY_Prologue_APP_EN'!Print_Titles</vt:lpstr>
      <vt:lpstr>'26MY_Prologue_APP_FR'!Print_Titles</vt:lpstr>
      <vt:lpstr>prov_cd</vt:lpstr>
      <vt:lpstr>province_codes</vt:lpstr>
      <vt:lpstr>rate_table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Anishan Ravikandan</dc:creator>
  <cp:lastModifiedBy>Anishan Ravikandan</cp:lastModifiedBy>
  <dcterms:created xsi:type="dcterms:W3CDTF">2026-02-02T15:18:24Z</dcterms:created>
  <dcterms:modified xsi:type="dcterms:W3CDTF">2026-02-02T15:28:30Z</dcterms:modified>
</cp:coreProperties>
</file>