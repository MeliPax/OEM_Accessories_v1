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plewoodautogroup-my.sharepoint.com/personal/chageleit_applewood_ca/Documents/Desktop/"/>
    </mc:Choice>
  </mc:AlternateContent>
  <xr:revisionPtr revIDLastSave="0" documentId="8_{E8D8E009-A637-40EB-AC20-3825692719BC}" xr6:coauthVersionLast="47" xr6:coauthVersionMax="47" xr10:uidLastSave="{00000000-0000-0000-0000-000000000000}"/>
  <bookViews>
    <workbookView xWindow="-120" yWindow="-120" windowWidth="29040" windowHeight="15720" tabRatio="797" xr2:uid="{00000000-000D-0000-FFFF-FFFF00000000}"/>
  </bookViews>
  <sheets>
    <sheet name="2026 PHEV" sheetId="70" r:id="rId1"/>
    <sheet name="2026 Outlander" sheetId="69" r:id="rId2"/>
    <sheet name="2026 Eclipse Cross" sheetId="67" r:id="rId3"/>
    <sheet name="2026 RVR" sheetId="68" r:id="rId4"/>
    <sheet name="2025 Outlander " sheetId="65" r:id="rId5"/>
    <sheet name="2025 PHEV" sheetId="54" r:id="rId6"/>
    <sheet name="2025 Eclipse Cross" sheetId="64" r:id="rId7"/>
    <sheet name="2025 RVR" sheetId="66" r:id="rId8"/>
    <sheet name="2024 PHEV" sheetId="52" r:id="rId9"/>
    <sheet name="2024 Mirage" sheetId="49" r:id="rId10"/>
    <sheet name="2020 RVR" sheetId="3" state="hidden" r:id="rId11"/>
    <sheet name="Luxwood English" sheetId="41" state="hidden" r:id="rId12"/>
    <sheet name="Luxwood French" sheetId="44" state="hidden" r:id="rId13"/>
  </sheets>
  <externalReferences>
    <externalReference r:id="rId14"/>
  </externalReferences>
  <definedNames>
    <definedName name="_xlnm._FilterDatabase" localSheetId="10" hidden="1">'2020 RVR'!$A$2:$BE$121</definedName>
    <definedName name="_xlnm._FilterDatabase" localSheetId="9" hidden="1">'2024 Mirage'!$A$2:$P$113</definedName>
    <definedName name="_xlnm._FilterDatabase" localSheetId="8" hidden="1">'2024 PHEV'!$A$2:$R$141</definedName>
    <definedName name="_xlnm._FilterDatabase" localSheetId="6" hidden="1">'2025 Eclipse Cross'!$A$2:$R$2</definedName>
    <definedName name="_xlnm._FilterDatabase" localSheetId="4" hidden="1">'2025 Outlander '!$O$1:$O$134</definedName>
    <definedName name="_xlnm._FilterDatabase" localSheetId="5" hidden="1">'2025 PHEV'!$A$2:$T$137</definedName>
    <definedName name="_xlnm._FilterDatabase" localSheetId="2" hidden="1">'2026 Eclipse Cross'!$A$2:$Q$2</definedName>
    <definedName name="_xlnm._FilterDatabase" localSheetId="11" hidden="1">'Luxwood English'!$A$8:$A$9</definedName>
    <definedName name="Z_ED4CABDC_3928_41D5_B552_2BFBF1CA8BA6_.wvu.FilterData" localSheetId="10" hidden="1">'2020 RVR'!$A$2:$U$121</definedName>
    <definedName name="Z_ED4CABDC_3928_41D5_B552_2BFBF1CA8BA6_.wvu.FilterData" localSheetId="9" hidden="1">'2024 Mirage'!$A$2:$O$73</definedName>
  </definedNames>
  <calcPr calcId="191029"/>
  <customWorkbookViews>
    <customWorkbookView name="Ross Carvelli - Personal View" guid="{ED4CABDC-3928-41D5-B552-2BFBF1CA8BA6}" mergeInterval="0" personalView="1" maximized="1" xWindow="-8" yWindow="-8" windowWidth="1936" windowHeight="1056" tabRatio="945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6" i="70" l="1"/>
  <c r="S135" i="70"/>
  <c r="S134" i="70"/>
  <c r="S133" i="70"/>
  <c r="S132" i="70"/>
  <c r="S131" i="70"/>
  <c r="S130" i="70"/>
  <c r="T130" i="70"/>
  <c r="S129" i="70"/>
  <c r="S128" i="70"/>
  <c r="S127" i="70"/>
  <c r="S126" i="70"/>
  <c r="S125" i="70"/>
  <c r="S124" i="70"/>
  <c r="S123" i="70"/>
  <c r="S122" i="70"/>
  <c r="T122" i="70"/>
  <c r="S121" i="70"/>
  <c r="S120" i="70"/>
  <c r="S119" i="70"/>
  <c r="S118" i="70"/>
  <c r="S117" i="70"/>
  <c r="S116" i="70"/>
  <c r="S115" i="70"/>
  <c r="S114" i="70"/>
  <c r="S113" i="70"/>
  <c r="S112" i="70"/>
  <c r="S111" i="70"/>
  <c r="S110" i="70"/>
  <c r="S109" i="70"/>
  <c r="S108" i="70"/>
  <c r="S107" i="70"/>
  <c r="S106" i="70"/>
  <c r="S105" i="70"/>
  <c r="S104" i="70"/>
  <c r="S103" i="70"/>
  <c r="S102" i="70"/>
  <c r="T102" i="70"/>
  <c r="S101" i="70"/>
  <c r="S100" i="70"/>
  <c r="S99" i="70"/>
  <c r="S98" i="70"/>
  <c r="S97" i="70"/>
  <c r="T97" i="70" s="1"/>
  <c r="S96" i="70"/>
  <c r="S95" i="70"/>
  <c r="S94" i="70"/>
  <c r="S93" i="70"/>
  <c r="S92" i="70"/>
  <c r="S91" i="70"/>
  <c r="S90" i="70"/>
  <c r="S89" i="70"/>
  <c r="S88" i="70"/>
  <c r="T88" i="70"/>
  <c r="S87" i="70"/>
  <c r="S86" i="70"/>
  <c r="S85" i="70"/>
  <c r="S84" i="70"/>
  <c r="S83" i="70"/>
  <c r="T83" i="70" s="1"/>
  <c r="S82" i="70"/>
  <c r="S81" i="70"/>
  <c r="S80" i="70"/>
  <c r="S79" i="70"/>
  <c r="S78" i="70"/>
  <c r="S77" i="70"/>
  <c r="S76" i="70"/>
  <c r="S75" i="70"/>
  <c r="S74" i="70"/>
  <c r="S73" i="70"/>
  <c r="S72" i="70"/>
  <c r="S71" i="70"/>
  <c r="S70" i="70"/>
  <c r="S69" i="70"/>
  <c r="S68" i="70"/>
  <c r="S67" i="70"/>
  <c r="S66" i="70"/>
  <c r="S65" i="70"/>
  <c r="S64" i="70"/>
  <c r="S63" i="70"/>
  <c r="S62" i="70"/>
  <c r="S61" i="70"/>
  <c r="S60" i="70"/>
  <c r="T60" i="70"/>
  <c r="S59" i="70"/>
  <c r="S58" i="70"/>
  <c r="S57" i="70"/>
  <c r="S56" i="70"/>
  <c r="S55" i="70"/>
  <c r="S54" i="70"/>
  <c r="S53" i="70"/>
  <c r="T53" i="70"/>
  <c r="S52" i="70"/>
  <c r="S51" i="70"/>
  <c r="S50" i="70"/>
  <c r="S49" i="70"/>
  <c r="S48" i="70"/>
  <c r="S47" i="70"/>
  <c r="S46" i="70"/>
  <c r="T46" i="70"/>
  <c r="S45" i="70"/>
  <c r="S44" i="70"/>
  <c r="S43" i="70"/>
  <c r="S42" i="70"/>
  <c r="S41" i="70"/>
  <c r="S40" i="70"/>
  <c r="S39" i="70"/>
  <c r="S38" i="70"/>
  <c r="S37" i="70"/>
  <c r="T37" i="70"/>
  <c r="S36" i="70"/>
  <c r="S35" i="70"/>
  <c r="S34" i="70"/>
  <c r="S33" i="70"/>
  <c r="S32" i="70"/>
  <c r="T32" i="70"/>
  <c r="S31" i="70"/>
  <c r="S30" i="70"/>
  <c r="S29" i="70"/>
  <c r="S28" i="70"/>
  <c r="S27" i="70"/>
  <c r="S26" i="70"/>
  <c r="S25" i="70"/>
  <c r="S24" i="70"/>
  <c r="S23" i="70"/>
  <c r="S22" i="70"/>
  <c r="S21" i="70"/>
  <c r="S20" i="70"/>
  <c r="S19" i="70"/>
  <c r="S18" i="70"/>
  <c r="S17" i="70"/>
  <c r="S16" i="70"/>
  <c r="S15" i="70"/>
  <c r="S14" i="70"/>
  <c r="S13" i="70"/>
  <c r="S12" i="70"/>
  <c r="S11" i="70"/>
  <c r="S10" i="70"/>
  <c r="S9" i="70"/>
  <c r="S8" i="70"/>
  <c r="S7" i="70"/>
  <c r="S6" i="70"/>
  <c r="S5" i="70"/>
  <c r="S4" i="70"/>
  <c r="S3" i="70"/>
  <c r="T114" i="70" l="1"/>
  <c r="T51" i="70"/>
  <c r="T121" i="70"/>
  <c r="T15" i="70"/>
  <c r="T132" i="70"/>
  <c r="T39" i="70"/>
  <c r="T72" i="70"/>
  <c r="T49" i="70"/>
  <c r="T129" i="70"/>
  <c r="T41" i="70"/>
  <c r="T134" i="70"/>
  <c r="T65" i="70"/>
  <c r="T107" i="70"/>
  <c r="T135" i="70"/>
  <c r="T84" i="70"/>
  <c r="T69" i="70"/>
  <c r="T92" i="70"/>
  <c r="T106" i="70"/>
  <c r="T61" i="70"/>
  <c r="T126" i="70"/>
  <c r="T25" i="70"/>
  <c r="T117" i="70"/>
  <c r="T30" i="70"/>
  <c r="T40" i="70"/>
  <c r="T86" i="70"/>
  <c r="T100" i="70"/>
  <c r="T105" i="70"/>
  <c r="T128" i="70"/>
  <c r="T50" i="70"/>
  <c r="T54" i="70"/>
  <c r="T96" i="70"/>
  <c r="T4" i="70"/>
  <c r="T59" i="70"/>
  <c r="T124" i="70"/>
  <c r="T52" i="70"/>
  <c r="T75" i="70"/>
  <c r="T66" i="70"/>
  <c r="T85" i="70"/>
  <c r="T99" i="70"/>
  <c r="T113" i="70"/>
  <c r="T58" i="70"/>
  <c r="T63" i="70"/>
  <c r="T133" i="70"/>
  <c r="T18" i="70"/>
  <c r="T79" i="70"/>
  <c r="T93" i="70"/>
  <c r="T35" i="70"/>
  <c r="T44" i="70"/>
  <c r="T62" i="70"/>
  <c r="T67" i="70"/>
  <c r="T76" i="70"/>
  <c r="T90" i="70"/>
  <c r="T95" i="70"/>
  <c r="T104" i="70"/>
  <c r="T109" i="70"/>
  <c r="T118" i="70"/>
  <c r="T12" i="70"/>
  <c r="T8" i="70"/>
  <c r="T22" i="70"/>
  <c r="T31" i="70"/>
  <c r="T57" i="70"/>
  <c r="T70" i="70"/>
  <c r="T101" i="70"/>
  <c r="T110" i="70"/>
  <c r="T119" i="70"/>
  <c r="T11" i="70"/>
  <c r="T26" i="70"/>
  <c r="T3" i="70"/>
  <c r="T17" i="70"/>
  <c r="T13" i="70"/>
  <c r="T27" i="70"/>
  <c r="T36" i="70"/>
  <c r="T115" i="70"/>
  <c r="T28" i="70"/>
  <c r="T80" i="70"/>
  <c r="T89" i="70"/>
  <c r="T98" i="70"/>
  <c r="T116" i="70"/>
  <c r="T125" i="70"/>
  <c r="T16" i="70"/>
  <c r="T7" i="70"/>
  <c r="T21" i="70"/>
  <c r="T9" i="70"/>
  <c r="T23" i="70"/>
  <c r="T45" i="70"/>
  <c r="T71" i="70"/>
  <c r="T111" i="70"/>
  <c r="T120" i="70"/>
  <c r="T14" i="70"/>
  <c r="T5" i="70"/>
  <c r="T19" i="70"/>
  <c r="T10" i="70"/>
  <c r="T24" i="70"/>
  <c r="T33" i="70"/>
  <c r="T81" i="70"/>
  <c r="T94" i="70"/>
  <c r="T103" i="70"/>
  <c r="T112" i="70"/>
  <c r="T29" i="70"/>
  <c r="T42" i="70"/>
  <c r="T20" i="70"/>
  <c r="T34" i="70"/>
  <c r="T38" i="70"/>
  <c r="T55" i="70"/>
  <c r="T64" i="70"/>
  <c r="T68" i="70"/>
  <c r="T77" i="70"/>
  <c r="T108" i="70"/>
  <c r="T6" i="70"/>
  <c r="T43" i="70"/>
  <c r="T47" i="70"/>
  <c r="T73" i="70"/>
  <c r="T82" i="70"/>
  <c r="T91" i="70"/>
  <c r="T131" i="70"/>
  <c r="T56" i="70"/>
  <c r="T78" i="70"/>
  <c r="T127" i="70"/>
  <c r="T48" i="70"/>
  <c r="T74" i="70"/>
  <c r="T87" i="70"/>
  <c r="T123" i="70"/>
  <c r="T136" i="70"/>
  <c r="O119" i="49" l="1"/>
  <c r="P119" i="49"/>
  <c r="O118" i="49"/>
  <c r="O117" i="49"/>
  <c r="P117" i="49"/>
  <c r="O116" i="49"/>
  <c r="O115" i="49"/>
  <c r="P115" i="49"/>
  <c r="O114" i="49"/>
  <c r="O113" i="49"/>
  <c r="P113" i="49"/>
  <c r="O112" i="49"/>
  <c r="O111" i="49"/>
  <c r="O110" i="49"/>
  <c r="O109" i="49"/>
  <c r="O108" i="49"/>
  <c r="P108" i="49" s="1"/>
  <c r="O107" i="49"/>
  <c r="P107" i="49"/>
  <c r="O106" i="49"/>
  <c r="O105" i="49"/>
  <c r="P105" i="49"/>
  <c r="O104" i="49"/>
  <c r="O103" i="49"/>
  <c r="P103" i="49"/>
  <c r="O102" i="49"/>
  <c r="O101" i="49"/>
  <c r="O100" i="49"/>
  <c r="O99" i="49"/>
  <c r="P99" i="49"/>
  <c r="O98" i="49"/>
  <c r="O97" i="49"/>
  <c r="O96" i="49"/>
  <c r="O95" i="49"/>
  <c r="O94" i="49"/>
  <c r="P94" i="49" s="1"/>
  <c r="O93" i="49"/>
  <c r="P93" i="49"/>
  <c r="O92" i="49"/>
  <c r="O91" i="49"/>
  <c r="P91" i="49"/>
  <c r="O90" i="49"/>
  <c r="O89" i="49"/>
  <c r="P89" i="49"/>
  <c r="O88" i="49"/>
  <c r="O87" i="49"/>
  <c r="O86" i="49"/>
  <c r="O85" i="49"/>
  <c r="P85" i="49"/>
  <c r="O84" i="49"/>
  <c r="O83" i="49"/>
  <c r="O82" i="49"/>
  <c r="O81" i="49"/>
  <c r="O80" i="49"/>
  <c r="P80" i="49" s="1"/>
  <c r="O79" i="49"/>
  <c r="O78" i="49"/>
  <c r="O77" i="49"/>
  <c r="P77" i="49"/>
  <c r="O76" i="49"/>
  <c r="O75" i="49"/>
  <c r="P75" i="49"/>
  <c r="O74" i="49"/>
  <c r="O73" i="49"/>
  <c r="O72" i="49"/>
  <c r="O71" i="49"/>
  <c r="P71" i="49"/>
  <c r="O70" i="49"/>
  <c r="O69" i="49"/>
  <c r="O68" i="49"/>
  <c r="O67" i="49"/>
  <c r="O66" i="49"/>
  <c r="P66" i="49" s="1"/>
  <c r="O65" i="49"/>
  <c r="P65" i="49"/>
  <c r="O64" i="49"/>
  <c r="O63" i="49"/>
  <c r="P63" i="49"/>
  <c r="O62" i="49"/>
  <c r="O61" i="49"/>
  <c r="P61" i="49"/>
  <c r="O60" i="49"/>
  <c r="O59" i="49"/>
  <c r="O58" i="49"/>
  <c r="O57" i="49"/>
  <c r="P57" i="49"/>
  <c r="O56" i="49"/>
  <c r="O55" i="49"/>
  <c r="O54" i="49"/>
  <c r="O53" i="49"/>
  <c r="O52" i="49"/>
  <c r="P52" i="49" s="1"/>
  <c r="O51" i="49"/>
  <c r="O50" i="49"/>
  <c r="O49" i="49"/>
  <c r="O48" i="49"/>
  <c r="O47" i="49"/>
  <c r="P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P12" i="49"/>
  <c r="O11" i="49"/>
  <c r="O10" i="49"/>
  <c r="O9" i="49"/>
  <c r="O8" i="49"/>
  <c r="O7" i="49"/>
  <c r="O6" i="49"/>
  <c r="O5" i="49"/>
  <c r="O4" i="49"/>
  <c r="O3" i="49"/>
  <c r="Q140" i="52"/>
  <c r="R140" i="52"/>
  <c r="Q139" i="52"/>
  <c r="R139" i="52"/>
  <c r="Q138" i="52"/>
  <c r="Q137" i="52"/>
  <c r="Q136" i="52"/>
  <c r="Q135" i="52"/>
  <c r="R135" i="52"/>
  <c r="Q134" i="52"/>
  <c r="Q133" i="52"/>
  <c r="Q132" i="52"/>
  <c r="Q131" i="52"/>
  <c r="Q130" i="52"/>
  <c r="Q129" i="52"/>
  <c r="Q128" i="52"/>
  <c r="Q127" i="52"/>
  <c r="Q126" i="52"/>
  <c r="Q125" i="52"/>
  <c r="Q124" i="52"/>
  <c r="R124" i="52"/>
  <c r="Q123" i="52"/>
  <c r="R123" i="52"/>
  <c r="Q122" i="52"/>
  <c r="Q121" i="52"/>
  <c r="Q120" i="52"/>
  <c r="Q119" i="52"/>
  <c r="Q118" i="52"/>
  <c r="Q117" i="52"/>
  <c r="R117" i="52"/>
  <c r="Q116" i="52"/>
  <c r="Q115" i="52"/>
  <c r="Q114" i="52"/>
  <c r="Q113" i="52"/>
  <c r="Q112" i="52"/>
  <c r="Q111" i="52"/>
  <c r="Q110" i="52"/>
  <c r="Q109" i="52"/>
  <c r="Q108" i="52"/>
  <c r="Q107" i="52"/>
  <c r="R107" i="52"/>
  <c r="Q106" i="52"/>
  <c r="Q105" i="52"/>
  <c r="Q104" i="52"/>
  <c r="Q103" i="52"/>
  <c r="R103" i="52"/>
  <c r="Q102" i="52"/>
  <c r="Q101" i="52"/>
  <c r="Q100" i="52"/>
  <c r="Q99" i="52"/>
  <c r="Q98" i="52"/>
  <c r="Q97" i="52"/>
  <c r="Q96" i="52"/>
  <c r="R96" i="52"/>
  <c r="Q95" i="52"/>
  <c r="R95" i="52"/>
  <c r="Q94" i="52"/>
  <c r="Q93" i="52"/>
  <c r="R93" i="52"/>
  <c r="Q92" i="52"/>
  <c r="Q91" i="52"/>
  <c r="Q90" i="52"/>
  <c r="Q89" i="52"/>
  <c r="Q88" i="52"/>
  <c r="Q87" i="52"/>
  <c r="Q86" i="52"/>
  <c r="Q85" i="52"/>
  <c r="Q84" i="52"/>
  <c r="Q83" i="52"/>
  <c r="R83" i="52"/>
  <c r="Q82" i="52"/>
  <c r="Q81" i="52"/>
  <c r="Q80" i="52"/>
  <c r="Q79" i="52"/>
  <c r="Q78" i="52"/>
  <c r="Q77" i="52"/>
  <c r="Q76" i="52"/>
  <c r="Q75" i="52"/>
  <c r="R75" i="52"/>
  <c r="Q74" i="52"/>
  <c r="Q73" i="52"/>
  <c r="Q72" i="52"/>
  <c r="R72" i="52" s="1"/>
  <c r="Q71" i="52"/>
  <c r="Q70" i="52"/>
  <c r="Q69" i="52"/>
  <c r="Q68" i="52"/>
  <c r="Q67" i="52"/>
  <c r="Q66" i="52"/>
  <c r="Q65" i="52"/>
  <c r="Q64" i="52"/>
  <c r="Q63" i="52"/>
  <c r="Q62" i="52"/>
  <c r="Q61" i="52"/>
  <c r="Q60" i="52"/>
  <c r="Q59" i="52"/>
  <c r="Q58" i="52"/>
  <c r="Q57" i="52"/>
  <c r="Q56" i="52"/>
  <c r="Q55" i="52"/>
  <c r="Q54" i="52"/>
  <c r="Q53" i="52"/>
  <c r="Q52" i="52"/>
  <c r="Q51" i="52"/>
  <c r="Q50" i="52"/>
  <c r="Q49" i="52"/>
  <c r="Q48" i="52"/>
  <c r="Q47" i="52"/>
  <c r="Q46" i="52"/>
  <c r="Q45" i="52"/>
  <c r="Q44" i="52"/>
  <c r="Q43" i="52"/>
  <c r="Q42" i="52"/>
  <c r="Q41" i="52"/>
  <c r="Q40" i="52"/>
  <c r="Q39" i="52"/>
  <c r="Q38" i="52"/>
  <c r="Q37" i="52"/>
  <c r="Q36" i="52"/>
  <c r="Q35" i="52"/>
  <c r="Q34" i="52"/>
  <c r="Q33" i="52"/>
  <c r="Q32" i="52"/>
  <c r="Q31" i="52"/>
  <c r="Q30" i="52"/>
  <c r="Q29" i="52"/>
  <c r="Q28" i="52"/>
  <c r="Q27" i="52"/>
  <c r="Q26" i="52"/>
  <c r="Q25" i="52"/>
  <c r="Q24" i="52"/>
  <c r="Q23" i="52"/>
  <c r="Q22" i="52"/>
  <c r="Q21" i="52"/>
  <c r="Q20" i="52"/>
  <c r="Q19" i="52"/>
  <c r="Q18" i="52"/>
  <c r="Q17" i="52"/>
  <c r="Q16" i="52"/>
  <c r="Q15" i="52"/>
  <c r="Q14" i="52"/>
  <c r="Q13" i="52"/>
  <c r="Q12" i="52"/>
  <c r="Q11" i="52"/>
  <c r="Q10" i="52"/>
  <c r="Q9" i="52"/>
  <c r="Q8" i="52"/>
  <c r="Q7" i="52"/>
  <c r="Q6" i="52"/>
  <c r="Q5" i="52"/>
  <c r="Q4" i="52"/>
  <c r="Q3" i="52"/>
  <c r="R115" i="66"/>
  <c r="R114" i="66"/>
  <c r="R113" i="66"/>
  <c r="R112" i="66"/>
  <c r="R111" i="66"/>
  <c r="R110" i="66"/>
  <c r="R109" i="66"/>
  <c r="R108" i="66"/>
  <c r="R107" i="66"/>
  <c r="R106" i="66"/>
  <c r="R105" i="66"/>
  <c r="R104" i="66"/>
  <c r="R103" i="66"/>
  <c r="R102" i="66"/>
  <c r="R101" i="66"/>
  <c r="R100" i="66"/>
  <c r="R99" i="66"/>
  <c r="R98" i="66"/>
  <c r="R97" i="66"/>
  <c r="R96" i="66"/>
  <c r="R95" i="66"/>
  <c r="R94" i="66"/>
  <c r="R93" i="66"/>
  <c r="R92" i="66"/>
  <c r="R91" i="66"/>
  <c r="R90" i="66"/>
  <c r="R89" i="66"/>
  <c r="R88" i="66"/>
  <c r="R87" i="66"/>
  <c r="R86" i="66"/>
  <c r="R85" i="66"/>
  <c r="R84" i="66"/>
  <c r="R83" i="66"/>
  <c r="R82" i="66"/>
  <c r="R81" i="66"/>
  <c r="R80" i="66"/>
  <c r="R79" i="66"/>
  <c r="R78" i="66"/>
  <c r="R77" i="66"/>
  <c r="R76" i="66"/>
  <c r="R75" i="66"/>
  <c r="R74" i="66"/>
  <c r="R73" i="66"/>
  <c r="R72" i="66"/>
  <c r="R71" i="66"/>
  <c r="R70" i="66"/>
  <c r="R69" i="66"/>
  <c r="R68" i="66"/>
  <c r="R67" i="66"/>
  <c r="R66" i="66"/>
  <c r="R65" i="66"/>
  <c r="R64" i="66"/>
  <c r="R63" i="66"/>
  <c r="R62" i="66"/>
  <c r="R61" i="66"/>
  <c r="R60" i="66"/>
  <c r="R59" i="66"/>
  <c r="R58" i="66"/>
  <c r="R57" i="66"/>
  <c r="R56" i="66"/>
  <c r="R55" i="66"/>
  <c r="R54" i="66"/>
  <c r="R53" i="66"/>
  <c r="R52" i="66"/>
  <c r="R51" i="66"/>
  <c r="R50" i="66"/>
  <c r="R49" i="66"/>
  <c r="R48" i="66"/>
  <c r="R47" i="66"/>
  <c r="R46" i="66"/>
  <c r="R45" i="66"/>
  <c r="R44" i="66"/>
  <c r="R43" i="66"/>
  <c r="R42" i="66"/>
  <c r="R41" i="66"/>
  <c r="R40" i="66"/>
  <c r="R39" i="66"/>
  <c r="R38" i="66"/>
  <c r="R37" i="66"/>
  <c r="R36" i="66"/>
  <c r="R35" i="66"/>
  <c r="R34" i="66"/>
  <c r="R33" i="66"/>
  <c r="R32" i="66"/>
  <c r="R31" i="66"/>
  <c r="R30" i="66"/>
  <c r="R29" i="66"/>
  <c r="R28" i="66"/>
  <c r="R27" i="66"/>
  <c r="R26" i="66"/>
  <c r="R25" i="66"/>
  <c r="R24" i="66"/>
  <c r="R23" i="66"/>
  <c r="R22" i="66"/>
  <c r="R21" i="66"/>
  <c r="R20" i="66"/>
  <c r="R19" i="66"/>
  <c r="R18" i="66"/>
  <c r="R17" i="66"/>
  <c r="R16" i="66"/>
  <c r="R15" i="66"/>
  <c r="R14" i="66"/>
  <c r="R13" i="66"/>
  <c r="R12" i="66"/>
  <c r="R11" i="66"/>
  <c r="R10" i="66"/>
  <c r="R9" i="66"/>
  <c r="R8" i="66"/>
  <c r="R7" i="66"/>
  <c r="R6" i="66"/>
  <c r="R5" i="66"/>
  <c r="R4" i="66"/>
  <c r="R3" i="66"/>
  <c r="R125" i="64"/>
  <c r="R124" i="64"/>
  <c r="Q123" i="64"/>
  <c r="Q122" i="64"/>
  <c r="Q121" i="64"/>
  <c r="Q120" i="64"/>
  <c r="Q119" i="64"/>
  <c r="Q118" i="64"/>
  <c r="Q117" i="64"/>
  <c r="Q116" i="64"/>
  <c r="Q115" i="64"/>
  <c r="Q114" i="64"/>
  <c r="Q113" i="64"/>
  <c r="Q112" i="64"/>
  <c r="Q111" i="64"/>
  <c r="Q110" i="64"/>
  <c r="Q109" i="64"/>
  <c r="Q108" i="64"/>
  <c r="Q107" i="64"/>
  <c r="Q106" i="64"/>
  <c r="Q105" i="64"/>
  <c r="Q104" i="64"/>
  <c r="Q103" i="64"/>
  <c r="Q102" i="64"/>
  <c r="Q101" i="64"/>
  <c r="Q100" i="64"/>
  <c r="Q99" i="64"/>
  <c r="Q98" i="64"/>
  <c r="Q97" i="64"/>
  <c r="Q96" i="64"/>
  <c r="Q95" i="64"/>
  <c r="Q94" i="64"/>
  <c r="Q93" i="64"/>
  <c r="Q92" i="64"/>
  <c r="Q91" i="64"/>
  <c r="Q90" i="64"/>
  <c r="Q89" i="64"/>
  <c r="Q88" i="64"/>
  <c r="Q87" i="64"/>
  <c r="Q86" i="64"/>
  <c r="Q85" i="64"/>
  <c r="Q84" i="64"/>
  <c r="Q83" i="64"/>
  <c r="Q82" i="64"/>
  <c r="Q81" i="64"/>
  <c r="Q80" i="64"/>
  <c r="Q79" i="64"/>
  <c r="Q78" i="64"/>
  <c r="Q77" i="64"/>
  <c r="Q76" i="64"/>
  <c r="Q75" i="64"/>
  <c r="Q74" i="64"/>
  <c r="Q73" i="64"/>
  <c r="Q72" i="64"/>
  <c r="Q71" i="64"/>
  <c r="Q70" i="64"/>
  <c r="Q69" i="64"/>
  <c r="Q68" i="64"/>
  <c r="Q67" i="64"/>
  <c r="Q66" i="64"/>
  <c r="Q65" i="64"/>
  <c r="Q64" i="64"/>
  <c r="Q63" i="64"/>
  <c r="Q62" i="64"/>
  <c r="Q61" i="64"/>
  <c r="Q60" i="64"/>
  <c r="Q59" i="64"/>
  <c r="Q58" i="64"/>
  <c r="Q57" i="64"/>
  <c r="Q56" i="64"/>
  <c r="Q55" i="64"/>
  <c r="Q54" i="64"/>
  <c r="Q53" i="64"/>
  <c r="Q52" i="64"/>
  <c r="Q51" i="64"/>
  <c r="Q50" i="64"/>
  <c r="Q49" i="64"/>
  <c r="Q48" i="64"/>
  <c r="Q47" i="64"/>
  <c r="Q46" i="64"/>
  <c r="Q45" i="64"/>
  <c r="Q44" i="64"/>
  <c r="Q43" i="64"/>
  <c r="Q42" i="64"/>
  <c r="Q41" i="64"/>
  <c r="Q40" i="64"/>
  <c r="Q39" i="64"/>
  <c r="Q38" i="64"/>
  <c r="Q37" i="64"/>
  <c r="Q36" i="64"/>
  <c r="Q35" i="64"/>
  <c r="Q34" i="64"/>
  <c r="Q33" i="64"/>
  <c r="Q32" i="64"/>
  <c r="Q31" i="64"/>
  <c r="Q30" i="64"/>
  <c r="Q29" i="64"/>
  <c r="Q28" i="64"/>
  <c r="Q27" i="64"/>
  <c r="Q26" i="64"/>
  <c r="Q25" i="64"/>
  <c r="Q24" i="64"/>
  <c r="Q23" i="64"/>
  <c r="Q22" i="64"/>
  <c r="Q21" i="64"/>
  <c r="Q20" i="64"/>
  <c r="Q19" i="64"/>
  <c r="Q18" i="64"/>
  <c r="Q17" i="64"/>
  <c r="Q16" i="64"/>
  <c r="Q15" i="64"/>
  <c r="Q14" i="64"/>
  <c r="Q13" i="64"/>
  <c r="Q12" i="64"/>
  <c r="Q11" i="64"/>
  <c r="Q10" i="64"/>
  <c r="Q9" i="64"/>
  <c r="Q8" i="64"/>
  <c r="Q7" i="64"/>
  <c r="Q6" i="64"/>
  <c r="Q5" i="64"/>
  <c r="Q4" i="64"/>
  <c r="Q3" i="64"/>
  <c r="S137" i="54"/>
  <c r="S136" i="54"/>
  <c r="T136" i="54"/>
  <c r="S135" i="54"/>
  <c r="S134" i="54"/>
  <c r="S133" i="54"/>
  <c r="S132" i="54"/>
  <c r="S131" i="54"/>
  <c r="S130" i="54"/>
  <c r="S129" i="54"/>
  <c r="S128" i="54"/>
  <c r="S127" i="54"/>
  <c r="S126" i="54"/>
  <c r="S125" i="54"/>
  <c r="S124" i="54"/>
  <c r="S123" i="54"/>
  <c r="S122" i="54"/>
  <c r="S121" i="54"/>
  <c r="S120" i="54"/>
  <c r="S119" i="54"/>
  <c r="S118" i="54"/>
  <c r="T118" i="54"/>
  <c r="S117" i="54"/>
  <c r="S116" i="54"/>
  <c r="S115" i="54"/>
  <c r="S114" i="54"/>
  <c r="S113" i="54"/>
  <c r="S112" i="54"/>
  <c r="S111" i="54"/>
  <c r="S110" i="54"/>
  <c r="S109" i="54"/>
  <c r="S108" i="54"/>
  <c r="S107" i="54"/>
  <c r="S106" i="54"/>
  <c r="T106" i="54"/>
  <c r="S105" i="54"/>
  <c r="S104" i="54"/>
  <c r="T104" i="54"/>
  <c r="S103" i="54"/>
  <c r="S102" i="54"/>
  <c r="S101" i="54"/>
  <c r="S100" i="54"/>
  <c r="S99" i="54"/>
  <c r="S98" i="54"/>
  <c r="S97" i="54"/>
  <c r="S96" i="54"/>
  <c r="S95" i="54"/>
  <c r="S94" i="54"/>
  <c r="S93" i="54"/>
  <c r="S92" i="54"/>
  <c r="T92" i="54"/>
  <c r="S91" i="54"/>
  <c r="S90" i="54"/>
  <c r="T90" i="54"/>
  <c r="S89" i="54"/>
  <c r="S88" i="54"/>
  <c r="S87" i="54"/>
  <c r="S86" i="54"/>
  <c r="S85" i="54"/>
  <c r="S84" i="54"/>
  <c r="S83" i="54"/>
  <c r="S82" i="54"/>
  <c r="S81" i="54"/>
  <c r="S80" i="54"/>
  <c r="S79" i="54"/>
  <c r="S78" i="54"/>
  <c r="T78" i="54"/>
  <c r="S77" i="54"/>
  <c r="S76" i="54"/>
  <c r="T76" i="54"/>
  <c r="S75" i="54"/>
  <c r="S74" i="54"/>
  <c r="S73" i="54"/>
  <c r="S72" i="54"/>
  <c r="T72" i="54" s="1"/>
  <c r="S71" i="54"/>
  <c r="S70" i="54"/>
  <c r="S69" i="54"/>
  <c r="S68" i="54"/>
  <c r="S67" i="54"/>
  <c r="S66" i="54"/>
  <c r="S65" i="54"/>
  <c r="S64" i="54"/>
  <c r="S63" i="54"/>
  <c r="S62" i="54"/>
  <c r="S61" i="54"/>
  <c r="S60" i="54"/>
  <c r="S59" i="54"/>
  <c r="S58" i="54"/>
  <c r="S57" i="54"/>
  <c r="S56" i="54"/>
  <c r="S55" i="54"/>
  <c r="S54" i="54"/>
  <c r="S53" i="54"/>
  <c r="S52" i="54"/>
  <c r="S51" i="54"/>
  <c r="S50" i="54"/>
  <c r="S49" i="54"/>
  <c r="S48" i="54"/>
  <c r="S47" i="54"/>
  <c r="S46" i="54"/>
  <c r="S45" i="54"/>
  <c r="S44" i="54"/>
  <c r="S43" i="54"/>
  <c r="S42" i="54"/>
  <c r="S41" i="54"/>
  <c r="S40" i="54"/>
  <c r="S39" i="54"/>
  <c r="S38" i="54"/>
  <c r="S37" i="54"/>
  <c r="S36" i="54"/>
  <c r="S35" i="54"/>
  <c r="S34" i="54"/>
  <c r="S33" i="54"/>
  <c r="S32" i="54"/>
  <c r="S31" i="54"/>
  <c r="S30" i="54"/>
  <c r="S29" i="54"/>
  <c r="S28" i="54"/>
  <c r="S27" i="54"/>
  <c r="S26" i="54"/>
  <c r="S25" i="54"/>
  <c r="S24" i="54"/>
  <c r="S23" i="54"/>
  <c r="S22" i="54"/>
  <c r="S21" i="54"/>
  <c r="S20" i="54"/>
  <c r="S19" i="54"/>
  <c r="S18" i="54"/>
  <c r="S17" i="54"/>
  <c r="S16" i="54"/>
  <c r="S15" i="54"/>
  <c r="S14" i="54"/>
  <c r="S13" i="54"/>
  <c r="S12" i="54"/>
  <c r="S11" i="54"/>
  <c r="S10" i="54"/>
  <c r="S9" i="54"/>
  <c r="S8" i="54"/>
  <c r="S7" i="54"/>
  <c r="S6" i="54"/>
  <c r="S5" i="54"/>
  <c r="S4" i="54"/>
  <c r="S3" i="54"/>
  <c r="R134" i="65"/>
  <c r="R133" i="65"/>
  <c r="R132" i="65"/>
  <c r="R131" i="65"/>
  <c r="R130" i="65"/>
  <c r="R129" i="65"/>
  <c r="R128" i="65"/>
  <c r="S128" i="65"/>
  <c r="R127" i="65"/>
  <c r="R126" i="65"/>
  <c r="R125" i="65"/>
  <c r="R124" i="65"/>
  <c r="R123" i="65"/>
  <c r="R122" i="65"/>
  <c r="S122" i="65"/>
  <c r="R121" i="65"/>
  <c r="R120" i="65"/>
  <c r="R119" i="65"/>
  <c r="R118" i="65"/>
  <c r="R117" i="65"/>
  <c r="R116" i="65"/>
  <c r="S116" i="65"/>
  <c r="R115" i="65"/>
  <c r="R114" i="65"/>
  <c r="S114" i="65"/>
  <c r="R113" i="65"/>
  <c r="R112" i="65"/>
  <c r="R111" i="65"/>
  <c r="R110" i="65"/>
  <c r="R109" i="65"/>
  <c r="R108" i="65"/>
  <c r="S108" i="65"/>
  <c r="R107" i="65"/>
  <c r="R106" i="65"/>
  <c r="R105" i="65"/>
  <c r="R104" i="65"/>
  <c r="R103" i="65"/>
  <c r="R102" i="65"/>
  <c r="S102" i="65"/>
  <c r="R101" i="65"/>
  <c r="R100" i="65"/>
  <c r="S100" i="65"/>
  <c r="R99" i="65"/>
  <c r="R98" i="65"/>
  <c r="R97" i="65"/>
  <c r="R96" i="65"/>
  <c r="R95" i="65"/>
  <c r="R94" i="65"/>
  <c r="S94" i="65"/>
  <c r="R93" i="65"/>
  <c r="R92" i="65"/>
  <c r="R91" i="65"/>
  <c r="R90" i="65"/>
  <c r="R89" i="65"/>
  <c r="R88" i="65"/>
  <c r="S88" i="65"/>
  <c r="R87" i="65"/>
  <c r="R86" i="65"/>
  <c r="S86" i="65"/>
  <c r="R85" i="65"/>
  <c r="R84" i="65"/>
  <c r="R83" i="65"/>
  <c r="R82" i="65"/>
  <c r="R81" i="65"/>
  <c r="R80" i="65"/>
  <c r="S80" i="65"/>
  <c r="R79" i="65"/>
  <c r="R78" i="65"/>
  <c r="R77" i="65"/>
  <c r="R76" i="65"/>
  <c r="R75" i="65"/>
  <c r="R74" i="65"/>
  <c r="S74" i="65"/>
  <c r="R73" i="65"/>
  <c r="R72" i="65"/>
  <c r="S72" i="65"/>
  <c r="R71" i="65"/>
  <c r="R70" i="65"/>
  <c r="R69" i="65"/>
  <c r="R68" i="65"/>
  <c r="R67" i="65"/>
  <c r="R66" i="65"/>
  <c r="S66" i="65"/>
  <c r="R65" i="65"/>
  <c r="R64" i="65"/>
  <c r="R63" i="65"/>
  <c r="R62" i="65"/>
  <c r="R61" i="65"/>
  <c r="R60" i="65"/>
  <c r="S60" i="65"/>
  <c r="R59" i="65"/>
  <c r="R58" i="65"/>
  <c r="S58" i="65"/>
  <c r="R57" i="65"/>
  <c r="R56" i="65"/>
  <c r="R55" i="65"/>
  <c r="R54" i="65"/>
  <c r="R53" i="65"/>
  <c r="R52" i="65"/>
  <c r="S52" i="65"/>
  <c r="R51" i="65"/>
  <c r="R50" i="65"/>
  <c r="R49" i="65"/>
  <c r="R48" i="65"/>
  <c r="R47" i="65"/>
  <c r="R46" i="65"/>
  <c r="S46" i="65"/>
  <c r="R45" i="65"/>
  <c r="R44" i="65"/>
  <c r="S44" i="65"/>
  <c r="R43" i="65"/>
  <c r="R42" i="65"/>
  <c r="R41" i="65"/>
  <c r="R40" i="65"/>
  <c r="R39" i="65"/>
  <c r="R38" i="65"/>
  <c r="S38" i="65"/>
  <c r="R37" i="65"/>
  <c r="R36" i="65"/>
  <c r="R35" i="65"/>
  <c r="R34" i="65"/>
  <c r="R33" i="65"/>
  <c r="R32" i="65"/>
  <c r="S32" i="65"/>
  <c r="R31" i="65"/>
  <c r="R30" i="65"/>
  <c r="S30" i="65"/>
  <c r="R29" i="65"/>
  <c r="R28" i="65"/>
  <c r="R27" i="65"/>
  <c r="R26" i="65"/>
  <c r="R25" i="65"/>
  <c r="R24" i="65"/>
  <c r="S24" i="65"/>
  <c r="R23" i="65"/>
  <c r="R22" i="65"/>
  <c r="R21" i="65"/>
  <c r="R20" i="65"/>
  <c r="R19" i="65"/>
  <c r="R18" i="65"/>
  <c r="S18" i="65"/>
  <c r="R17" i="65"/>
  <c r="R16" i="65"/>
  <c r="S16" i="65"/>
  <c r="R15" i="65"/>
  <c r="R14" i="65"/>
  <c r="R13" i="65"/>
  <c r="R12" i="65"/>
  <c r="R11" i="65"/>
  <c r="R10" i="65"/>
  <c r="S10" i="65"/>
  <c r="R9" i="65"/>
  <c r="R8" i="65"/>
  <c r="R7" i="65"/>
  <c r="R6" i="65"/>
  <c r="R5" i="65"/>
  <c r="R4" i="65"/>
  <c r="S4" i="65"/>
  <c r="R3" i="65"/>
  <c r="R105" i="68"/>
  <c r="R115" i="68"/>
  <c r="R114" i="68"/>
  <c r="S114" i="68"/>
  <c r="R113" i="68"/>
  <c r="R112" i="68"/>
  <c r="R111" i="68"/>
  <c r="R110" i="68"/>
  <c r="S110" i="68"/>
  <c r="R109" i="68"/>
  <c r="R108" i="68"/>
  <c r="R107" i="68"/>
  <c r="R106" i="68"/>
  <c r="R104" i="68"/>
  <c r="R103" i="68"/>
  <c r="S103" i="68"/>
  <c r="R102" i="68"/>
  <c r="R101" i="68"/>
  <c r="R100" i="68"/>
  <c r="R99" i="68"/>
  <c r="S99" i="68"/>
  <c r="R98" i="68"/>
  <c r="R97" i="68"/>
  <c r="R96" i="68"/>
  <c r="R95" i="68"/>
  <c r="S95" i="68"/>
  <c r="R94" i="68"/>
  <c r="R93" i="68"/>
  <c r="R92" i="68"/>
  <c r="R91" i="68"/>
  <c r="S91" i="68"/>
  <c r="R90" i="68"/>
  <c r="R89" i="68"/>
  <c r="S89" i="68"/>
  <c r="R88" i="68"/>
  <c r="R87" i="68"/>
  <c r="R86" i="68"/>
  <c r="R85" i="68"/>
  <c r="S85" i="68"/>
  <c r="R84" i="68"/>
  <c r="R83" i="68"/>
  <c r="R82" i="68"/>
  <c r="R81" i="68"/>
  <c r="S81" i="68"/>
  <c r="R80" i="68"/>
  <c r="R79" i="68"/>
  <c r="R78" i="68"/>
  <c r="R77" i="68"/>
  <c r="S77" i="68"/>
  <c r="R76" i="68"/>
  <c r="R75" i="68"/>
  <c r="S75" i="68"/>
  <c r="R74" i="68"/>
  <c r="R73" i="68"/>
  <c r="R72" i="68"/>
  <c r="R71" i="68"/>
  <c r="S71" i="68"/>
  <c r="R70" i="68"/>
  <c r="R69" i="68"/>
  <c r="R68" i="68"/>
  <c r="R67" i="68"/>
  <c r="S67" i="68"/>
  <c r="R66" i="68"/>
  <c r="R65" i="68"/>
  <c r="R64" i="68"/>
  <c r="R63" i="68"/>
  <c r="S63" i="68"/>
  <c r="R62" i="68"/>
  <c r="R61" i="68"/>
  <c r="S61" i="68"/>
  <c r="R60" i="68"/>
  <c r="R59" i="68"/>
  <c r="R58" i="68"/>
  <c r="R57" i="68"/>
  <c r="S57" i="68"/>
  <c r="R56" i="68"/>
  <c r="R55" i="68"/>
  <c r="R54" i="68"/>
  <c r="R53" i="68"/>
  <c r="S53" i="68"/>
  <c r="R52" i="68"/>
  <c r="R51" i="68"/>
  <c r="R50" i="68"/>
  <c r="R49" i="68"/>
  <c r="S49" i="68"/>
  <c r="R48" i="68"/>
  <c r="R47" i="68"/>
  <c r="S47" i="68"/>
  <c r="R46" i="68"/>
  <c r="R45" i="68"/>
  <c r="R44" i="68"/>
  <c r="R43" i="68"/>
  <c r="S43" i="68"/>
  <c r="R42" i="68"/>
  <c r="R41" i="68"/>
  <c r="R40" i="68"/>
  <c r="R39" i="68"/>
  <c r="S39" i="68"/>
  <c r="R38" i="68"/>
  <c r="R37" i="68"/>
  <c r="R36" i="68"/>
  <c r="R35" i="68"/>
  <c r="R34" i="68"/>
  <c r="R33" i="68"/>
  <c r="R32" i="68"/>
  <c r="R31" i="68"/>
  <c r="R30" i="68"/>
  <c r="R29" i="68"/>
  <c r="R28" i="68"/>
  <c r="R27" i="68"/>
  <c r="R26" i="68"/>
  <c r="R25" i="68"/>
  <c r="R24" i="68"/>
  <c r="R23" i="68"/>
  <c r="R22" i="68"/>
  <c r="R21" i="68"/>
  <c r="R20" i="68"/>
  <c r="R19" i="68"/>
  <c r="R18" i="68"/>
  <c r="R17" i="68"/>
  <c r="R16" i="68"/>
  <c r="R15" i="68"/>
  <c r="R14" i="68"/>
  <c r="R13" i="68"/>
  <c r="R12" i="68"/>
  <c r="R11" i="68"/>
  <c r="R10" i="68"/>
  <c r="R9" i="68"/>
  <c r="R8" i="68"/>
  <c r="R7" i="68"/>
  <c r="R6" i="68"/>
  <c r="R5" i="68"/>
  <c r="R4" i="68"/>
  <c r="R3" i="68"/>
  <c r="Q126" i="67"/>
  <c r="Q125" i="67"/>
  <c r="P124" i="67"/>
  <c r="P123" i="67"/>
  <c r="P122" i="67"/>
  <c r="P121" i="67"/>
  <c r="Q121" i="67"/>
  <c r="P120" i="67"/>
  <c r="P119" i="67"/>
  <c r="Q119" i="67"/>
  <c r="P118" i="67"/>
  <c r="P117" i="67"/>
  <c r="Q117" i="67"/>
  <c r="P116" i="67"/>
  <c r="P115" i="67"/>
  <c r="P114" i="67"/>
  <c r="P113" i="67"/>
  <c r="P112" i="67"/>
  <c r="P111" i="67"/>
  <c r="Q111" i="67"/>
  <c r="P110" i="67"/>
  <c r="P109" i="67"/>
  <c r="P108" i="67"/>
  <c r="P107" i="67"/>
  <c r="Q107" i="67"/>
  <c r="P106" i="67"/>
  <c r="P105" i="67"/>
  <c r="Q105" i="67"/>
  <c r="P104" i="67"/>
  <c r="P103" i="67"/>
  <c r="Q103" i="67"/>
  <c r="P102" i="67"/>
  <c r="P101" i="67"/>
  <c r="P100" i="67"/>
  <c r="P99" i="67"/>
  <c r="P98" i="67"/>
  <c r="P97" i="67"/>
  <c r="Q97" i="67"/>
  <c r="P96" i="67"/>
  <c r="P95" i="67"/>
  <c r="P94" i="67"/>
  <c r="P93" i="67"/>
  <c r="Q93" i="67"/>
  <c r="P92" i="67"/>
  <c r="P91" i="67"/>
  <c r="Q91" i="67"/>
  <c r="P90" i="67"/>
  <c r="P89" i="67"/>
  <c r="Q89" i="67"/>
  <c r="P88" i="67"/>
  <c r="P87" i="67"/>
  <c r="P86" i="67"/>
  <c r="P85" i="67"/>
  <c r="P84" i="67"/>
  <c r="P83" i="67"/>
  <c r="Q83" i="67"/>
  <c r="P82" i="67"/>
  <c r="P81" i="67"/>
  <c r="P80" i="67"/>
  <c r="P79" i="67"/>
  <c r="Q79" i="67"/>
  <c r="P78" i="67"/>
  <c r="P77" i="67"/>
  <c r="Q77" i="67"/>
  <c r="P76" i="67"/>
  <c r="P75" i="67"/>
  <c r="Q75" i="67"/>
  <c r="P74" i="67"/>
  <c r="P73" i="67"/>
  <c r="P72" i="67"/>
  <c r="P71" i="67"/>
  <c r="P70" i="67"/>
  <c r="P69" i="67"/>
  <c r="P68" i="67"/>
  <c r="P67" i="67"/>
  <c r="P66" i="67"/>
  <c r="P65" i="67"/>
  <c r="Q65" i="67"/>
  <c r="P64" i="67"/>
  <c r="P63" i="67"/>
  <c r="Q63" i="67"/>
  <c r="P62" i="67"/>
  <c r="P61" i="67"/>
  <c r="Q61" i="67"/>
  <c r="P60" i="67"/>
  <c r="P59" i="67"/>
  <c r="Q59" i="67"/>
  <c r="P58" i="67"/>
  <c r="P57" i="67"/>
  <c r="P56" i="67"/>
  <c r="P55" i="67"/>
  <c r="Q55" i="67"/>
  <c r="P54" i="67"/>
  <c r="P53" i="67"/>
  <c r="P52" i="67"/>
  <c r="P51" i="67"/>
  <c r="Q51" i="67"/>
  <c r="P50" i="67"/>
  <c r="P49" i="67"/>
  <c r="Q49" i="67"/>
  <c r="P48" i="67"/>
  <c r="P47" i="67"/>
  <c r="Q47" i="67"/>
  <c r="P46" i="67"/>
  <c r="P45" i="67"/>
  <c r="Q45" i="67"/>
  <c r="P44" i="67"/>
  <c r="P43" i="67"/>
  <c r="P42" i="67"/>
  <c r="P41" i="67"/>
  <c r="Q41" i="67"/>
  <c r="P40" i="67"/>
  <c r="P39" i="67"/>
  <c r="P38" i="67"/>
  <c r="P37" i="67"/>
  <c r="Q37" i="67"/>
  <c r="P36" i="67"/>
  <c r="P35" i="67"/>
  <c r="P34" i="67"/>
  <c r="P33" i="67"/>
  <c r="Q33" i="67"/>
  <c r="P32" i="67"/>
  <c r="P31" i="67"/>
  <c r="Q31" i="67"/>
  <c r="P30" i="67"/>
  <c r="P29" i="67"/>
  <c r="P28" i="67"/>
  <c r="P27" i="67"/>
  <c r="Q27" i="67"/>
  <c r="P26" i="67"/>
  <c r="P25" i="67"/>
  <c r="P24" i="67"/>
  <c r="P23" i="67"/>
  <c r="Q23" i="67"/>
  <c r="P22" i="67"/>
  <c r="P21" i="67"/>
  <c r="Q21" i="67"/>
  <c r="P20" i="67"/>
  <c r="P19" i="67"/>
  <c r="Q19" i="67"/>
  <c r="P18" i="67"/>
  <c r="P17" i="67"/>
  <c r="P16" i="67"/>
  <c r="P15" i="67"/>
  <c r="P14" i="67"/>
  <c r="P13" i="67"/>
  <c r="Q13" i="67"/>
  <c r="P12" i="67"/>
  <c r="P11" i="67"/>
  <c r="P10" i="67"/>
  <c r="P9" i="67"/>
  <c r="Q9" i="67"/>
  <c r="P8" i="67"/>
  <c r="Q8" i="67"/>
  <c r="P7" i="67"/>
  <c r="Q7" i="67"/>
  <c r="P6" i="67"/>
  <c r="P5" i="67"/>
  <c r="Q5" i="67"/>
  <c r="P4" i="67"/>
  <c r="P3" i="67"/>
  <c r="Q3" i="67"/>
  <c r="R8" i="69"/>
  <c r="R131" i="69"/>
  <c r="R130" i="69"/>
  <c r="R129" i="69"/>
  <c r="R128" i="69"/>
  <c r="R127" i="69"/>
  <c r="R126" i="69"/>
  <c r="R125" i="69"/>
  <c r="R124" i="69"/>
  <c r="R123" i="69"/>
  <c r="R122" i="69"/>
  <c r="R121" i="69"/>
  <c r="R120" i="69"/>
  <c r="R119" i="69"/>
  <c r="R118" i="69"/>
  <c r="R117" i="69"/>
  <c r="R116" i="69"/>
  <c r="R115" i="69"/>
  <c r="R114" i="69"/>
  <c r="R113" i="69"/>
  <c r="R112" i="69"/>
  <c r="R111" i="69"/>
  <c r="R110" i="69"/>
  <c r="R109" i="69"/>
  <c r="R108" i="69"/>
  <c r="R107" i="69"/>
  <c r="R106" i="69"/>
  <c r="R105" i="69"/>
  <c r="R104" i="69"/>
  <c r="R103" i="69"/>
  <c r="R102" i="69"/>
  <c r="R101" i="69"/>
  <c r="R100" i="69"/>
  <c r="R99" i="69"/>
  <c r="R98" i="69"/>
  <c r="R97" i="69"/>
  <c r="R96" i="69"/>
  <c r="R95" i="69"/>
  <c r="R94" i="69"/>
  <c r="R93" i="69"/>
  <c r="R92" i="69"/>
  <c r="R91" i="69"/>
  <c r="R90" i="69"/>
  <c r="R89" i="69"/>
  <c r="R88" i="69"/>
  <c r="R87" i="69"/>
  <c r="R86" i="69"/>
  <c r="R85" i="69"/>
  <c r="R84" i="69"/>
  <c r="R83" i="69"/>
  <c r="R82" i="69"/>
  <c r="R81" i="69"/>
  <c r="R80" i="69"/>
  <c r="R79" i="69"/>
  <c r="R78" i="69"/>
  <c r="R77" i="69"/>
  <c r="R76" i="69"/>
  <c r="R75" i="69"/>
  <c r="R74" i="69"/>
  <c r="R73" i="69"/>
  <c r="R72" i="69"/>
  <c r="R71" i="69"/>
  <c r="R70" i="69"/>
  <c r="R69" i="69"/>
  <c r="R68" i="69"/>
  <c r="R67" i="69"/>
  <c r="R66" i="69"/>
  <c r="R65" i="69"/>
  <c r="R64" i="69"/>
  <c r="R63" i="69"/>
  <c r="S62" i="69"/>
  <c r="R61" i="69"/>
  <c r="R60" i="69"/>
  <c r="R59" i="69"/>
  <c r="R58" i="69"/>
  <c r="R57" i="69"/>
  <c r="R56" i="69"/>
  <c r="R55" i="69"/>
  <c r="R54" i="69"/>
  <c r="R53" i="69"/>
  <c r="R52" i="69"/>
  <c r="R51" i="69"/>
  <c r="R50" i="69"/>
  <c r="R49" i="69"/>
  <c r="R48" i="69"/>
  <c r="R47" i="69"/>
  <c r="R46" i="69"/>
  <c r="R45" i="69"/>
  <c r="R44" i="69"/>
  <c r="R43" i="69"/>
  <c r="R42" i="69"/>
  <c r="R41" i="69"/>
  <c r="R40" i="69"/>
  <c r="R39" i="69"/>
  <c r="R38" i="69"/>
  <c r="R37" i="69"/>
  <c r="R36" i="69"/>
  <c r="R35" i="69"/>
  <c r="R34" i="69"/>
  <c r="R33" i="69"/>
  <c r="R32" i="69"/>
  <c r="R31" i="69"/>
  <c r="R30" i="69"/>
  <c r="R29" i="69"/>
  <c r="R28" i="69"/>
  <c r="R27" i="69"/>
  <c r="R26" i="69"/>
  <c r="R25" i="69"/>
  <c r="R24" i="69"/>
  <c r="R23" i="69"/>
  <c r="R22" i="69"/>
  <c r="R21" i="69"/>
  <c r="R20" i="69"/>
  <c r="R19" i="69"/>
  <c r="R18" i="69"/>
  <c r="R17" i="69"/>
  <c r="R16" i="69"/>
  <c r="R15" i="69"/>
  <c r="R14" i="69"/>
  <c r="R13" i="69"/>
  <c r="R12" i="69"/>
  <c r="R11" i="69"/>
  <c r="R10" i="69"/>
  <c r="R9" i="69"/>
  <c r="R7" i="69"/>
  <c r="R6" i="69"/>
  <c r="R5" i="69"/>
  <c r="R4" i="69"/>
  <c r="R3" i="69"/>
  <c r="R80" i="52" l="1"/>
  <c r="R122" i="52"/>
  <c r="Q71" i="67"/>
  <c r="Q85" i="67"/>
  <c r="Q99" i="67"/>
  <c r="Q113" i="67"/>
  <c r="R85" i="52"/>
  <c r="R113" i="52"/>
  <c r="R127" i="52"/>
  <c r="Q11" i="67"/>
  <c r="Q25" i="67"/>
  <c r="Q39" i="67"/>
  <c r="S51" i="68"/>
  <c r="S65" i="68"/>
  <c r="S79" i="68"/>
  <c r="S93" i="68"/>
  <c r="S108" i="68"/>
  <c r="S8" i="65"/>
  <c r="S22" i="65"/>
  <c r="S36" i="65"/>
  <c r="S50" i="65"/>
  <c r="S64" i="65"/>
  <c r="S78" i="65"/>
  <c r="S92" i="65"/>
  <c r="S106" i="65"/>
  <c r="S120" i="65"/>
  <c r="S134" i="65"/>
  <c r="T82" i="54"/>
  <c r="T96" i="54"/>
  <c r="T110" i="54"/>
  <c r="T124" i="54"/>
  <c r="R77" i="52"/>
  <c r="R91" i="52"/>
  <c r="R105" i="52"/>
  <c r="R119" i="52"/>
  <c r="R133" i="52"/>
  <c r="P51" i="49"/>
  <c r="P79" i="49"/>
  <c r="S14" i="65"/>
  <c r="S28" i="65"/>
  <c r="S42" i="65"/>
  <c r="S56" i="65"/>
  <c r="S70" i="65"/>
  <c r="S84" i="65"/>
  <c r="S98" i="65"/>
  <c r="S112" i="65"/>
  <c r="S126" i="65"/>
  <c r="T74" i="54"/>
  <c r="T88" i="54"/>
  <c r="T102" i="54"/>
  <c r="T116" i="54"/>
  <c r="T130" i="54"/>
  <c r="S8" i="66"/>
  <c r="R73" i="52"/>
  <c r="R87" i="52"/>
  <c r="R101" i="52"/>
  <c r="S84" i="69"/>
  <c r="S98" i="69"/>
  <c r="S112" i="69"/>
  <c r="S126" i="69"/>
  <c r="P32" i="49"/>
  <c r="Q108" i="67"/>
  <c r="S76" i="69"/>
  <c r="S90" i="69"/>
  <c r="S104" i="69"/>
  <c r="S118" i="69"/>
  <c r="S68" i="69"/>
  <c r="S96" i="69"/>
  <c r="S110" i="69"/>
  <c r="S124" i="69"/>
  <c r="S70" i="69"/>
  <c r="R90" i="52"/>
  <c r="Q44" i="67"/>
  <c r="T49" i="54"/>
  <c r="T63" i="54"/>
  <c r="T73" i="54"/>
  <c r="T87" i="54"/>
  <c r="T101" i="54"/>
  <c r="T115" i="54"/>
  <c r="T129" i="54"/>
  <c r="P50" i="49"/>
  <c r="P64" i="49"/>
  <c r="P78" i="49"/>
  <c r="T41" i="54"/>
  <c r="T79" i="54"/>
  <c r="T93" i="54"/>
  <c r="T107" i="54"/>
  <c r="T121" i="54"/>
  <c r="T135" i="54"/>
  <c r="R98" i="64"/>
  <c r="R138" i="52"/>
  <c r="R106" i="52"/>
  <c r="Q60" i="67"/>
  <c r="R74" i="52"/>
  <c r="R88" i="52"/>
  <c r="R130" i="52"/>
  <c r="P26" i="49"/>
  <c r="P40" i="49"/>
  <c r="Q36" i="67"/>
  <c r="T55" i="54"/>
  <c r="T69" i="54"/>
  <c r="R112" i="64"/>
  <c r="R120" i="52"/>
  <c r="R84" i="52"/>
  <c r="R98" i="52"/>
  <c r="R112" i="52"/>
  <c r="P25" i="49"/>
  <c r="P39" i="49"/>
  <c r="P92" i="49"/>
  <c r="P28" i="49"/>
  <c r="P56" i="49"/>
  <c r="P70" i="49"/>
  <c r="P84" i="49"/>
  <c r="P98" i="49"/>
  <c r="P112" i="49"/>
  <c r="P48" i="49"/>
  <c r="P23" i="49"/>
  <c r="P37" i="49"/>
  <c r="P15" i="49"/>
  <c r="P29" i="49"/>
  <c r="P49" i="49"/>
  <c r="P10" i="49"/>
  <c r="P19" i="49"/>
  <c r="P33" i="49"/>
  <c r="P60" i="49"/>
  <c r="P74" i="49"/>
  <c r="P88" i="49"/>
  <c r="P102" i="49"/>
  <c r="P116" i="49"/>
  <c r="P14" i="49"/>
  <c r="P24" i="49"/>
  <c r="P38" i="49"/>
  <c r="P11" i="49"/>
  <c r="P20" i="49"/>
  <c r="P34" i="49"/>
  <c r="P21" i="49"/>
  <c r="P35" i="49"/>
  <c r="P44" i="49"/>
  <c r="P53" i="49"/>
  <c r="P62" i="49"/>
  <c r="P67" i="49"/>
  <c r="P76" i="49"/>
  <c r="P81" i="49"/>
  <c r="P90" i="49"/>
  <c r="P95" i="49"/>
  <c r="P104" i="49"/>
  <c r="P109" i="49"/>
  <c r="P118" i="49"/>
  <c r="P7" i="49"/>
  <c r="P16" i="49"/>
  <c r="P30" i="49"/>
  <c r="P8" i="49"/>
  <c r="P58" i="49"/>
  <c r="P86" i="49"/>
  <c r="P100" i="49"/>
  <c r="P114" i="49"/>
  <c r="P22" i="49"/>
  <c r="P36" i="49"/>
  <c r="P3" i="49"/>
  <c r="P17" i="49"/>
  <c r="P31" i="49"/>
  <c r="P72" i="49"/>
  <c r="P4" i="49"/>
  <c r="P13" i="49"/>
  <c r="P27" i="49"/>
  <c r="P54" i="49"/>
  <c r="P59" i="49"/>
  <c r="P68" i="49"/>
  <c r="P73" i="49"/>
  <c r="P82" i="49"/>
  <c r="P87" i="49"/>
  <c r="P96" i="49"/>
  <c r="P101" i="49"/>
  <c r="P110" i="49"/>
  <c r="P5" i="49"/>
  <c r="P6" i="49"/>
  <c r="P9" i="49"/>
  <c r="P18" i="49"/>
  <c r="P55" i="49"/>
  <c r="P69" i="49"/>
  <c r="P83" i="49"/>
  <c r="P97" i="49"/>
  <c r="P106" i="49"/>
  <c r="P111" i="49"/>
  <c r="R114" i="52"/>
  <c r="R78" i="52"/>
  <c r="R110" i="52"/>
  <c r="R128" i="52"/>
  <c r="R82" i="52"/>
  <c r="R132" i="52"/>
  <c r="R92" i="52"/>
  <c r="R115" i="52"/>
  <c r="R104" i="52"/>
  <c r="R136" i="52"/>
  <c r="R86" i="52"/>
  <c r="R118" i="52"/>
  <c r="R100" i="52"/>
  <c r="R79" i="52"/>
  <c r="R111" i="52"/>
  <c r="R129" i="52"/>
  <c r="R102" i="52"/>
  <c r="R134" i="52"/>
  <c r="R89" i="52"/>
  <c r="R116" i="52"/>
  <c r="R121" i="52"/>
  <c r="R94" i="52"/>
  <c r="R76" i="52"/>
  <c r="R99" i="52"/>
  <c r="R108" i="52"/>
  <c r="R126" i="52"/>
  <c r="R131" i="52"/>
  <c r="R14" i="52"/>
  <c r="R35" i="52"/>
  <c r="R56" i="52"/>
  <c r="R63" i="52"/>
  <c r="R8" i="52"/>
  <c r="R15" i="52"/>
  <c r="R22" i="52"/>
  <c r="R29" i="52"/>
  <c r="R36" i="52"/>
  <c r="R43" i="52"/>
  <c r="R50" i="52"/>
  <c r="R57" i="52"/>
  <c r="R64" i="52"/>
  <c r="R71" i="52"/>
  <c r="R6" i="52"/>
  <c r="R13" i="52"/>
  <c r="R20" i="52"/>
  <c r="R27" i="52"/>
  <c r="R34" i="52"/>
  <c r="R41" i="52"/>
  <c r="R48" i="52"/>
  <c r="R55" i="52"/>
  <c r="R62" i="52"/>
  <c r="R69" i="52"/>
  <c r="R4" i="52"/>
  <c r="R11" i="52"/>
  <c r="R18" i="52"/>
  <c r="R25" i="52"/>
  <c r="R32" i="52"/>
  <c r="R39" i="52"/>
  <c r="R53" i="52"/>
  <c r="R60" i="52"/>
  <c r="R67" i="52"/>
  <c r="R9" i="52"/>
  <c r="R16" i="52"/>
  <c r="R23" i="52"/>
  <c r="R30" i="52"/>
  <c r="R37" i="52"/>
  <c r="R44" i="52"/>
  <c r="R51" i="52"/>
  <c r="R58" i="52"/>
  <c r="R65" i="52"/>
  <c r="R81" i="52"/>
  <c r="R109" i="52"/>
  <c r="R137" i="52"/>
  <c r="R7" i="52"/>
  <c r="R21" i="52"/>
  <c r="R28" i="52"/>
  <c r="R42" i="52"/>
  <c r="R49" i="52"/>
  <c r="R70" i="52"/>
  <c r="R5" i="52"/>
  <c r="R12" i="52"/>
  <c r="R19" i="52"/>
  <c r="R26" i="52"/>
  <c r="R33" i="52"/>
  <c r="R40" i="52"/>
  <c r="R47" i="52"/>
  <c r="R54" i="52"/>
  <c r="R61" i="52"/>
  <c r="R68" i="52"/>
  <c r="R3" i="52"/>
  <c r="R10" i="52"/>
  <c r="R17" i="52"/>
  <c r="R24" i="52"/>
  <c r="R31" i="52"/>
  <c r="R38" i="52"/>
  <c r="R52" i="52"/>
  <c r="R59" i="52"/>
  <c r="R66" i="52"/>
  <c r="R97" i="52"/>
  <c r="R125" i="52"/>
  <c r="S18" i="66"/>
  <c r="S46" i="66"/>
  <c r="S60" i="66"/>
  <c r="S74" i="66"/>
  <c r="S88" i="66"/>
  <c r="S102" i="66"/>
  <c r="S25" i="66"/>
  <c r="S39" i="66"/>
  <c r="S53" i="66"/>
  <c r="S67" i="66"/>
  <c r="S81" i="66"/>
  <c r="S95" i="66"/>
  <c r="S109" i="66"/>
  <c r="S12" i="66"/>
  <c r="S6" i="66"/>
  <c r="S15" i="66"/>
  <c r="S29" i="66"/>
  <c r="S43" i="66"/>
  <c r="S50" i="66"/>
  <c r="S57" i="66"/>
  <c r="S64" i="66"/>
  <c r="S71" i="66"/>
  <c r="S78" i="66"/>
  <c r="S85" i="66"/>
  <c r="S92" i="66"/>
  <c r="S99" i="66"/>
  <c r="S106" i="66"/>
  <c r="S113" i="66"/>
  <c r="S4" i="66"/>
  <c r="S13" i="66"/>
  <c r="S20" i="66"/>
  <c r="S27" i="66"/>
  <c r="S41" i="66"/>
  <c r="S48" i="66"/>
  <c r="S55" i="66"/>
  <c r="S62" i="66"/>
  <c r="S69" i="66"/>
  <c r="S76" i="66"/>
  <c r="S83" i="66"/>
  <c r="S90" i="66"/>
  <c r="S97" i="66"/>
  <c r="S104" i="66"/>
  <c r="S111" i="66"/>
  <c r="S11" i="66"/>
  <c r="S9" i="66"/>
  <c r="S7" i="66"/>
  <c r="S16" i="66"/>
  <c r="S23" i="66"/>
  <c r="S30" i="66"/>
  <c r="S44" i="66"/>
  <c r="S51" i="66"/>
  <c r="S58" i="66"/>
  <c r="S65" i="66"/>
  <c r="S72" i="66"/>
  <c r="S79" i="66"/>
  <c r="S86" i="66"/>
  <c r="S93" i="66"/>
  <c r="S100" i="66"/>
  <c r="S107" i="66"/>
  <c r="S114" i="66"/>
  <c r="S5" i="66"/>
  <c r="S14" i="66"/>
  <c r="S21" i="66"/>
  <c r="S28" i="66"/>
  <c r="S35" i="66"/>
  <c r="S42" i="66"/>
  <c r="S49" i="66"/>
  <c r="S56" i="66"/>
  <c r="S63" i="66"/>
  <c r="S70" i="66"/>
  <c r="S112" i="66"/>
  <c r="S3" i="66"/>
  <c r="S19" i="66"/>
  <c r="S40" i="66"/>
  <c r="S47" i="66"/>
  <c r="S54" i="66"/>
  <c r="S61" i="66"/>
  <c r="S68" i="66"/>
  <c r="S75" i="66"/>
  <c r="S82" i="66"/>
  <c r="S89" i="66"/>
  <c r="S96" i="66"/>
  <c r="S103" i="66"/>
  <c r="S110" i="66"/>
  <c r="S10" i="66"/>
  <c r="S17" i="66"/>
  <c r="S31" i="66"/>
  <c r="S38" i="66"/>
  <c r="S45" i="66"/>
  <c r="S52" i="66"/>
  <c r="S59" i="66"/>
  <c r="S66" i="66"/>
  <c r="S73" i="66"/>
  <c r="S80" i="66"/>
  <c r="S87" i="66"/>
  <c r="S94" i="66"/>
  <c r="S101" i="66"/>
  <c r="S108" i="66"/>
  <c r="S115" i="66"/>
  <c r="S77" i="66"/>
  <c r="S84" i="66"/>
  <c r="S91" i="66"/>
  <c r="S98" i="66"/>
  <c r="S105" i="66"/>
  <c r="S24" i="66"/>
  <c r="S22" i="66"/>
  <c r="S26" i="66"/>
  <c r="R91" i="64"/>
  <c r="R105" i="64"/>
  <c r="R119" i="64"/>
  <c r="R10" i="64"/>
  <c r="R14" i="64"/>
  <c r="R21" i="64"/>
  <c r="R35" i="64"/>
  <c r="R49" i="64"/>
  <c r="R56" i="64"/>
  <c r="R63" i="64"/>
  <c r="R70" i="64"/>
  <c r="R84" i="64"/>
  <c r="R5" i="64"/>
  <c r="R12" i="64"/>
  <c r="R19" i="64"/>
  <c r="R33" i="64"/>
  <c r="R40" i="64"/>
  <c r="R47" i="64"/>
  <c r="R54" i="64"/>
  <c r="R61" i="64"/>
  <c r="R68" i="64"/>
  <c r="R75" i="64"/>
  <c r="R82" i="64"/>
  <c r="R96" i="64"/>
  <c r="R103" i="64"/>
  <c r="R110" i="64"/>
  <c r="R117" i="64"/>
  <c r="R77" i="64"/>
  <c r="R28" i="64"/>
  <c r="R42" i="64"/>
  <c r="R26" i="64"/>
  <c r="R7" i="64"/>
  <c r="R89" i="64"/>
  <c r="R3" i="64"/>
  <c r="R17" i="64"/>
  <c r="R24" i="64"/>
  <c r="R31" i="64"/>
  <c r="R38" i="64"/>
  <c r="R45" i="64"/>
  <c r="R52" i="64"/>
  <c r="R59" i="64"/>
  <c r="R66" i="64"/>
  <c r="R73" i="64"/>
  <c r="R80" i="64"/>
  <c r="R87" i="64"/>
  <c r="R94" i="64"/>
  <c r="R101" i="64"/>
  <c r="R108" i="64"/>
  <c r="R115" i="64"/>
  <c r="R122" i="64"/>
  <c r="R8" i="64"/>
  <c r="R15" i="64"/>
  <c r="R22" i="64"/>
  <c r="R29" i="64"/>
  <c r="R36" i="64"/>
  <c r="R43" i="64"/>
  <c r="R50" i="64"/>
  <c r="R57" i="64"/>
  <c r="R64" i="64"/>
  <c r="R71" i="64"/>
  <c r="R78" i="64"/>
  <c r="R85" i="64"/>
  <c r="R92" i="64"/>
  <c r="R99" i="64"/>
  <c r="R106" i="64"/>
  <c r="R113" i="64"/>
  <c r="R120" i="64"/>
  <c r="R6" i="64"/>
  <c r="R13" i="64"/>
  <c r="R20" i="64"/>
  <c r="R27" i="64"/>
  <c r="R34" i="64"/>
  <c r="R41" i="64"/>
  <c r="R48" i="64"/>
  <c r="R55" i="64"/>
  <c r="R62" i="64"/>
  <c r="R69" i="64"/>
  <c r="R76" i="64"/>
  <c r="R83" i="64"/>
  <c r="R90" i="64"/>
  <c r="R97" i="64"/>
  <c r="R104" i="64"/>
  <c r="R111" i="64"/>
  <c r="R118" i="64"/>
  <c r="R4" i="64"/>
  <c r="R11" i="64"/>
  <c r="R18" i="64"/>
  <c r="R25" i="64"/>
  <c r="R32" i="64"/>
  <c r="R39" i="64"/>
  <c r="R46" i="64"/>
  <c r="R53" i="64"/>
  <c r="R60" i="64"/>
  <c r="R67" i="64"/>
  <c r="R74" i="64"/>
  <c r="R81" i="64"/>
  <c r="R88" i="64"/>
  <c r="R95" i="64"/>
  <c r="R102" i="64"/>
  <c r="R109" i="64"/>
  <c r="R116" i="64"/>
  <c r="R123" i="64"/>
  <c r="R9" i="64"/>
  <c r="R16" i="64"/>
  <c r="R23" i="64"/>
  <c r="R30" i="64"/>
  <c r="R37" i="64"/>
  <c r="R44" i="64"/>
  <c r="R51" i="64"/>
  <c r="R58" i="64"/>
  <c r="R65" i="64"/>
  <c r="R72" i="64"/>
  <c r="R79" i="64"/>
  <c r="R86" i="64"/>
  <c r="R93" i="64"/>
  <c r="R100" i="64"/>
  <c r="R107" i="64"/>
  <c r="R114" i="64"/>
  <c r="R121" i="64"/>
  <c r="T120" i="54"/>
  <c r="T134" i="54"/>
  <c r="T45" i="54"/>
  <c r="T59" i="54"/>
  <c r="T83" i="54"/>
  <c r="T97" i="54"/>
  <c r="T111" i="54"/>
  <c r="T125" i="54"/>
  <c r="T84" i="54"/>
  <c r="T98" i="54"/>
  <c r="T112" i="54"/>
  <c r="T126" i="54"/>
  <c r="T9" i="54"/>
  <c r="T23" i="54"/>
  <c r="T37" i="54"/>
  <c r="T51" i="54"/>
  <c r="T65" i="54"/>
  <c r="T75" i="54"/>
  <c r="T89" i="54"/>
  <c r="T103" i="54"/>
  <c r="T117" i="54"/>
  <c r="T131" i="54"/>
  <c r="T70" i="54"/>
  <c r="T132" i="54"/>
  <c r="T86" i="54"/>
  <c r="T100" i="54"/>
  <c r="T114" i="54"/>
  <c r="T128" i="54"/>
  <c r="T80" i="54"/>
  <c r="T94" i="54"/>
  <c r="T108" i="54"/>
  <c r="T122" i="54"/>
  <c r="T44" i="54"/>
  <c r="T58" i="54"/>
  <c r="T133" i="54"/>
  <c r="T85" i="54"/>
  <c r="T109" i="54"/>
  <c r="T123" i="54"/>
  <c r="T14" i="54"/>
  <c r="T28" i="54"/>
  <c r="T42" i="54"/>
  <c r="T33" i="54"/>
  <c r="T99" i="54"/>
  <c r="T113" i="54"/>
  <c r="T127" i="54"/>
  <c r="T10" i="54"/>
  <c r="T24" i="54"/>
  <c r="T52" i="54"/>
  <c r="T66" i="54"/>
  <c r="T15" i="54"/>
  <c r="T29" i="54"/>
  <c r="T43" i="54"/>
  <c r="T57" i="54"/>
  <c r="T71" i="54"/>
  <c r="T81" i="54"/>
  <c r="T40" i="54"/>
  <c r="T54" i="54"/>
  <c r="T68" i="54"/>
  <c r="T31" i="54"/>
  <c r="T36" i="54"/>
  <c r="T50" i="54"/>
  <c r="T64" i="54"/>
  <c r="T56" i="54"/>
  <c r="T5" i="54"/>
  <c r="T19" i="54"/>
  <c r="T47" i="54"/>
  <c r="T61" i="54"/>
  <c r="T38" i="54"/>
  <c r="T95" i="54"/>
  <c r="T6" i="54"/>
  <c r="T20" i="54"/>
  <c r="T34" i="54"/>
  <c r="T48" i="54"/>
  <c r="T62" i="54"/>
  <c r="T11" i="54"/>
  <c r="T25" i="54"/>
  <c r="T39" i="54"/>
  <c r="T53" i="54"/>
  <c r="T67" i="54"/>
  <c r="T77" i="54"/>
  <c r="T91" i="54"/>
  <c r="T105" i="54"/>
  <c r="T119" i="54"/>
  <c r="T137" i="54"/>
  <c r="T16" i="54"/>
  <c r="T30" i="54"/>
  <c r="T7" i="54"/>
  <c r="T21" i="54"/>
  <c r="T35" i="54"/>
  <c r="T12" i="54"/>
  <c r="T26" i="54"/>
  <c r="T3" i="54"/>
  <c r="T17" i="54"/>
  <c r="T8" i="54"/>
  <c r="T22" i="54"/>
  <c r="T13" i="54"/>
  <c r="T27" i="54"/>
  <c r="T4" i="54"/>
  <c r="T18" i="54"/>
  <c r="T32" i="54"/>
  <c r="T46" i="54"/>
  <c r="T60" i="54"/>
  <c r="S6" i="65"/>
  <c r="S20" i="65"/>
  <c r="S34" i="65"/>
  <c r="S48" i="65"/>
  <c r="S62" i="65"/>
  <c r="S76" i="65"/>
  <c r="S90" i="65"/>
  <c r="S104" i="65"/>
  <c r="S118" i="65"/>
  <c r="S132" i="65"/>
  <c r="S12" i="65"/>
  <c r="S26" i="65"/>
  <c r="S40" i="65"/>
  <c r="S54" i="65"/>
  <c r="S68" i="65"/>
  <c r="S82" i="65"/>
  <c r="S96" i="65"/>
  <c r="S110" i="65"/>
  <c r="S124" i="65"/>
  <c r="S11" i="65"/>
  <c r="S13" i="65"/>
  <c r="S27" i="65"/>
  <c r="S41" i="65"/>
  <c r="S69" i="65"/>
  <c r="S97" i="65"/>
  <c r="S125" i="65"/>
  <c r="S25" i="65"/>
  <c r="S53" i="65"/>
  <c r="S81" i="65"/>
  <c r="S7" i="65"/>
  <c r="S21" i="65"/>
  <c r="S35" i="65"/>
  <c r="S49" i="65"/>
  <c r="S63" i="65"/>
  <c r="S77" i="65"/>
  <c r="S91" i="65"/>
  <c r="S105" i="65"/>
  <c r="S119" i="65"/>
  <c r="S133" i="65"/>
  <c r="S55" i="65"/>
  <c r="S83" i="65"/>
  <c r="S111" i="65"/>
  <c r="S39" i="65"/>
  <c r="S67" i="65"/>
  <c r="S95" i="65"/>
  <c r="S109" i="65"/>
  <c r="S123" i="65"/>
  <c r="S9" i="65"/>
  <c r="S23" i="65"/>
  <c r="S37" i="65"/>
  <c r="S51" i="65"/>
  <c r="S65" i="65"/>
  <c r="S79" i="65"/>
  <c r="S93" i="65"/>
  <c r="S107" i="65"/>
  <c r="S121" i="65"/>
  <c r="S5" i="65"/>
  <c r="S19" i="65"/>
  <c r="S33" i="65"/>
  <c r="S47" i="65"/>
  <c r="S61" i="65"/>
  <c r="S75" i="65"/>
  <c r="S89" i="65"/>
  <c r="S103" i="65"/>
  <c r="S117" i="65"/>
  <c r="S131" i="65"/>
  <c r="S3" i="65"/>
  <c r="S17" i="65"/>
  <c r="S31" i="65"/>
  <c r="S45" i="65"/>
  <c r="S59" i="65"/>
  <c r="S73" i="65"/>
  <c r="S87" i="65"/>
  <c r="S101" i="65"/>
  <c r="S115" i="65"/>
  <c r="S129" i="65"/>
  <c r="S15" i="65"/>
  <c r="S29" i="65"/>
  <c r="S43" i="65"/>
  <c r="S57" i="65"/>
  <c r="S71" i="65"/>
  <c r="S85" i="65"/>
  <c r="S99" i="65"/>
  <c r="S113" i="65"/>
  <c r="S127" i="65"/>
  <c r="S130" i="65"/>
  <c r="S41" i="68"/>
  <c r="S55" i="68"/>
  <c r="S69" i="68"/>
  <c r="S83" i="68"/>
  <c r="S97" i="68"/>
  <c r="S112" i="68"/>
  <c r="S106" i="68"/>
  <c r="S45" i="68"/>
  <c r="S59" i="68"/>
  <c r="S73" i="68"/>
  <c r="S87" i="68"/>
  <c r="S101" i="68"/>
  <c r="S105" i="68"/>
  <c r="S17" i="68"/>
  <c r="S31" i="68"/>
  <c r="S52" i="68"/>
  <c r="S66" i="68"/>
  <c r="S6" i="68"/>
  <c r="S20" i="68"/>
  <c r="S27" i="68"/>
  <c r="S48" i="68"/>
  <c r="S7" i="68"/>
  <c r="S14" i="68"/>
  <c r="S21" i="68"/>
  <c r="S28" i="68"/>
  <c r="S35" i="68"/>
  <c r="S42" i="68"/>
  <c r="S56" i="68"/>
  <c r="S70" i="68"/>
  <c r="S84" i="68"/>
  <c r="S98" i="68"/>
  <c r="S113" i="68"/>
  <c r="S5" i="68"/>
  <c r="S12" i="68"/>
  <c r="S19" i="68"/>
  <c r="S26" i="68"/>
  <c r="S40" i="68"/>
  <c r="S54" i="68"/>
  <c r="S68" i="68"/>
  <c r="S82" i="68"/>
  <c r="S96" i="68"/>
  <c r="S111" i="68"/>
  <c r="S8" i="68"/>
  <c r="S15" i="68"/>
  <c r="S22" i="68"/>
  <c r="S29" i="68"/>
  <c r="S50" i="68"/>
  <c r="S64" i="68"/>
  <c r="S78" i="68"/>
  <c r="S92" i="68"/>
  <c r="S107" i="68"/>
  <c r="S3" i="68"/>
  <c r="S10" i="68"/>
  <c r="S24" i="68"/>
  <c r="S38" i="68"/>
  <c r="S80" i="68"/>
  <c r="S94" i="68"/>
  <c r="S109" i="68"/>
  <c r="S13" i="68"/>
  <c r="S62" i="68"/>
  <c r="S76" i="68"/>
  <c r="S90" i="68"/>
  <c r="S104" i="68"/>
  <c r="S4" i="68"/>
  <c r="S11" i="68"/>
  <c r="S18" i="68"/>
  <c r="S25" i="68"/>
  <c r="S46" i="68"/>
  <c r="S60" i="68"/>
  <c r="S74" i="68"/>
  <c r="S88" i="68"/>
  <c r="S102" i="68"/>
  <c r="S9" i="68"/>
  <c r="S16" i="68"/>
  <c r="S23" i="68"/>
  <c r="S30" i="68"/>
  <c r="S44" i="68"/>
  <c r="S58" i="68"/>
  <c r="S72" i="68"/>
  <c r="S86" i="68"/>
  <c r="S100" i="68"/>
  <c r="S115" i="68"/>
  <c r="Q4" i="67"/>
  <c r="Q64" i="67"/>
  <c r="Q78" i="67"/>
  <c r="Q32" i="67"/>
  <c r="Q46" i="67"/>
  <c r="Q74" i="67"/>
  <c r="Q20" i="67"/>
  <c r="Q18" i="67"/>
  <c r="Q15" i="67"/>
  <c r="Q24" i="67"/>
  <c r="Q29" i="67"/>
  <c r="Q43" i="67"/>
  <c r="Q57" i="67"/>
  <c r="Q80" i="67"/>
  <c r="Q67" i="67"/>
  <c r="Q76" i="67"/>
  <c r="Q81" i="67"/>
  <c r="Q95" i="67"/>
  <c r="Q109" i="67"/>
  <c r="Q123" i="67"/>
  <c r="Q48" i="67"/>
  <c r="Q12" i="67"/>
  <c r="Q26" i="67"/>
  <c r="Q40" i="67"/>
  <c r="Q68" i="67"/>
  <c r="Q73" i="67"/>
  <c r="Q101" i="67"/>
  <c r="Q115" i="67"/>
  <c r="Q6" i="67"/>
  <c r="Q42" i="67"/>
  <c r="Q58" i="67"/>
  <c r="Q120" i="67"/>
  <c r="Q22" i="67"/>
  <c r="Q104" i="67"/>
  <c r="Q54" i="67"/>
  <c r="Q116" i="67"/>
  <c r="Q52" i="67"/>
  <c r="Q86" i="67"/>
  <c r="Q100" i="67"/>
  <c r="Q14" i="67"/>
  <c r="Q50" i="67"/>
  <c r="Q66" i="67"/>
  <c r="Q84" i="67"/>
  <c r="Q98" i="67"/>
  <c r="Q112" i="67"/>
  <c r="Q96" i="67"/>
  <c r="Q110" i="67"/>
  <c r="Q124" i="67"/>
  <c r="Q10" i="67"/>
  <c r="Q17" i="67"/>
  <c r="Q28" i="67"/>
  <c r="Q35" i="67"/>
  <c r="Q53" i="67"/>
  <c r="Q62" i="67"/>
  <c r="Q87" i="67"/>
  <c r="Q92" i="67"/>
  <c r="Q106" i="67"/>
  <c r="Q56" i="67"/>
  <c r="Q90" i="67"/>
  <c r="Q118" i="67"/>
  <c r="Q38" i="67"/>
  <c r="Q72" i="67"/>
  <c r="Q88" i="67"/>
  <c r="Q102" i="67"/>
  <c r="Q70" i="67"/>
  <c r="Q16" i="67"/>
  <c r="Q34" i="67"/>
  <c r="Q114" i="67"/>
  <c r="Q30" i="67"/>
  <c r="Q82" i="67"/>
  <c r="Q69" i="67"/>
  <c r="Q94" i="67"/>
  <c r="Q122" i="67"/>
  <c r="S46" i="69"/>
  <c r="S38" i="69"/>
  <c r="S27" i="69"/>
  <c r="S51" i="69"/>
  <c r="S66" i="69"/>
  <c r="S80" i="69"/>
  <c r="S94" i="69"/>
  <c r="S108" i="69"/>
  <c r="S122" i="69"/>
  <c r="S42" i="69"/>
  <c r="S29" i="69"/>
  <c r="S5" i="69"/>
  <c r="S20" i="69"/>
  <c r="S52" i="69"/>
  <c r="S11" i="69"/>
  <c r="S44" i="69"/>
  <c r="S58" i="69"/>
  <c r="S45" i="69"/>
  <c r="S13" i="69"/>
  <c r="S32" i="69"/>
  <c r="S59" i="69"/>
  <c r="S37" i="69"/>
  <c r="S74" i="69"/>
  <c r="S88" i="69"/>
  <c r="S102" i="69"/>
  <c r="S116" i="69"/>
  <c r="S130" i="69"/>
  <c r="S43" i="69"/>
  <c r="S47" i="69"/>
  <c r="S16" i="69"/>
  <c r="S30" i="69"/>
  <c r="S39" i="69"/>
  <c r="S21" i="69"/>
  <c r="S7" i="69"/>
  <c r="S26" i="69"/>
  <c r="S57" i="69"/>
  <c r="S61" i="69"/>
  <c r="S3" i="69"/>
  <c r="S31" i="69"/>
  <c r="S40" i="69"/>
  <c r="S71" i="69"/>
  <c r="S85" i="69"/>
  <c r="S99" i="69"/>
  <c r="S113" i="69"/>
  <c r="S22" i="69"/>
  <c r="S36" i="69"/>
  <c r="S49" i="69"/>
  <c r="S53" i="69"/>
  <c r="S9" i="69"/>
  <c r="S18" i="69"/>
  <c r="S4" i="69"/>
  <c r="S41" i="69"/>
  <c r="S14" i="69"/>
  <c r="S23" i="69"/>
  <c r="S50" i="69"/>
  <c r="S54" i="69"/>
  <c r="S63" i="69"/>
  <c r="S77" i="69"/>
  <c r="S91" i="69"/>
  <c r="S105" i="69"/>
  <c r="S119" i="69"/>
  <c r="S10" i="69"/>
  <c r="S19" i="69"/>
  <c r="S28" i="69"/>
  <c r="S33" i="69"/>
  <c r="S34" i="69"/>
  <c r="S6" i="69"/>
  <c r="S25" i="69"/>
  <c r="S56" i="69"/>
  <c r="S60" i="69"/>
  <c r="S12" i="69"/>
  <c r="S35" i="69"/>
  <c r="S48" i="69"/>
  <c r="S17" i="69"/>
  <c r="S15" i="69"/>
  <c r="S24" i="69"/>
  <c r="S55" i="69"/>
  <c r="S69" i="69"/>
  <c r="S83" i="69"/>
  <c r="S97" i="69"/>
  <c r="S111" i="69"/>
  <c r="S125" i="69"/>
  <c r="S67" i="69"/>
  <c r="S72" i="69"/>
  <c r="S81" i="69"/>
  <c r="S86" i="69"/>
  <c r="S95" i="69"/>
  <c r="S100" i="69"/>
  <c r="S109" i="69"/>
  <c r="S114" i="69"/>
  <c r="S123" i="69"/>
  <c r="S128" i="69"/>
  <c r="S8" i="69"/>
  <c r="S64" i="69"/>
  <c r="S73" i="69"/>
  <c r="S78" i="69"/>
  <c r="S87" i="69"/>
  <c r="S92" i="69"/>
  <c r="S101" i="69"/>
  <c r="S106" i="69"/>
  <c r="S115" i="69"/>
  <c r="S120" i="69"/>
  <c r="S129" i="69"/>
  <c r="S65" i="69"/>
  <c r="S79" i="69"/>
  <c r="S93" i="69"/>
  <c r="S107" i="69"/>
  <c r="S121" i="69"/>
  <c r="S82" i="69"/>
  <c r="S75" i="69"/>
  <c r="S89" i="69"/>
  <c r="S103" i="69"/>
  <c r="S117" i="69"/>
  <c r="S131" i="69"/>
  <c r="S127" i="69"/>
  <c r="U121" i="3" l="1"/>
  <c r="T121" i="3"/>
  <c r="U120" i="3"/>
  <c r="T120" i="3"/>
  <c r="U119" i="3"/>
  <c r="T119" i="3"/>
  <c r="U118" i="3"/>
  <c r="T118" i="3"/>
  <c r="U117" i="3"/>
  <c r="T117" i="3"/>
  <c r="U116" i="3"/>
  <c r="T116" i="3"/>
  <c r="U115" i="3"/>
  <c r="T115" i="3"/>
  <c r="U114" i="3"/>
  <c r="T114" i="3"/>
  <c r="U113" i="3"/>
  <c r="T113" i="3"/>
  <c r="U112" i="3"/>
  <c r="T112" i="3"/>
  <c r="U111" i="3"/>
  <c r="T111" i="3"/>
  <c r="U110" i="3"/>
  <c r="T110" i="3"/>
  <c r="U109" i="3"/>
  <c r="T109" i="3"/>
  <c r="U108" i="3"/>
  <c r="T108" i="3"/>
  <c r="U107" i="3"/>
  <c r="T107" i="3"/>
  <c r="U106" i="3"/>
  <c r="T106" i="3"/>
  <c r="U105" i="3"/>
  <c r="T105" i="3"/>
  <c r="U104" i="3"/>
  <c r="T104" i="3"/>
  <c r="U103" i="3"/>
  <c r="T103" i="3"/>
  <c r="U102" i="3"/>
  <c r="T102" i="3"/>
  <c r="U101" i="3"/>
  <c r="T101" i="3"/>
  <c r="U100" i="3"/>
  <c r="T100" i="3"/>
  <c r="U99" i="3"/>
  <c r="T99" i="3"/>
  <c r="U98" i="3"/>
  <c r="T98" i="3"/>
  <c r="U97" i="3"/>
  <c r="T97" i="3"/>
  <c r="U96" i="3"/>
  <c r="T96" i="3"/>
  <c r="U95" i="3"/>
  <c r="T95" i="3"/>
  <c r="U94" i="3"/>
  <c r="T94" i="3"/>
  <c r="U93" i="3"/>
  <c r="T93" i="3"/>
  <c r="U92" i="3"/>
  <c r="T92" i="3"/>
  <c r="U91" i="3"/>
  <c r="T91" i="3"/>
  <c r="U90" i="3"/>
  <c r="T90" i="3"/>
  <c r="U89" i="3"/>
  <c r="T89" i="3"/>
  <c r="U88" i="3"/>
  <c r="T88" i="3"/>
  <c r="U87" i="3"/>
  <c r="T87" i="3"/>
  <c r="U86" i="3"/>
  <c r="T86" i="3"/>
  <c r="U85" i="3"/>
  <c r="T85" i="3"/>
  <c r="U84" i="3"/>
  <c r="T84" i="3"/>
  <c r="U83" i="3"/>
  <c r="T83" i="3"/>
  <c r="U82" i="3"/>
  <c r="T82" i="3"/>
  <c r="U81" i="3"/>
  <c r="T81" i="3"/>
  <c r="U80" i="3"/>
  <c r="T80" i="3"/>
  <c r="U79" i="3"/>
  <c r="T79" i="3"/>
  <c r="U78" i="3"/>
  <c r="T78" i="3"/>
  <c r="U77" i="3"/>
  <c r="T77" i="3"/>
  <c r="U76" i="3"/>
  <c r="T76" i="3"/>
  <c r="U75" i="3"/>
  <c r="T75" i="3"/>
  <c r="U74" i="3"/>
  <c r="T74" i="3"/>
  <c r="U73" i="3"/>
  <c r="T73" i="3"/>
  <c r="U72" i="3"/>
  <c r="T72" i="3"/>
  <c r="U71" i="3"/>
  <c r="T71" i="3"/>
  <c r="U70" i="3"/>
  <c r="T70" i="3"/>
  <c r="U69" i="3"/>
  <c r="T69" i="3"/>
  <c r="U68" i="3"/>
  <c r="T68" i="3"/>
  <c r="U67" i="3"/>
  <c r="T67" i="3"/>
  <c r="U66" i="3"/>
  <c r="T66" i="3"/>
  <c r="U65" i="3"/>
  <c r="T65" i="3"/>
  <c r="U64" i="3"/>
  <c r="T64" i="3"/>
  <c r="U63" i="3"/>
  <c r="T63" i="3"/>
  <c r="U62" i="3"/>
  <c r="T62" i="3"/>
  <c r="U61" i="3"/>
  <c r="T61" i="3"/>
  <c r="U60" i="3"/>
  <c r="T60" i="3"/>
  <c r="U59" i="3"/>
  <c r="T59" i="3"/>
  <c r="U58" i="3"/>
  <c r="T58" i="3"/>
  <c r="U57" i="3"/>
  <c r="T57" i="3"/>
  <c r="U56" i="3"/>
  <c r="T56" i="3"/>
  <c r="U55" i="3"/>
  <c r="T55" i="3"/>
  <c r="U54" i="3"/>
  <c r="T54" i="3"/>
  <c r="U53" i="3"/>
  <c r="T53" i="3"/>
  <c r="U52" i="3"/>
  <c r="T52" i="3"/>
  <c r="U51" i="3"/>
  <c r="T51" i="3"/>
  <c r="U50" i="3"/>
  <c r="T50" i="3"/>
  <c r="U49" i="3"/>
  <c r="T49" i="3"/>
  <c r="U48" i="3"/>
  <c r="T48" i="3"/>
  <c r="U47" i="3"/>
  <c r="T47" i="3"/>
  <c r="U46" i="3"/>
  <c r="T46" i="3"/>
  <c r="U45" i="3"/>
  <c r="T45" i="3"/>
  <c r="U44" i="3"/>
  <c r="T44" i="3"/>
  <c r="U43" i="3"/>
  <c r="T43" i="3"/>
  <c r="U42" i="3"/>
  <c r="T42" i="3"/>
  <c r="U41" i="3"/>
  <c r="T41" i="3"/>
  <c r="U40" i="3"/>
  <c r="T40" i="3"/>
  <c r="U39" i="3"/>
  <c r="T39" i="3"/>
  <c r="U38" i="3"/>
  <c r="T38" i="3"/>
  <c r="U37" i="3"/>
  <c r="T37" i="3"/>
  <c r="U36" i="3"/>
  <c r="T36" i="3"/>
  <c r="U35" i="3"/>
  <c r="T35" i="3"/>
  <c r="U34" i="3"/>
  <c r="T34" i="3"/>
  <c r="U33" i="3"/>
  <c r="T33" i="3"/>
  <c r="U32" i="3"/>
  <c r="T32" i="3"/>
  <c r="U31" i="3"/>
  <c r="T31" i="3"/>
  <c r="U30" i="3"/>
  <c r="T30" i="3"/>
  <c r="U29" i="3"/>
  <c r="T29" i="3"/>
  <c r="U28" i="3"/>
  <c r="T28" i="3"/>
  <c r="U27" i="3"/>
  <c r="T27" i="3"/>
  <c r="U26" i="3"/>
  <c r="T26" i="3"/>
  <c r="U25" i="3"/>
  <c r="T25" i="3"/>
  <c r="U24" i="3"/>
  <c r="T24" i="3"/>
  <c r="U23" i="3"/>
  <c r="T23" i="3"/>
  <c r="U22" i="3"/>
  <c r="T22" i="3"/>
  <c r="U21" i="3"/>
  <c r="T21" i="3"/>
  <c r="U20" i="3"/>
  <c r="T20" i="3"/>
  <c r="U19" i="3"/>
  <c r="T19" i="3"/>
  <c r="U18" i="3"/>
  <c r="T18" i="3"/>
  <c r="U17" i="3"/>
  <c r="T17" i="3"/>
  <c r="U16" i="3"/>
  <c r="T16" i="3"/>
  <c r="U15" i="3"/>
  <c r="T15" i="3"/>
  <c r="U14" i="3"/>
  <c r="T14" i="3"/>
  <c r="U13" i="3"/>
  <c r="T13" i="3"/>
  <c r="U12" i="3"/>
  <c r="T12" i="3"/>
  <c r="U11" i="3"/>
  <c r="T11" i="3"/>
  <c r="U10" i="3"/>
  <c r="T10" i="3"/>
  <c r="U9" i="3"/>
  <c r="T9" i="3"/>
  <c r="U8" i="3"/>
  <c r="T8" i="3"/>
  <c r="U7" i="3"/>
  <c r="T7" i="3"/>
  <c r="U6" i="3"/>
  <c r="T6" i="3"/>
  <c r="U5" i="3"/>
  <c r="T5" i="3"/>
  <c r="U4" i="3"/>
  <c r="T4" i="3"/>
  <c r="U3" i="3"/>
  <c r="T3" i="3"/>
  <c r="O121" i="3"/>
  <c r="N121" i="3"/>
  <c r="O120" i="3"/>
  <c r="N120" i="3"/>
  <c r="O119" i="3"/>
  <c r="N119" i="3"/>
  <c r="O118" i="3"/>
  <c r="N118" i="3"/>
  <c r="O117" i="3"/>
  <c r="N117" i="3"/>
  <c r="O116" i="3"/>
  <c r="N116" i="3"/>
  <c r="O115" i="3"/>
  <c r="N115" i="3"/>
  <c r="O114" i="3"/>
  <c r="N114" i="3"/>
  <c r="O113" i="3"/>
  <c r="N113" i="3"/>
  <c r="O112" i="3"/>
  <c r="N112" i="3"/>
  <c r="O111" i="3"/>
  <c r="N111" i="3"/>
  <c r="O110" i="3"/>
  <c r="N110" i="3"/>
  <c r="O109" i="3"/>
  <c r="N109" i="3"/>
  <c r="O108" i="3"/>
  <c r="N108" i="3"/>
  <c r="O107" i="3"/>
  <c r="N107" i="3"/>
  <c r="O106" i="3"/>
  <c r="N106" i="3"/>
  <c r="O105" i="3"/>
  <c r="N105" i="3"/>
  <c r="O104" i="3"/>
  <c r="N104" i="3"/>
  <c r="O103" i="3"/>
  <c r="N103" i="3"/>
  <c r="O102" i="3"/>
  <c r="N102" i="3"/>
  <c r="O101" i="3"/>
  <c r="N101" i="3"/>
  <c r="O100" i="3"/>
  <c r="N100" i="3"/>
  <c r="O99" i="3"/>
  <c r="N99" i="3"/>
  <c r="O98" i="3"/>
  <c r="N98" i="3"/>
  <c r="O97" i="3"/>
  <c r="N97" i="3"/>
  <c r="O96" i="3"/>
  <c r="N96" i="3"/>
  <c r="O95" i="3"/>
  <c r="N95" i="3"/>
  <c r="O94" i="3"/>
  <c r="N94" i="3"/>
  <c r="O93" i="3"/>
  <c r="N93" i="3"/>
  <c r="O92" i="3"/>
  <c r="N92" i="3"/>
  <c r="O91" i="3"/>
  <c r="N91" i="3"/>
  <c r="O90" i="3"/>
  <c r="N90" i="3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N75" i="3"/>
  <c r="O74" i="3"/>
  <c r="N74" i="3"/>
  <c r="O73" i="3"/>
  <c r="N73" i="3"/>
  <c r="O72" i="3"/>
  <c r="N72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Q42" i="3" l="1"/>
  <c r="Q41" i="3"/>
  <c r="R41" i="3" s="1"/>
  <c r="R42" i="3" l="1"/>
  <c r="Q90" i="3" l="1"/>
  <c r="R90" i="3" s="1"/>
  <c r="Q89" i="3"/>
  <c r="R89" i="3" s="1"/>
  <c r="Q117" i="3" l="1"/>
  <c r="R117" i="3" l="1"/>
  <c r="Q70" i="3"/>
  <c r="R70" i="3" s="1"/>
  <c r="Q69" i="3"/>
  <c r="Q68" i="3"/>
  <c r="R68" i="3" l="1"/>
  <c r="R69" i="3"/>
  <c r="Q4" i="3" l="1"/>
  <c r="Q3" i="3"/>
  <c r="R3" i="3" s="1"/>
  <c r="R4" i="3"/>
  <c r="Q39" i="3" l="1"/>
  <c r="Q6" i="3" l="1"/>
  <c r="Q7" i="3"/>
  <c r="R7" i="3" s="1"/>
  <c r="Q8" i="3"/>
  <c r="R8" i="3" s="1"/>
  <c r="Q9" i="3"/>
  <c r="Q10" i="3"/>
  <c r="R10" i="3" s="1"/>
  <c r="Q11" i="3"/>
  <c r="Q12" i="3"/>
  <c r="Q13" i="3"/>
  <c r="R13" i="3" s="1"/>
  <c r="Q14" i="3"/>
  <c r="Q15" i="3"/>
  <c r="R15" i="3" s="1"/>
  <c r="Q16" i="3"/>
  <c r="R16" i="3" s="1"/>
  <c r="Q17" i="3"/>
  <c r="R17" i="3" s="1"/>
  <c r="Q18" i="3"/>
  <c r="R18" i="3" s="1"/>
  <c r="Q19" i="3"/>
  <c r="R19" i="3" s="1"/>
  <c r="Q20" i="3"/>
  <c r="R20" i="3" s="1"/>
  <c r="Q21" i="3"/>
  <c r="R21" i="3" s="1"/>
  <c r="Q22" i="3"/>
  <c r="R22" i="3" s="1"/>
  <c r="Q23" i="3"/>
  <c r="R23" i="3" s="1"/>
  <c r="Q24" i="3"/>
  <c r="R24" i="3" s="1"/>
  <c r="Q25" i="3"/>
  <c r="R25" i="3" s="1"/>
  <c r="Q26" i="3"/>
  <c r="R26" i="3" s="1"/>
  <c r="Q27" i="3"/>
  <c r="R27" i="3" s="1"/>
  <c r="Q28" i="3"/>
  <c r="R28" i="3" s="1"/>
  <c r="Q29" i="3"/>
  <c r="R29" i="3" s="1"/>
  <c r="Q30" i="3"/>
  <c r="R30" i="3" s="1"/>
  <c r="Q31" i="3"/>
  <c r="R31" i="3" s="1"/>
  <c r="Q32" i="3"/>
  <c r="R32" i="3" s="1"/>
  <c r="Q33" i="3"/>
  <c r="R33" i="3" s="1"/>
  <c r="Q34" i="3"/>
  <c r="Q35" i="3"/>
  <c r="R35" i="3" s="1"/>
  <c r="Q36" i="3"/>
  <c r="R36" i="3" s="1"/>
  <c r="Q37" i="3"/>
  <c r="Q38" i="3"/>
  <c r="R38" i="3" s="1"/>
  <c r="Q40" i="3"/>
  <c r="Q43" i="3"/>
  <c r="R43" i="3" s="1"/>
  <c r="Q44" i="3"/>
  <c r="R44" i="3" s="1"/>
  <c r="Q45" i="3"/>
  <c r="R45" i="3" s="1"/>
  <c r="Q46" i="3"/>
  <c r="R46" i="3" s="1"/>
  <c r="Q47" i="3"/>
  <c r="R47" i="3" s="1"/>
  <c r="Q48" i="3"/>
  <c r="R48" i="3" s="1"/>
  <c r="Q49" i="3"/>
  <c r="R49" i="3" s="1"/>
  <c r="Q50" i="3"/>
  <c r="R50" i="3" s="1"/>
  <c r="Q51" i="3"/>
  <c r="R51" i="3" s="1"/>
  <c r="Q52" i="3"/>
  <c r="R52" i="3" s="1"/>
  <c r="Q53" i="3"/>
  <c r="R53" i="3" s="1"/>
  <c r="Q54" i="3"/>
  <c r="R54" i="3" s="1"/>
  <c r="Q55" i="3"/>
  <c r="R55" i="3" s="1"/>
  <c r="Q56" i="3"/>
  <c r="R56" i="3" s="1"/>
  <c r="Q57" i="3"/>
  <c r="R57" i="3" s="1"/>
  <c r="Q58" i="3"/>
  <c r="R58" i="3" s="1"/>
  <c r="Q59" i="3"/>
  <c r="R59" i="3" s="1"/>
  <c r="Q60" i="3"/>
  <c r="R60" i="3" s="1"/>
  <c r="Q61" i="3"/>
  <c r="R61" i="3" s="1"/>
  <c r="Q62" i="3"/>
  <c r="R62" i="3" s="1"/>
  <c r="Q63" i="3"/>
  <c r="R63" i="3" s="1"/>
  <c r="Q64" i="3"/>
  <c r="R64" i="3" s="1"/>
  <c r="Q65" i="3"/>
  <c r="Q66" i="3"/>
  <c r="R66" i="3" s="1"/>
  <c r="Q67" i="3"/>
  <c r="R67" i="3" s="1"/>
  <c r="Q71" i="3"/>
  <c r="R71" i="3" s="1"/>
  <c r="Q72" i="3"/>
  <c r="R72" i="3" s="1"/>
  <c r="Q73" i="3"/>
  <c r="R73" i="3" s="1"/>
  <c r="Q74" i="3"/>
  <c r="R74" i="3" s="1"/>
  <c r="Q75" i="3"/>
  <c r="R75" i="3" s="1"/>
  <c r="Q76" i="3"/>
  <c r="R76" i="3" s="1"/>
  <c r="Q77" i="3"/>
  <c r="R77" i="3" s="1"/>
  <c r="Q78" i="3"/>
  <c r="R78" i="3" s="1"/>
  <c r="Q79" i="3"/>
  <c r="R79" i="3" s="1"/>
  <c r="Q80" i="3"/>
  <c r="R80" i="3" s="1"/>
  <c r="Q81" i="3"/>
  <c r="R81" i="3" s="1"/>
  <c r="Q82" i="3"/>
  <c r="R82" i="3" s="1"/>
  <c r="Q83" i="3"/>
  <c r="R83" i="3" s="1"/>
  <c r="Q84" i="3"/>
  <c r="R84" i="3" s="1"/>
  <c r="Q85" i="3"/>
  <c r="R85" i="3" s="1"/>
  <c r="Q86" i="3"/>
  <c r="R86" i="3" s="1"/>
  <c r="Q87" i="3"/>
  <c r="R87" i="3" s="1"/>
  <c r="Q88" i="3"/>
  <c r="R88" i="3" s="1"/>
  <c r="Q91" i="3"/>
  <c r="R91" i="3" s="1"/>
  <c r="Q92" i="3"/>
  <c r="R92" i="3" s="1"/>
  <c r="Q93" i="3"/>
  <c r="R93" i="3" s="1"/>
  <c r="Q94" i="3"/>
  <c r="R94" i="3" s="1"/>
  <c r="Q95" i="3"/>
  <c r="R95" i="3" s="1"/>
  <c r="Q96" i="3"/>
  <c r="R96" i="3" s="1"/>
  <c r="Q97" i="3"/>
  <c r="R97" i="3" s="1"/>
  <c r="Q98" i="3"/>
  <c r="R98" i="3" s="1"/>
  <c r="Q99" i="3"/>
  <c r="R99" i="3" s="1"/>
  <c r="Q100" i="3"/>
  <c r="R100" i="3" s="1"/>
  <c r="Q101" i="3"/>
  <c r="R101" i="3" s="1"/>
  <c r="Q102" i="3"/>
  <c r="R102" i="3" s="1"/>
  <c r="Q103" i="3"/>
  <c r="R103" i="3" s="1"/>
  <c r="Q104" i="3"/>
  <c r="R104" i="3" s="1"/>
  <c r="Q105" i="3"/>
  <c r="R105" i="3" s="1"/>
  <c r="Q106" i="3"/>
  <c r="R106" i="3" s="1"/>
  <c r="Q107" i="3"/>
  <c r="R107" i="3" s="1"/>
  <c r="Q108" i="3"/>
  <c r="R108" i="3" s="1"/>
  <c r="Q109" i="3"/>
  <c r="R109" i="3" s="1"/>
  <c r="Q110" i="3"/>
  <c r="R110" i="3" s="1"/>
  <c r="Q111" i="3"/>
  <c r="R111" i="3" s="1"/>
  <c r="Q112" i="3"/>
  <c r="R112" i="3" s="1"/>
  <c r="Q113" i="3"/>
  <c r="R113" i="3" s="1"/>
  <c r="Q114" i="3"/>
  <c r="R114" i="3" s="1"/>
  <c r="Q115" i="3"/>
  <c r="R115" i="3" s="1"/>
  <c r="Q116" i="3"/>
  <c r="R116" i="3" s="1"/>
  <c r="Q118" i="3"/>
  <c r="R118" i="3" s="1"/>
  <c r="Q119" i="3"/>
  <c r="R119" i="3" s="1"/>
  <c r="Q120" i="3"/>
  <c r="R120" i="3" s="1"/>
  <c r="Q121" i="3"/>
  <c r="R121" i="3" s="1"/>
  <c r="R6" i="3"/>
  <c r="R9" i="3"/>
  <c r="R11" i="3"/>
  <c r="R12" i="3"/>
  <c r="R14" i="3"/>
  <c r="R34" i="3"/>
  <c r="R65" i="3"/>
  <c r="Q5" i="3" l="1"/>
  <c r="R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</authors>
  <commentList>
    <comment ref="S1" authorId="0" shapeId="0" xr:uid="{8B3B9783-0036-4702-A561-961107F4B492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B2" authorId="0" shapeId="0" xr:uid="{22DC8029-E201-43AC-AC8D-AE758AD3F463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78E74066-03B4-4652-9C28-2F145991D881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07FE0A4D-EB8F-4067-84B1-51830327FFC5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O2" authorId="0" shapeId="0" xr:uid="{D2F33096-5EBF-42D4-B524-E678C91566D8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P2" authorId="0" shapeId="0" xr:uid="{924F87AA-F547-47DA-995A-09E04632E88C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Q2" authorId="0" shapeId="0" xr:uid="{0665E42C-29C7-4347-8566-B1A45F73CF1B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R2" authorId="0" shapeId="0" xr:uid="{4CF99DBE-036E-4ECF-84F8-4599E2F871E1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S2" authorId="0" shapeId="0" xr:uid="{4D539FC4-FA38-4825-A1A6-833DA80842A3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T2" authorId="0" shapeId="0" xr:uid="{9303F7C6-608F-4DCD-9150-4E3CD5E2913F}">
      <text>
        <r>
          <rPr>
            <b/>
            <sz val="9"/>
            <color indexed="81"/>
            <rFont val="Tahoma"/>
            <family val="2"/>
          </rPr>
          <t>PRIX INSTALLÉ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  <author>Thamur Machado</author>
  </authors>
  <commentList>
    <comment ref="R1" authorId="0" shapeId="0" xr:uid="{805E94DB-6710-456D-A1AE-FAB85C97BB03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A2" authorId="0" shapeId="0" xr:uid="{D8B11298-18E7-41E7-AA11-A61137DE503C}">
      <text>
        <r>
          <rPr>
            <b/>
            <sz val="9"/>
            <color indexed="81"/>
            <rFont val="Tahoma"/>
            <family val="2"/>
          </rPr>
          <t>NUMÉRO DE PIÈCE</t>
        </r>
      </text>
    </comment>
    <comment ref="B2" authorId="0" shapeId="0" xr:uid="{8F80C2B1-4C5D-4223-BC45-BB2DCDD3DC17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3C806478-C3A8-48E9-978A-B6C76775D195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F75E15E7-DD9B-4569-9A4A-CD8AECE404BB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N2" authorId="0" shapeId="0" xr:uid="{15B6756D-D285-4DA5-B737-7F62C69CD463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O2" authorId="0" shapeId="0" xr:uid="{29CCD317-5F75-4E8B-A902-219BBD682920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P2" authorId="0" shapeId="0" xr:uid="{B2C1967A-B099-4EC2-A2BB-FDA509890A17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Q2" authorId="0" shapeId="0" xr:uid="{ECA1E40E-2890-43BB-9FF1-22E39179DEC7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R2" authorId="0" shapeId="0" xr:uid="{0069C2A1-CEF6-4A20-9923-91EDA8966008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S2" authorId="0" shapeId="0" xr:uid="{BF410193-CBD4-4899-8ECC-79BE500E3513}">
      <text>
        <r>
          <rPr>
            <b/>
            <sz val="9"/>
            <color indexed="81"/>
            <rFont val="Tahoma"/>
            <family val="2"/>
          </rPr>
          <t>PRIX INSTALLÉ</t>
        </r>
      </text>
    </comment>
    <comment ref="A100" authorId="1" shapeId="0" xr:uid="{A7E3DBB2-49DC-4391-B8F8-60D77132A4B6}">
      <text>
        <r>
          <rPr>
            <b/>
            <sz val="9"/>
            <color indexed="81"/>
            <rFont val="Tahoma"/>
            <family val="2"/>
          </rPr>
          <t>Thamur Machado:</t>
        </r>
        <r>
          <rPr>
            <sz val="9"/>
            <color indexed="81"/>
            <rFont val="Tahoma"/>
            <family val="2"/>
          </rPr>
          <t xml:space="preserve">
Will not be replenished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  <author>Thamur Machado</author>
  </authors>
  <commentList>
    <comment ref="P1" authorId="0" shapeId="0" xr:uid="{0E466B37-6CC9-4976-8519-501E7D8C51FF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A2" authorId="0" shapeId="0" xr:uid="{BF34DD3A-DAB0-4DF9-B16B-DE30AA2AB78D}">
      <text>
        <r>
          <rPr>
            <b/>
            <sz val="9"/>
            <color indexed="81"/>
            <rFont val="Tahoma"/>
            <family val="2"/>
          </rPr>
          <t>NUMÉRO DE PIÈCE</t>
        </r>
      </text>
    </comment>
    <comment ref="B2" authorId="0" shapeId="0" xr:uid="{A19939D1-A9E3-495F-BB53-411C7F4FCB8F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1206FE07-71C0-43D0-A978-A5B95156159D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9ECD2100-D00E-409C-B10E-EFA3EF4F4FDA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L2" authorId="0" shapeId="0" xr:uid="{057ADC6C-80E9-4BA1-A936-C9B594E2F2D2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M2" authorId="0" shapeId="0" xr:uid="{06DBD8E8-A4CC-4F28-8721-6AD1F019C169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N2" authorId="0" shapeId="0" xr:uid="{B7BA503B-32A6-475B-8C0A-9269B567DDCA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O2" authorId="0" shapeId="0" xr:uid="{77BA9DDD-4F3E-4F5C-B420-A3C818C35BB1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P2" authorId="0" shapeId="0" xr:uid="{2650F4AC-2B21-44D7-ACDB-B6F922F51AFE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Q2" authorId="0" shapeId="0" xr:uid="{6F6EC7F6-6012-4EAA-A6EA-6FF7924FABC2}">
      <text>
        <r>
          <rPr>
            <b/>
            <sz val="9"/>
            <color indexed="81"/>
            <rFont val="Tahoma"/>
            <family val="2"/>
          </rPr>
          <t>PRIX INSTALLÉ</t>
        </r>
      </text>
    </comment>
    <comment ref="A89" authorId="1" shapeId="0" xr:uid="{A46558BB-98A9-4E32-920D-594EB1307AD5}">
      <text>
        <r>
          <rPr>
            <b/>
            <sz val="9"/>
            <color indexed="81"/>
            <rFont val="Tahoma"/>
            <family val="2"/>
          </rPr>
          <t>Thamur Machado:</t>
        </r>
        <r>
          <rPr>
            <sz val="9"/>
            <color indexed="81"/>
            <rFont val="Tahoma"/>
            <family val="2"/>
          </rPr>
          <t xml:space="preserve">
Part being replaced by MZ577040EX, not yet on R4, pricing to be checked. </t>
        </r>
      </text>
    </comment>
    <comment ref="A94" authorId="1" shapeId="0" xr:uid="{41BB3D7B-2D7A-4CFA-9B23-6F26DC8DBB8F}">
      <text>
        <r>
          <rPr>
            <b/>
            <sz val="9"/>
            <color indexed="81"/>
            <rFont val="Tahoma"/>
            <family val="2"/>
          </rPr>
          <t>Thamur Machado:</t>
        </r>
        <r>
          <rPr>
            <sz val="9"/>
            <color indexed="81"/>
            <rFont val="Tahoma"/>
            <family val="2"/>
          </rPr>
          <t xml:space="preserve">
Will not be replenished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</authors>
  <commentList>
    <comment ref="R1" authorId="0" shapeId="0" xr:uid="{199DB1F8-4DB2-442F-8ED7-D24D3B1A5612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A2" authorId="0" shapeId="0" xr:uid="{9E3DFA0D-69BE-4880-9A1E-CED5DCA981F1}">
      <text>
        <r>
          <rPr>
            <b/>
            <sz val="9"/>
            <color indexed="81"/>
            <rFont val="Tahoma"/>
            <family val="2"/>
          </rPr>
          <t>NUMÉRO DE PIÈCE</t>
        </r>
      </text>
    </comment>
    <comment ref="B2" authorId="0" shapeId="0" xr:uid="{41512099-12D8-45C8-9071-689BF7EA9009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A5CB229E-AF14-480E-B1EA-8CBF9044D7A9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4F741DCF-4998-4AD1-8E1B-2F0046118525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N2" authorId="0" shapeId="0" xr:uid="{7F21E5D6-98B5-4362-9090-05F1E159AEAA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O2" authorId="0" shapeId="0" xr:uid="{F1521FB1-E1F9-4F7D-947A-ADC2796E5DD3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P2" authorId="0" shapeId="0" xr:uid="{D4D58828-9F02-4A1A-AC30-4A84809EFB92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Q2" authorId="0" shapeId="0" xr:uid="{DEF2C966-6BD2-4453-A749-142D78757AD4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R2" authorId="0" shapeId="0" xr:uid="{2873FB99-5D04-4486-ACAD-51B5840711EB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S2" authorId="0" shapeId="0" xr:uid="{AA8F51E9-B61C-47F3-A0CA-2BD5224B8043}">
      <text>
        <r>
          <rPr>
            <b/>
            <sz val="9"/>
            <color indexed="81"/>
            <rFont val="Tahoma"/>
            <family val="2"/>
          </rPr>
          <t>PRIX INSTALLÉ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  <author>Thamur Machado</author>
  </authors>
  <commentList>
    <comment ref="R1" authorId="0" shapeId="0" xr:uid="{1FFCD417-49F6-4DC8-BD06-8F099F0813AC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A2" authorId="0" shapeId="0" xr:uid="{DDE55679-1E08-4285-877B-05EB570BDBD1}">
      <text>
        <r>
          <rPr>
            <b/>
            <sz val="9"/>
            <color indexed="81"/>
            <rFont val="Tahoma"/>
            <family val="2"/>
          </rPr>
          <t>NUMÉRO DE PIÈCE</t>
        </r>
      </text>
    </comment>
    <comment ref="B2" authorId="0" shapeId="0" xr:uid="{221C8463-8CE9-4033-B9B8-3F85162E8E29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3D2C46A9-D308-4876-BFCE-107F6143EDBE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671778AB-5EA7-46CD-988A-1A5A0966E7EC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N2" authorId="0" shapeId="0" xr:uid="{B116475F-6E46-4DA0-BE0B-88B19D147B0A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O2" authorId="0" shapeId="0" xr:uid="{CC70A745-BB11-4FC9-80BB-CDBC4753179E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P2" authorId="0" shapeId="0" xr:uid="{37BA47C9-7EE7-4E68-A8AB-7EDE35C65FFD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Q2" authorId="0" shapeId="0" xr:uid="{9C9AF46A-D444-4900-8889-417DB409C984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R2" authorId="0" shapeId="0" xr:uid="{83F74CEF-635C-4AD5-9639-E40F2DEA3D9D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S2" authorId="0" shapeId="0" xr:uid="{EF43C6ED-7714-44E2-B869-731CE67DBB3D}">
      <text>
        <r>
          <rPr>
            <b/>
            <sz val="9"/>
            <color indexed="81"/>
            <rFont val="Tahoma"/>
            <family val="2"/>
          </rPr>
          <t>PRIX INSTALLÉ</t>
        </r>
      </text>
    </comment>
    <comment ref="A101" authorId="1" shapeId="0" xr:uid="{194B0A4D-5C4D-480B-87DD-A2803FB5C56C}">
      <text>
        <r>
          <rPr>
            <b/>
            <sz val="9"/>
            <color indexed="81"/>
            <rFont val="Tahoma"/>
            <family val="2"/>
          </rPr>
          <t>Thamur Machado:</t>
        </r>
        <r>
          <rPr>
            <sz val="9"/>
            <color indexed="81"/>
            <rFont val="Tahoma"/>
            <family val="2"/>
          </rPr>
          <t xml:space="preserve">
Will not be replenished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  <author>Thamur Machado</author>
  </authors>
  <commentList>
    <comment ref="S1" authorId="0" shapeId="0" xr:uid="{270AC387-A6AE-4D50-9075-20A358A93710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A2" authorId="0" shapeId="0" xr:uid="{4153C938-E8FA-4643-8276-8F34ABBDD8C5}">
      <text>
        <r>
          <rPr>
            <b/>
            <sz val="9"/>
            <color indexed="81"/>
            <rFont val="Tahoma"/>
            <family val="2"/>
          </rPr>
          <t>NUMÉRO DE PIÈCE</t>
        </r>
      </text>
    </comment>
    <comment ref="B2" authorId="0" shapeId="0" xr:uid="{A7AD8E0A-FC17-43F4-8833-8FCB3B8BFBFC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B8DA5212-0D99-451D-836B-5F6EE897904F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C5B2E942-2C46-489F-9EE6-5D2B1994E62F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O2" authorId="0" shapeId="0" xr:uid="{610F54F4-4A9E-4646-BE70-DED93B9EAF99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P2" authorId="0" shapeId="0" xr:uid="{7E5E0BFC-B908-415E-BE26-1279E9E1013A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Q2" authorId="0" shapeId="0" xr:uid="{5EC020D9-4AD7-406E-9455-7772A8E134BB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R2" authorId="0" shapeId="0" xr:uid="{CD9FA6EA-DC4E-4230-A7F7-913E6AED8F1A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S2" authorId="0" shapeId="0" xr:uid="{ADF4CA68-E4DB-4F34-8F01-D8577BD58505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T2" authorId="0" shapeId="0" xr:uid="{9C71040C-4808-4E63-9F14-CEEDEC4D4373}">
      <text>
        <r>
          <rPr>
            <b/>
            <sz val="9"/>
            <color indexed="81"/>
            <rFont val="Tahoma"/>
            <family val="2"/>
          </rPr>
          <t>PRIX INSTALLÉ</t>
        </r>
      </text>
    </comment>
    <comment ref="A105" authorId="1" shapeId="0" xr:uid="{9B064943-655E-441F-8F96-298DC1F824F6}">
      <text>
        <r>
          <rPr>
            <b/>
            <sz val="9"/>
            <color indexed="81"/>
            <rFont val="Tahoma"/>
            <family val="2"/>
          </rPr>
          <t>Thamur Machado:</t>
        </r>
        <r>
          <rPr>
            <sz val="9"/>
            <color indexed="81"/>
            <rFont val="Tahoma"/>
            <family val="2"/>
          </rPr>
          <t xml:space="preserve">
Will not be replenished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  <author>Thamur Machado</author>
  </authors>
  <commentList>
    <comment ref="Q1" authorId="0" shapeId="0" xr:uid="{8D428999-E4EE-433A-AD08-BFC98AD1FB2A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A2" authorId="0" shapeId="0" xr:uid="{B54307CA-AD70-44CB-ACE0-9A5160C5077D}">
      <text>
        <r>
          <rPr>
            <b/>
            <sz val="9"/>
            <color indexed="81"/>
            <rFont val="Tahoma"/>
            <family val="2"/>
          </rPr>
          <t>NUMÉRO DE PIÈCE</t>
        </r>
      </text>
    </comment>
    <comment ref="B2" authorId="0" shapeId="0" xr:uid="{6703992F-755A-4A3D-9065-E3B13FDFA814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55EF897F-23AA-4E6D-A41B-BFEEADB3398D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683E928F-26ED-4EAE-B371-F7A82863AF81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M2" authorId="0" shapeId="0" xr:uid="{F4FB0C7E-615A-48A2-9274-7E694C773227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N2" authorId="0" shapeId="0" xr:uid="{6194047E-BABD-4D09-B459-24CE323AF273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O2" authorId="0" shapeId="0" xr:uid="{B819316F-03CC-4D4D-9C59-E03FBCFFE1F9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P2" authorId="0" shapeId="0" xr:uid="{02F6243C-F5D4-43DD-8EF0-83A3C9137468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Q2" authorId="0" shapeId="0" xr:uid="{D287C099-483D-498B-812B-EE33BA1C1DE4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R2" authorId="0" shapeId="0" xr:uid="{0740C0BB-E897-423A-961C-F38F93F33597}">
      <text>
        <r>
          <rPr>
            <b/>
            <sz val="9"/>
            <color indexed="81"/>
            <rFont val="Tahoma"/>
            <family val="2"/>
          </rPr>
          <t>PRIX INSTALLÉ</t>
        </r>
      </text>
    </comment>
    <comment ref="A93" authorId="1" shapeId="0" xr:uid="{4C94CEA7-D22D-4141-9C20-468E384AFA09}">
      <text>
        <r>
          <rPr>
            <b/>
            <sz val="9"/>
            <color indexed="81"/>
            <rFont val="Tahoma"/>
            <family val="2"/>
          </rPr>
          <t>Thamur Machado:</t>
        </r>
        <r>
          <rPr>
            <sz val="9"/>
            <color indexed="81"/>
            <rFont val="Tahoma"/>
            <family val="2"/>
          </rPr>
          <t xml:space="preserve">
Will not be replenished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  <author>Thamur Machado</author>
  </authors>
  <commentList>
    <comment ref="R1" authorId="0" shapeId="0" xr:uid="{B7DEFEE2-8609-4F17-BA69-046AC36984BF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A2" authorId="0" shapeId="0" xr:uid="{F48C16EC-16AA-4790-BC39-09F6ED45F2A1}">
      <text>
        <r>
          <rPr>
            <b/>
            <sz val="9"/>
            <color indexed="81"/>
            <rFont val="Tahoma"/>
            <family val="2"/>
          </rPr>
          <t>NUMÉRO DE PIÈCE</t>
        </r>
      </text>
    </comment>
    <comment ref="B2" authorId="0" shapeId="0" xr:uid="{BD28D8E5-D7AD-4104-890D-0D43FE269A23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F9126262-943D-4742-A11A-0D003BE71E81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FD9D3296-8D76-4893-AA8A-9BBEF2174E9B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N2" authorId="0" shapeId="0" xr:uid="{652B1090-69EA-45F8-BD80-43E518BA7ECA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O2" authorId="0" shapeId="0" xr:uid="{2BD7DA5C-D1D4-4470-905E-19B5EF665945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P2" authorId="0" shapeId="0" xr:uid="{8F8A970E-BCA2-4B3A-A03B-C003101AEAD5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Q2" authorId="0" shapeId="0" xr:uid="{AA0D1543-741A-42D3-A8B3-696C2A3DBEB2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R2" authorId="0" shapeId="0" xr:uid="{ED7D286C-80D6-4FCC-B85D-BB17EAEEE18B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S2" authorId="0" shapeId="0" xr:uid="{42A40F3C-9FDD-46A2-9B8B-492448C8C202}">
      <text>
        <r>
          <rPr>
            <b/>
            <sz val="9"/>
            <color indexed="81"/>
            <rFont val="Tahoma"/>
            <family val="2"/>
          </rPr>
          <t>PRIX INSTALLÉ</t>
        </r>
      </text>
    </comment>
    <comment ref="A80" authorId="1" shapeId="0" xr:uid="{34E93AB7-798A-45B9-A494-611F32C2DA9C}">
      <text>
        <r>
          <rPr>
            <b/>
            <sz val="9"/>
            <color indexed="81"/>
            <rFont val="Tahoma"/>
            <family val="2"/>
          </rPr>
          <t>Thamur Machado:</t>
        </r>
        <r>
          <rPr>
            <sz val="9"/>
            <color indexed="81"/>
            <rFont val="Tahoma"/>
            <family val="2"/>
          </rPr>
          <t xml:space="preserve">
Will not be replenished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  <author>Thamur Machado</author>
  </authors>
  <commentList>
    <comment ref="Q1" authorId="0" shapeId="0" xr:uid="{34B8EC2B-598A-456A-96F3-9047728CB0AB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A2" authorId="0" shapeId="0" xr:uid="{ACB986EF-4F6B-4B83-9293-885DC16A1F3A}">
      <text>
        <r>
          <rPr>
            <b/>
            <sz val="9"/>
            <color indexed="81"/>
            <rFont val="Tahoma"/>
            <family val="2"/>
          </rPr>
          <t>NUMÉRO DE PIÈCE</t>
        </r>
      </text>
    </comment>
    <comment ref="B2" authorId="0" shapeId="0" xr:uid="{99DD3799-E39E-4128-900F-E0205BF365C7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EE0200C7-9FF8-4BAC-90C9-2DA0A59F268A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97DFFE46-A72B-4A63-9774-EC201795ED27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M2" authorId="0" shapeId="0" xr:uid="{83456224-CC9A-4DF8-BDEA-1F64A59B079F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N2" authorId="0" shapeId="0" xr:uid="{F45E871A-63E0-4989-9248-41AFF3FA5FF3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O2" authorId="0" shapeId="0" xr:uid="{8696C0ED-83EC-42C7-8669-46748A0F7ABA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P2" authorId="0" shapeId="0" xr:uid="{D453A349-D15D-40E1-AC76-C38ED28B975F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Q2" authorId="0" shapeId="0" xr:uid="{D1970531-C5BD-46C8-A73B-F3C0996A5305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R2" authorId="0" shapeId="0" xr:uid="{737F19BF-C492-412E-949A-2CFFD2E18DE5}">
      <text>
        <r>
          <rPr>
            <b/>
            <sz val="9"/>
            <color indexed="81"/>
            <rFont val="Tahoma"/>
            <family val="2"/>
          </rPr>
          <t>PRIX INSTALLÉ</t>
        </r>
      </text>
    </comment>
    <comment ref="A107" authorId="1" shapeId="0" xr:uid="{21FCF526-1E28-459C-A41A-7D88EE5614B0}">
      <text>
        <r>
          <rPr>
            <b/>
            <sz val="9"/>
            <color indexed="81"/>
            <rFont val="Tahoma"/>
            <family val="2"/>
          </rPr>
          <t>Thamur Machado:</t>
        </r>
        <r>
          <rPr>
            <sz val="9"/>
            <color indexed="81"/>
            <rFont val="Tahoma"/>
            <family val="2"/>
          </rPr>
          <t xml:space="preserve">
Will not be replenished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</authors>
  <commentList>
    <comment ref="O1" authorId="0" shapeId="0" xr:uid="{212C5BD7-2E23-4030-9660-25CD1A59B38B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A2" authorId="0" shapeId="0" xr:uid="{A27F5EB4-2B65-4C40-BE4B-E320EF521369}">
      <text>
        <r>
          <rPr>
            <b/>
            <sz val="9"/>
            <color indexed="81"/>
            <rFont val="Tahoma"/>
            <family val="2"/>
          </rPr>
          <t>NUMÉRO DE PIÈCE</t>
        </r>
      </text>
    </comment>
    <comment ref="B2" authorId="0" shapeId="0" xr:uid="{B8DAE994-550D-4FF6-A217-828F598E56B5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AF87263D-1026-4E35-95AF-DDE13868C0D8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F04AFD8A-3330-4FB1-9249-29D0F49A7509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K2" authorId="0" shapeId="0" xr:uid="{1DFCA0DE-D546-4694-B899-F5542323F3E4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L2" authorId="0" shapeId="0" xr:uid="{21B8B2E2-8CBB-4CEB-BD8C-D2A6468A2D42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M2" authorId="0" shapeId="0" xr:uid="{38A3813B-7212-42A3-8B51-0AB2B55BEADB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N2" authorId="0" shapeId="0" xr:uid="{A5CABF60-8A11-420E-A623-622C2893362B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O2" authorId="0" shapeId="0" xr:uid="{89953604-782E-41D0-8653-D26A6DD4EBE5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P2" authorId="0" shapeId="0" xr:uid="{1E2BCA9E-7D2A-4088-94F5-B630C8A7CC8D}">
      <text>
        <r>
          <rPr>
            <b/>
            <sz val="9"/>
            <color indexed="81"/>
            <rFont val="Tahoma"/>
            <family val="2"/>
          </rPr>
          <t>PRIX INSTALLÉ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Carvelli</author>
  </authors>
  <commentList>
    <comment ref="Q1" authorId="0" shapeId="0" xr:uid="{00000000-0006-0000-0300-000001000000}">
      <text>
        <r>
          <rPr>
            <sz val="9"/>
            <color indexed="81"/>
            <rFont val="Tahoma"/>
            <family val="2"/>
          </rPr>
          <t>Cellule en vert indique un changement à comparer au guide d'accessoires précédent</t>
        </r>
      </text>
    </comment>
    <comment ref="A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NUMÉRO DE PIÈCE</t>
        </r>
      </text>
    </comment>
    <comment ref="B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ANGLAIS DESCRIPTION</t>
        </r>
      </text>
    </comment>
    <comment ref="C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DESCRIPTION FRANÇAISE</t>
        </r>
      </text>
    </comment>
    <comment ref="D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COMPLÉMENT</t>
        </r>
      </text>
    </comment>
    <comment ref="L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CATÉGORIE</t>
        </r>
      </text>
    </comment>
    <comment ref="N2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PRIX NET AU CONCESSIONNAIRE</t>
        </r>
      </text>
    </comment>
    <comment ref="O2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PDSF</t>
        </r>
      </text>
    </comment>
    <comment ref="P2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TEMPS D'INSTALLATION</t>
        </r>
      </text>
    </comment>
    <comment ref="Q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MAINS D'OEUVRE</t>
        </r>
      </text>
    </comment>
    <comment ref="R2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PRIX INSTALLÉ</t>
        </r>
      </text>
    </comment>
  </commentList>
</comments>
</file>

<file path=xl/sharedStrings.xml><?xml version="1.0" encoding="utf-8"?>
<sst xmlns="http://schemas.openxmlformats.org/spreadsheetml/2006/main" count="18267" uniqueCount="2290">
  <si>
    <t>INTERIOR</t>
  </si>
  <si>
    <t>MZ360298EX</t>
  </si>
  <si>
    <t>MZ527593EX</t>
  </si>
  <si>
    <t>MZ313375</t>
  </si>
  <si>
    <t>GENERAL</t>
  </si>
  <si>
    <t>MZ314363</t>
  </si>
  <si>
    <t>MZ314494</t>
  </si>
  <si>
    <t>MZ313374</t>
  </si>
  <si>
    <t>PEARL WHITE W13</t>
  </si>
  <si>
    <t>MZ312853</t>
  </si>
  <si>
    <t>EXTERIOR</t>
  </si>
  <si>
    <t>MZ576227EX</t>
  </si>
  <si>
    <t>MZ576228EX</t>
  </si>
  <si>
    <t>MZ569195EX</t>
  </si>
  <si>
    <t>PROTECTEUR DU REBORD DU HAYON</t>
  </si>
  <si>
    <t>MZ607475EX</t>
  </si>
  <si>
    <t>CARGO</t>
  </si>
  <si>
    <t>WTECH8CTK2</t>
  </si>
  <si>
    <t>MZ525507EX</t>
  </si>
  <si>
    <t>MZ360369EX</t>
  </si>
  <si>
    <t>MZ360372EX</t>
  </si>
  <si>
    <t>MZ314528</t>
  </si>
  <si>
    <t>MZ314099</t>
  </si>
  <si>
    <t>BLUE LED</t>
  </si>
  <si>
    <t>ASH CUP</t>
  </si>
  <si>
    <t>CARGO MAT</t>
  </si>
  <si>
    <t>SCUFF PLATES</t>
  </si>
  <si>
    <t>ENGINE BLOCK HEATER</t>
  </si>
  <si>
    <t>TAILGATE PROTECTOR</t>
  </si>
  <si>
    <t>HOOD PROTECTOR</t>
  </si>
  <si>
    <t>REAR BUMPER PROTECTION PLATE</t>
  </si>
  <si>
    <t>SIDE WINDOW DEFLECTORS</t>
  </si>
  <si>
    <t>CIGAR LIGHTER</t>
  </si>
  <si>
    <t>MZ360456EX</t>
  </si>
  <si>
    <t>MZ314775</t>
  </si>
  <si>
    <t>MZ314776</t>
  </si>
  <si>
    <t>MZ330446</t>
  </si>
  <si>
    <t>MZ330443</t>
  </si>
  <si>
    <t>MZ330441</t>
  </si>
  <si>
    <t>MZ314817</t>
  </si>
  <si>
    <t>MZ314788</t>
  </si>
  <si>
    <t>MZ314790</t>
  </si>
  <si>
    <t>MZ314791</t>
  </si>
  <si>
    <t>MZ330464</t>
  </si>
  <si>
    <t>MZ330438</t>
  </si>
  <si>
    <t>MZ330477</t>
  </si>
  <si>
    <t>MZ330480</t>
  </si>
  <si>
    <t>MZ330476</t>
  </si>
  <si>
    <t>MZ330475</t>
  </si>
  <si>
    <t>MZ314796</t>
  </si>
  <si>
    <t>MZ562854EX</t>
  </si>
  <si>
    <t>MZ330461</t>
  </si>
  <si>
    <t>MZ312852</t>
  </si>
  <si>
    <t>MZ590838EX</t>
  </si>
  <si>
    <t>CENTER CONSOLE ILLUMINATION</t>
  </si>
  <si>
    <t>MZ360401EX</t>
  </si>
  <si>
    <t>CHROME</t>
  </si>
  <si>
    <t>FOR MIRAGE ONLY</t>
  </si>
  <si>
    <t>BLACK</t>
  </si>
  <si>
    <t>ELECTRONICS</t>
  </si>
  <si>
    <t>MZ314488</t>
  </si>
  <si>
    <t>CARGO MAT, REVERSIBLE</t>
  </si>
  <si>
    <t>MZ314491</t>
  </si>
  <si>
    <t>MZ314475</t>
  </si>
  <si>
    <t>MZ360350EX</t>
  </si>
  <si>
    <t>MZ527473EX</t>
  </si>
  <si>
    <t>MZ521857EX</t>
  </si>
  <si>
    <t>TONNEAU COVER</t>
  </si>
  <si>
    <t>MZ314642</t>
  </si>
  <si>
    <t>ALLOY FUEL DOOR</t>
  </si>
  <si>
    <t>MZ562868EX</t>
  </si>
  <si>
    <t>MZ574604EX</t>
  </si>
  <si>
    <t>MZ574642EX</t>
  </si>
  <si>
    <t>MZ574690EX</t>
  </si>
  <si>
    <t>MZ574646EX</t>
  </si>
  <si>
    <t>MZ360353EX</t>
  </si>
  <si>
    <t>MZ590803EX</t>
  </si>
  <si>
    <t>THCA3093</t>
  </si>
  <si>
    <t>THCARVR1</t>
  </si>
  <si>
    <t>THCARVR2</t>
  </si>
  <si>
    <t>WTECH40499</t>
  </si>
  <si>
    <t>4 PIECES</t>
  </si>
  <si>
    <t>REQ FOOT KIT &amp; CROSSBARS, FOR VEH WITH FIXED POINTS</t>
  </si>
  <si>
    <t>FOR VEH WITH ROOF RAILS</t>
  </si>
  <si>
    <t>FOR VEH WITH FIXED POINTS</t>
  </si>
  <si>
    <t>CENDRIER</t>
  </si>
  <si>
    <t>POMMEAU DU LEVIER DE VITESSES</t>
  </si>
  <si>
    <t>VERROUS DE ROUES, POUR ROUES EN ALLIAGE</t>
  </si>
  <si>
    <t>PROTECTEUR DE CAPOT</t>
  </si>
  <si>
    <t>ALLUME-CIGARE</t>
  </si>
  <si>
    <t>KIT D'ÉCLAIRAGE DE SOL</t>
  </si>
  <si>
    <t>DÉMARREUR À DISTANCE</t>
  </si>
  <si>
    <t>FAISCEAU ÉLECTRIQUE POUR ATTACHE-REMORQUE</t>
  </si>
  <si>
    <t>TAPIS D'ESPACE DE CHARGEMENT</t>
  </si>
  <si>
    <t>FILET À BAGGAGE</t>
  </si>
  <si>
    <t>TAPIS DE SOL</t>
  </si>
  <si>
    <t>GARNITURE DE TABLEAU DE BORD</t>
  </si>
  <si>
    <t>AUTOCOLLANT DE PILIER 'B'</t>
  </si>
  <si>
    <t>EMBOUT DE POT D'ÉCHAPPEMENT</t>
  </si>
  <si>
    <t>DÉFLECTEURS POUR GLACES LATÉRALES</t>
  </si>
  <si>
    <t>GARNITURE DE HAYON</t>
  </si>
  <si>
    <t>TAPIS D'ESPACE DE CHARGEMENT, RÉVERSIBLE</t>
  </si>
  <si>
    <t>FILET À BAGAGES, STYLE ENVELOPPE</t>
  </si>
  <si>
    <t>FILET À BAGAGES, STYLE DE SOL</t>
  </si>
  <si>
    <t>CACHE-BAGAGES (ESPACE DE CHARGEMENT)</t>
  </si>
  <si>
    <t>CHAUFFE-BLOC</t>
  </si>
  <si>
    <t>VOLET DU RÉSERVOIR D'ESSENCE EN ALLIAGE</t>
  </si>
  <si>
    <t>POIGNÉES DE PORTIÈRES CHROMÉES</t>
  </si>
  <si>
    <t>AMPOULE, LAMPE DE LECTURE</t>
  </si>
  <si>
    <t>LAMPE DE HAYON ARRIÈRE</t>
  </si>
  <si>
    <t>VERROUS DE PORTE-BAGAGES</t>
  </si>
  <si>
    <t>MZ360361EX</t>
  </si>
  <si>
    <t>MZ360457EX</t>
    <phoneticPr fontId="3"/>
  </si>
  <si>
    <t>MZ330444</t>
  </si>
  <si>
    <t>MZ380698EX</t>
  </si>
  <si>
    <t>MZ314531</t>
  </si>
  <si>
    <t>MZ314929</t>
  </si>
  <si>
    <t>EXHAUST EXTENSION</t>
  </si>
  <si>
    <t>CARGO LINER</t>
  </si>
  <si>
    <t>THCA0526</t>
  </si>
  <si>
    <t>THCA0810</t>
  </si>
  <si>
    <t>THCA0982</t>
  </si>
  <si>
    <t>TRAILER HITCH</t>
  </si>
  <si>
    <t>MZ574640EX</t>
  </si>
  <si>
    <t>MZ314928</t>
  </si>
  <si>
    <t>PORTE-VÉLO MONTAGE FIXE</t>
  </si>
  <si>
    <t>ADAPTEUR DE BICYCLE</t>
  </si>
  <si>
    <t xml:space="preserve">PLATEAU DE COFFRE </t>
  </si>
  <si>
    <t/>
  </si>
  <si>
    <t>PORTE-BAGAGES DE TOIT, VERROUS</t>
  </si>
  <si>
    <t>SHIFT KNOB, ALUMINUM &amp; LEATHER</t>
  </si>
  <si>
    <t>BODY SIDE MOLDINGS, PEARL WHITE W13</t>
  </si>
  <si>
    <t xml:space="preserve">DOOR HANDLE COVERS, CHROME (W/O FAST KEY) </t>
  </si>
  <si>
    <t>LED MAP LAMP BULB (WHITE ) SINGLE PACK</t>
  </si>
  <si>
    <t>STARLIGHT SILVER (A66)</t>
  </si>
  <si>
    <t>INFRARED (P19)</t>
  </si>
  <si>
    <t>SAPPHIRE BLUE (T69)</t>
  </si>
  <si>
    <t>FOR VEHICLES WITHOUT FAST KEY</t>
  </si>
  <si>
    <t xml:space="preserve">DOOR HANDLE COVERS, CHROME (WITH FAST KEY) </t>
  </si>
  <si>
    <t>MZ331118</t>
  </si>
  <si>
    <t>Part Number</t>
  </si>
  <si>
    <t>English Description</t>
  </si>
  <si>
    <t>French Description</t>
  </si>
  <si>
    <t>Remarks</t>
  </si>
  <si>
    <t>Category</t>
  </si>
  <si>
    <t>DNP $</t>
  </si>
  <si>
    <t>MSRP $</t>
  </si>
  <si>
    <t>Install Time</t>
  </si>
  <si>
    <t>Labour Rate</t>
  </si>
  <si>
    <t>Installed Price</t>
  </si>
  <si>
    <t>FLOOR MATS - FABRIC</t>
  </si>
  <si>
    <t>MZ576663EX</t>
  </si>
  <si>
    <t>MZ576664EX</t>
  </si>
  <si>
    <t>MZ315023</t>
  </si>
  <si>
    <t>MZ314979</t>
  </si>
  <si>
    <t>MZ538346EX</t>
  </si>
  <si>
    <t>MZ576689EX</t>
  </si>
  <si>
    <t>MZ576690EX</t>
  </si>
  <si>
    <t>MZ531447EX</t>
  </si>
  <si>
    <t>MZ531448EX</t>
  </si>
  <si>
    <t>MZ315000</t>
  </si>
  <si>
    <t>MZ315015</t>
  </si>
  <si>
    <t>MZ315019</t>
  </si>
  <si>
    <t>MZ590877EX</t>
  </si>
  <si>
    <t>MZ590878EX</t>
  </si>
  <si>
    <t>MZ590886EX</t>
  </si>
  <si>
    <t>WINE RED (P57)</t>
  </si>
  <si>
    <t>Enter Your Dealer Labour Rate:</t>
  </si>
  <si>
    <t>MZ360402EX</t>
  </si>
  <si>
    <t>MZ360513EX</t>
  </si>
  <si>
    <t>CHROME PLATED TAILGATE GARNISH</t>
  </si>
  <si>
    <t>METER HOOD GARNISH</t>
  </si>
  <si>
    <t>FOR CVT</t>
  </si>
  <si>
    <t>MZ314486</t>
  </si>
  <si>
    <t>MZ590887EX</t>
  </si>
  <si>
    <t>MMCACH001</t>
  </si>
  <si>
    <t>MMCAMH001</t>
  </si>
  <si>
    <t>MMCAPH001</t>
  </si>
  <si>
    <t>MZ315020</t>
  </si>
  <si>
    <t>MZ353033</t>
  </si>
  <si>
    <t>IMC</t>
  </si>
  <si>
    <t>MITSUBISHI MOTORS LOGO - RUBBER</t>
  </si>
  <si>
    <t>FOR VEHICLES WITH TURN LAMP</t>
  </si>
  <si>
    <t>FOR VEHICLES WITHOUT TURN LAMP</t>
  </si>
  <si>
    <t xml:space="preserve">WHITE  LED </t>
  </si>
  <si>
    <t xml:space="preserve">BLUE LED </t>
  </si>
  <si>
    <t>BODY SIDE MOULDINGS - BLACK</t>
  </si>
  <si>
    <t>CHROME MIRROR COVER - WITH TURN LAMP</t>
  </si>
  <si>
    <t>CHROME MIRROR COVER - WITHOUT TURN LAMP</t>
  </si>
  <si>
    <t>FLOOR MATS - CARPET</t>
  </si>
  <si>
    <t>FLOOR ILLUMINATION - BLUE LED</t>
  </si>
  <si>
    <t>FLOOR ILLUMINATION - WHITE LED</t>
  </si>
  <si>
    <t>REVÊTEMENT DE RÉTRO-VISEUR CHROMÉ - AVEC INDICATEUR</t>
  </si>
  <si>
    <t>REVÊTEMENT DE RÉTRO-VISEUR CHROMÉ - SANS INDICATEUR</t>
  </si>
  <si>
    <t>SIDE CHROME MOULDING</t>
  </si>
  <si>
    <t>MZ574725EX</t>
  </si>
  <si>
    <t>MZ315038</t>
  </si>
  <si>
    <t xml:space="preserve">B-PILLAR TRIM, CARBON FIBER LOOK </t>
  </si>
  <si>
    <t>LED ILLUMINATION KIT, FLOOR</t>
  </si>
  <si>
    <t>LED TAILGATE LIGHT (BLUE)</t>
  </si>
  <si>
    <t>SIDE MIRROR COVERS - CHROME</t>
  </si>
  <si>
    <t xml:space="preserve">SIDE WINDOW DEFLECTORS </t>
  </si>
  <si>
    <t>WHEEL LOCKS (N/A TO STEEL WHEELS)</t>
  </si>
  <si>
    <t>VOLET DU RÉSERVOIR D'ESSENCE EN ALLIAGE - KIT DE SERVICE</t>
  </si>
  <si>
    <t>FOE VEHICLES WITH FAST KEY</t>
  </si>
  <si>
    <t>OH+OH</t>
  </si>
  <si>
    <t>MZ315048</t>
  </si>
  <si>
    <t>DOOR HANDLE COVERS - CHROME</t>
  </si>
  <si>
    <t>KIT D'ÉCLAIRAGE DE SOL (BLEU)</t>
  </si>
  <si>
    <t>CAPTEUR D'ASSISTANCE AU STATIONNEMENT - NÉCESSAIRE D’INSTALLATION</t>
  </si>
  <si>
    <t>Photo</t>
  </si>
  <si>
    <t>THCA0692</t>
  </si>
  <si>
    <t>THCA0859</t>
  </si>
  <si>
    <t>Green cell indicates changes from previous Accy Guide</t>
  </si>
  <si>
    <t>WEATHERTECH CARGO LINER</t>
  </si>
  <si>
    <t>WEATHERTECH</t>
  </si>
  <si>
    <t>MZ315049</t>
  </si>
  <si>
    <t>HOOD EMBLEM - SILVER</t>
  </si>
  <si>
    <t>HOOD EMBLEM - BLACK</t>
  </si>
  <si>
    <t>SILVER</t>
  </si>
  <si>
    <t>MZ315118</t>
  </si>
  <si>
    <t>MZ315110</t>
  </si>
  <si>
    <t>MZ315114</t>
  </si>
  <si>
    <t>MZ315115</t>
  </si>
  <si>
    <t>MZ315116</t>
  </si>
  <si>
    <t>MZ315117</t>
  </si>
  <si>
    <t>MZ531463EX</t>
  </si>
  <si>
    <t>MZ574739EX</t>
  </si>
  <si>
    <t>MZ574740EX</t>
  </si>
  <si>
    <t>MZ574741EX</t>
  </si>
  <si>
    <t>MZ576764EX</t>
  </si>
  <si>
    <t>MZ576765EX</t>
  </si>
  <si>
    <t>MZ607759EX</t>
  </si>
  <si>
    <t>MZ607760EX</t>
  </si>
  <si>
    <t>MZ607761EX</t>
  </si>
  <si>
    <t>MZ607762EX</t>
  </si>
  <si>
    <t>MZ607763EX</t>
  </si>
  <si>
    <t>MZ607764EX</t>
  </si>
  <si>
    <t>MZ607765EX</t>
  </si>
  <si>
    <t>MZ607766EX</t>
  </si>
  <si>
    <t>2020 RVR</t>
  </si>
  <si>
    <t>MZ315111</t>
  </si>
  <si>
    <t>TAILGATE SPOILER, LARGE - OAK BROWN (C22)</t>
  </si>
  <si>
    <t>TAILGATE SPOILER, LARGE - LABRADOR BLACK X42</t>
  </si>
  <si>
    <t>TAILGATE SPOILER, LARGE - OCTANE BLUE D06</t>
  </si>
  <si>
    <t>TAILGATE SPOILER, LARGE - TITANIUM GRAY U17</t>
  </si>
  <si>
    <t>TAILGATE SPOILER, LARGE - RED DIAMOND P62</t>
  </si>
  <si>
    <t>TAILGATE SPOILER, LARGE - STERLING SILVER U25</t>
  </si>
  <si>
    <t>TAILGATE SPOILER, LARGE - PEARL WHITE W13</t>
  </si>
  <si>
    <t>PARK ASSIST SENSORS, PEARL WHITE W13</t>
  </si>
  <si>
    <t>PARK ASSIST SENSORS, STERLING SILVER U25</t>
  </si>
  <si>
    <t>PARK ASSIST SENSORS, LABRADOR BLACK X42</t>
  </si>
  <si>
    <t>PARK ASSIST SENSORS, TITANIUM GRAY U17</t>
  </si>
  <si>
    <t>PARK ASSIST SENSORS, OCTANE BLUE D06</t>
  </si>
  <si>
    <t>PARK ASSIST SENSORS, RED DIAMOND P62</t>
  </si>
  <si>
    <t>PARK ASSIST SENSORS, OAK BROWN C22</t>
  </si>
  <si>
    <t>PARK ASSIST SENSORS, SUNSHINE ORANGE M11</t>
  </si>
  <si>
    <t>BODY SIDE MOLDINGS, LABRADOR BLACK X42</t>
  </si>
  <si>
    <t>BODY SIDE MOLDINGS, STERLING SILVER U25</t>
  </si>
  <si>
    <t>BODY SIDE MOLDINGS, TITANIUM GRAY U17</t>
  </si>
  <si>
    <t>BODY SIDE MOLDINGS, RED DIAMOND P62</t>
  </si>
  <si>
    <t>BODY SIDE MOLDINGS, OCTANE BLUE D06</t>
  </si>
  <si>
    <t>WITH CHROME BEZEL</t>
  </si>
  <si>
    <t>ALLOY ONLY</t>
  </si>
  <si>
    <t>BODY SIDE MOLDINGS, OAK BROWN C22</t>
  </si>
  <si>
    <t>THCAECRB</t>
  </si>
  <si>
    <t>THCARVRB</t>
  </si>
  <si>
    <t>MZ576825EX</t>
  </si>
  <si>
    <t>CARBON GRILLE</t>
  </si>
  <si>
    <t>DIAMOND RED P62</t>
  </si>
  <si>
    <t>FOR VEH WITH ROOF RAILS - BLACK</t>
  </si>
  <si>
    <t>MZ315112</t>
  </si>
  <si>
    <t>BODY SIDE GRAPHICS</t>
  </si>
  <si>
    <t>GRAPHIQUES CARROSSERIE LATÉRAUX</t>
  </si>
  <si>
    <t>MZ314598</t>
  </si>
  <si>
    <t>CHROME LOWER DOOR MOULDING</t>
  </si>
  <si>
    <t>MZ553165EX</t>
  </si>
  <si>
    <t>ALLOY WHEEL DECAL KIT</t>
  </si>
  <si>
    <t>COLLANTS DE ROUES EN ALLIAGE</t>
  </si>
  <si>
    <t>REMOTE START HARNESS KIT + MODULE</t>
  </si>
  <si>
    <t>NON-GENUINE - REQUIRED FOR ALL REMOTE START ACCESSORIES</t>
  </si>
  <si>
    <t>REMOTE START 2-WAY ACCESSORY TRANSMITTERS</t>
  </si>
  <si>
    <t>NON-GENUINE - CONTAINS 2 TRANSMITTERS</t>
  </si>
  <si>
    <t>MMCARFK5000</t>
  </si>
  <si>
    <t>REMOTE START SMART CONTROL WITH LORA BLE</t>
  </si>
  <si>
    <t>NON-GENUINE - BLUETOOTH SMARTPHONE APP, NO SUBSCRIPTION</t>
  </si>
  <si>
    <t>MMCAVS4LU3</t>
  </si>
  <si>
    <t>REMOTE START MYCAR TELEMATICS HARDWARE</t>
  </si>
  <si>
    <t>NON-GENUINE - SMARTPHONE APP, LONG RANGE, 3 YR SUBSCRIPTION INCLUDED</t>
  </si>
  <si>
    <t>MODULE DE COMMANDE HC + FAISCEAU EN T AUTOCONFIGURABLE MI1</t>
  </si>
  <si>
    <t>2 TÉLÉCOMMANDES BIDIRECTIONNELLES À 5 BOUTONS</t>
  </si>
  <si>
    <t>COMMANDE INTELLIGENTE ET TECHNOLOGIE LORA BLE</t>
  </si>
  <si>
    <t>MODULE TÉLÉMATIQUE MYCAR AVEC 3 ANS DE SERVICE</t>
  </si>
  <si>
    <t>ENGINE HOOD EMBLEM - BLACK</t>
  </si>
  <si>
    <t>WTCHCF1CF15</t>
  </si>
  <si>
    <t>WEATHERTECH CUPFONE WITH EXTENSION</t>
  </si>
  <si>
    <t>LE CUPFONE AVEC RALLONGE - WEATHERTECH</t>
  </si>
  <si>
    <t>MOULURE DE BAS DE PORTE CHROME</t>
  </si>
  <si>
    <t>THCARVR2B</t>
  </si>
  <si>
    <t>MMCARTX3200</t>
  </si>
  <si>
    <t>REMOTE START TRANSMITTER FOR LORA BLE</t>
  </si>
  <si>
    <t>TÉLÉCOMMANDES POUR LORA BLE</t>
  </si>
  <si>
    <t>EXTRA TRANSMITTER FOR LORA BLE</t>
  </si>
  <si>
    <t>MMCAFA200D16H</t>
  </si>
  <si>
    <t>MMCAHWKTW01</t>
  </si>
  <si>
    <t>CAMÉRA DE TABLEAU DE BORD AVANT ET ARRIÈRE À DEUX CANAUX</t>
  </si>
  <si>
    <t>FAISCEAU DE CÂBLAGE OBD 2 PRÊT À L’EMPLOI</t>
  </si>
  <si>
    <t>MZ569716EX</t>
  </si>
  <si>
    <t>WITH TURN SIGNAL</t>
  </si>
  <si>
    <t>WITHOUT TURN SIGNAL</t>
  </si>
  <si>
    <t>STYLO DE RETOUCHE - GRIS TITANE U17</t>
  </si>
  <si>
    <t>STYLO DE RETOUCHE, NOIR TARMAC X42</t>
  </si>
  <si>
    <t>STYLO DE RETOUCHE, BLEU OCTANE D06</t>
  </si>
  <si>
    <t>STYLO DE RETOUCHE, BRONZE  METALLIQUE C21</t>
  </si>
  <si>
    <t>STYLO DE RETOUCHE, GRIS TITANE U17</t>
  </si>
  <si>
    <t>STYLO DE RETOUCHE, ARGENT  STERLING U25</t>
  </si>
  <si>
    <t>AILERON ARRIÈRE, BLEU OCTANE D06</t>
  </si>
  <si>
    <t>AILERON ARRIÈRE, ARGENT STERLING U25</t>
  </si>
  <si>
    <t>AILERON ARRIÈRE, NOIR TARMAC X42</t>
  </si>
  <si>
    <t>AILERON ARRIÈRE, GRIS TITANE U17</t>
  </si>
  <si>
    <t>COSMIC BLUE D14</t>
  </si>
  <si>
    <t>TARMAC BLACK X42</t>
  </si>
  <si>
    <t>AILERON ARRIÈRE, BLEU COSMIQUE D14</t>
  </si>
  <si>
    <t>STERLING SILVER U25</t>
  </si>
  <si>
    <t>CAPTEUR D'ASSISTANCE AU STATIONNEMENT, ARRIÈRE ARGENT STERLING U25</t>
  </si>
  <si>
    <t>CAPTEUR D'ASSISTANCE AU STATIONNEMENT, ARRIÈRE GRIS TITANE U17</t>
  </si>
  <si>
    <t>PLAQUES DE SEUIL, PORTIÈRES (JEU DU 4)</t>
  </si>
  <si>
    <t>GRILLE AU CARBONE</t>
  </si>
  <si>
    <t>MOULURES LATÉRALES BRUN METTALIQUE C22</t>
  </si>
  <si>
    <t>MOULURES LATÉRALES BLEU OCTANE D06</t>
  </si>
  <si>
    <t>MOULURES LATÉRALES GRIS TITANE U17</t>
  </si>
  <si>
    <t>MOULURES LATÉRALES ARGENT STERLING U25</t>
  </si>
  <si>
    <t>MOULURES LATÉRALES NOIR LABRADOR X42</t>
  </si>
  <si>
    <t>MOULURES LATÉRALES ORANGE M11</t>
  </si>
  <si>
    <t>PLAQUE DE PROTECTION STYLISÉE - AVANT AVEC BEZEL EN CHROME</t>
  </si>
  <si>
    <t>PLAQUE DE PROTECTION STYLISÉE - ARRIÈRE AVEC BEZEL EN CHROME</t>
  </si>
  <si>
    <t>PROTECTEUR ARRIÈRE PARE CHOCS</t>
  </si>
  <si>
    <t>COUVERCLES DE RÉTROVISEURS EXT. CHROMÉS AVEC CLIGNOTANT</t>
  </si>
  <si>
    <t>COUVERCLES DE RÉTROVISEURS EXT. CHROMÉS SANS CLIGNOTANT</t>
  </si>
  <si>
    <t>DÉFLECTEURS DE FENETRES</t>
  </si>
  <si>
    <t>AILERON ARRIÈRE NOIR LABRADOR X42</t>
  </si>
  <si>
    <t>AILERON ARRIÈRE BLEU OCTANE D06</t>
  </si>
  <si>
    <t>AILERON ARRIÈRE BRUN METALLIQUE    C22</t>
  </si>
  <si>
    <t>AILERON ARRIÈRE GRIS TITANE U17</t>
  </si>
  <si>
    <t>AILERON ARRIÈRE ARGENT STERLING U25</t>
  </si>
  <si>
    <t>AILERON ARRIÈRE BLANC NACRE W13</t>
  </si>
  <si>
    <t>STYLO DE RETOUCHE DE PEINTURE NOIR LABRADOR X42</t>
  </si>
  <si>
    <t>STYLO DE RETOUCHE DE PEINTURE BLEU OCTANE D06</t>
  </si>
  <si>
    <t>STYLO DE RETOUCHE DE PEINTURE BRUN METALLIQUE C22</t>
  </si>
  <si>
    <t>STYLO DE RETOUCHE DE PEINTURE GRIS TITANE U17</t>
  </si>
  <si>
    <t>STYLO DE RETOUCHE DE PEINTURE ARGENT STERLING U25</t>
  </si>
  <si>
    <t>STYLO DE RETOUCHE DE PEINTURE BLANC NACRE W13</t>
  </si>
  <si>
    <t>STYLO DE RETOUCHE DE PEINTURE ORANGE M11</t>
  </si>
  <si>
    <t>TAILGATE SPOILER, LARGE - ORANGE M11</t>
  </si>
  <si>
    <t>AILERON ARRIÈRE ORANGE M11</t>
  </si>
  <si>
    <t>CAPTEUR D'ASSISTANCE AU STATIONNEMENT, ARRIERE  ARGENT STERLING U25</t>
  </si>
  <si>
    <t>CAPTEUR D'ASSISTANCE AU STATIONNEMENT, ARRIERE NOIR LABRADOR X42</t>
  </si>
  <si>
    <t>CAPTEUR D'ASSISTANCE AU STATIONNEMENT, ARRIERE GRIS TITANE U17</t>
  </si>
  <si>
    <t>CAPTEUR D'ASSISTANCE AU STATIONNEMENT, ARRIERE  BLEU OCTANE D06</t>
  </si>
  <si>
    <t>CAPTEUR D'ASSISTANCE AU STATIONNEMENT, ARRIERE ORANGE  M11</t>
  </si>
  <si>
    <t>CAPTEUR D'ASSISTANCE AU STATIONNEMENT, ARRIERE BRUN METTALIQUE C22</t>
  </si>
  <si>
    <t>DÉMARREUR À DISTANCE -REPLACEMENT DU FOB SEULEMENT</t>
  </si>
  <si>
    <t>CARGOTECH SYSTEME DE CONFINEMENT</t>
  </si>
  <si>
    <t>PLATEAU DE COFFRE EN CAOUTCHOUC AVEC LOGO MITSUBISHI</t>
  </si>
  <si>
    <t>PLAQUES DE SEUIL AVEC LOGO MIRAGE</t>
  </si>
  <si>
    <t>CHAUFFE BLOC  POUR MIRAGE SEULEMENT</t>
  </si>
  <si>
    <t>STYLO DE RETOUCHE ARGENT LUMIERE D'ETOILE A66</t>
  </si>
  <si>
    <t>STYLO DE RETOUCHE INFRAROUGE P19</t>
  </si>
  <si>
    <t>STYLO DE RETOUCHE VIN ROUGE P57</t>
  </si>
  <si>
    <t>SIDE PROTECTION MOULDING, STARLIGHT SILVER A66</t>
  </si>
  <si>
    <t>MOULURES LATÉRALES, ARGENT LUMIERE D'ETOILE A66</t>
  </si>
  <si>
    <t>SIDE PROTECTION MOULDING, MYSTIC BLACK X08</t>
  </si>
  <si>
    <t>MOULURES LATÉRALES, NOIR MYSTIQUE X08</t>
  </si>
  <si>
    <t>SIDE PROTECTION MOULDING, INFRARED P19</t>
  </si>
  <si>
    <t>MOULURES LATÉRALES, INFRAROUGE P19</t>
  </si>
  <si>
    <t>SIDE PROTECTION MOULDING, WINE RED P57</t>
  </si>
  <si>
    <t>MOULURES LATÉRALES, VIN ROUGE P57</t>
  </si>
  <si>
    <t>MOULURES LATÉRALES EN NOIR</t>
  </si>
  <si>
    <t>SERRURES DE ROUES POUR JENTES EN ALLIAGE</t>
  </si>
  <si>
    <t>KIT D'ÉCLAIRAGE AU SOL EN BLEU LED</t>
  </si>
  <si>
    <t>KIT D'ÉCLAIRAGE AU SOL EN BLANC LED</t>
  </si>
  <si>
    <t>KIT D'ÉCLAIRAGE DE CONSOLE CENTRALE EN BLEU LED</t>
  </si>
  <si>
    <t>PRISE D’AIR DE COIN LATERALES - GRIS TITANE  U17</t>
  </si>
  <si>
    <t>TOUCH UP PAINT PEN - LABRADOR BLACK X42</t>
  </si>
  <si>
    <t>TOUCH UP PAINT PEN - STERLING SILVER U25</t>
  </si>
  <si>
    <t>STYLO DE RETOUCHE - ARGENT STERLING U25</t>
  </si>
  <si>
    <t>LABRADOR BLACK X42</t>
  </si>
  <si>
    <t>CAPTEUR D'ASSISTANCE AU STATIONNEMENT, ARRIÈRE NOIR TARMAC X42</t>
  </si>
  <si>
    <t>SCUFF PLATES WITH MIRAGE LOGO</t>
  </si>
  <si>
    <t>PLATEAU DE COFFRE</t>
  </si>
  <si>
    <t xml:space="preserve"> OCTANE BLUE D06</t>
  </si>
  <si>
    <t xml:space="preserve"> BRONZE METALLIC C21 </t>
  </si>
  <si>
    <t>TITANIUM GREY U17</t>
  </si>
  <si>
    <t>RED DIAMOND P62</t>
  </si>
  <si>
    <t>KIT DE GALERIES DE TOIT POUR VEHICULES EQUIPES DE BARRES DE TOIT</t>
  </si>
  <si>
    <t>KIT DE GALERIES DE TOIT POUR VEHICULES EQUIPES DE POINT D'ANCRAGE</t>
  </si>
  <si>
    <t>KIT DE GALERIES DE TOIT - NOIR POUR VEHICULES EQUIPES DE BARRES DE TOIT</t>
  </si>
  <si>
    <t>NÉCESSAIRES D'AJUSTEMENT POUR VEHICULES EQUIPES DE POINTS D'ANCRAGE</t>
  </si>
  <si>
    <t>OAK BROWN C22</t>
  </si>
  <si>
    <t xml:space="preserve"> OCTANE BLUED06</t>
  </si>
  <si>
    <t xml:space="preserve"> RED DIAMOND P62</t>
  </si>
  <si>
    <t>LABDRADOR  BLACK X42</t>
  </si>
  <si>
    <t>BODY SIDE MOLDINGS,  SUNRISE  ORANGE M11</t>
  </si>
  <si>
    <t>SUNRIUSE ORANGE M11</t>
  </si>
  <si>
    <t xml:space="preserve"> LABRADOR BLACK X42</t>
  </si>
  <si>
    <t>OCTANE BLUE D06</t>
  </si>
  <si>
    <t>SUNRISE ORANGE M11</t>
  </si>
  <si>
    <t>PEARL WHITE  W13</t>
  </si>
  <si>
    <t>ACCOUDOIR (POUR MODELES ES-MT &amp; ES-CVT SEULEMENT)</t>
  </si>
  <si>
    <t>BRONZE METALLIC C21</t>
  </si>
  <si>
    <t xml:space="preserve"> </t>
  </si>
  <si>
    <t>THCA598004</t>
  </si>
  <si>
    <t xml:space="preserve">PORTE-VELO  SUR TOIT PRORIDE XT </t>
  </si>
  <si>
    <t>THCA0614</t>
  </si>
  <si>
    <t>THCA635701</t>
  </si>
  <si>
    <t>THCA635801</t>
  </si>
  <si>
    <t>THCA711200</t>
  </si>
  <si>
    <t>THCA711300</t>
  </si>
  <si>
    <t>THCA732615</t>
  </si>
  <si>
    <t>THULE SNOWPAK L SKI SNOWBOARD CARRIER</t>
  </si>
  <si>
    <t>THCA890000</t>
  </si>
  <si>
    <t>THULE COMPASS KAYAK AND SUP CARRIER</t>
  </si>
  <si>
    <t>THCA9056</t>
  </si>
  <si>
    <t>PORTE-VELOS (4) CAMBER POUR ATTELAGE</t>
  </si>
  <si>
    <t>THCA9058</t>
  </si>
  <si>
    <t>PORTE-VELOS (2) CAMBER POUR ATTELAGE</t>
  </si>
  <si>
    <t>THCASTL2</t>
  </si>
  <si>
    <t>THCA0538</t>
  </si>
  <si>
    <t>CABLE ANITVOL THULE DE 6 PIEDS 538XT</t>
  </si>
  <si>
    <t>538XT</t>
  </si>
  <si>
    <t>THULE FORK MOUNTED BIKE ATTACHMENT</t>
  </si>
  <si>
    <t>INCLUDES FRONTS AND REARS</t>
  </si>
  <si>
    <t>size:  72cm x 28cm x 90cm</t>
  </si>
  <si>
    <t>size:  210cm x 86cm x 44cm</t>
  </si>
  <si>
    <t>size:  190cm x 84cm x 46cm</t>
  </si>
  <si>
    <t>size:  170cm x 89cm x 41cm</t>
  </si>
  <si>
    <t>size:  81cm x 18cm x 48cm</t>
  </si>
  <si>
    <t>FOR BIKES UP TO 44 LBS  size; 147cm x 34cm x 10cm</t>
  </si>
  <si>
    <t>size:  87cm x 7cm x 10cm</t>
  </si>
  <si>
    <t>size:  46cm x 78cm x 7cm x 2.5 cm</t>
  </si>
  <si>
    <t>size:  127cm x 104cm x 15cm</t>
  </si>
  <si>
    <t>FOR CANYON XT BASKET size:  102cm x 91cm x 1.2cm</t>
  </si>
  <si>
    <t>FOR BIKES UP TO 44 LBS size:  147cm x 34cm x 10cm</t>
  </si>
  <si>
    <t>sizeL  190cm x 84cm x 46cm</t>
  </si>
  <si>
    <t xml:space="preserve"> size:  127cm x 104cm x 15cm</t>
  </si>
  <si>
    <t>FOR CANYON XT BASKET 102cm x 91cm x 1.2cm</t>
  </si>
  <si>
    <t>FOR BIKES UP TO 44 LBS  size:  147cm x 34cm x 10cm</t>
  </si>
  <si>
    <t>size:  46cm x 78cm x 7cm x 3cm</t>
  </si>
  <si>
    <t>FOR CANYON XT BASKET size 102cm x 91cm x 1.2cm</t>
  </si>
  <si>
    <t>size:  108cm x 80cm x 29cm</t>
  </si>
  <si>
    <t>ES</t>
  </si>
  <si>
    <t>SE</t>
  </si>
  <si>
    <t>LE</t>
  </si>
  <si>
    <t>GT</t>
  </si>
  <si>
    <t>X</t>
  </si>
  <si>
    <t>SEL</t>
  </si>
  <si>
    <t>ES AWC</t>
  </si>
  <si>
    <t>SE AWC</t>
  </si>
  <si>
    <t>SEL AWC</t>
  </si>
  <si>
    <t>LIMITED EDITION AWC</t>
  </si>
  <si>
    <t>GT AWC</t>
  </si>
  <si>
    <t>ES CVT</t>
  </si>
  <si>
    <t>GT CVT</t>
  </si>
  <si>
    <t xml:space="preserve">  </t>
  </si>
  <si>
    <t>MMCAHCXMI2</t>
  </si>
  <si>
    <t>MODEL</t>
  </si>
  <si>
    <t>MIRAGE</t>
  </si>
  <si>
    <t>MODELE</t>
  </si>
  <si>
    <t>MMCATXBLCC</t>
  </si>
  <si>
    <t>MMCAXTX3000</t>
  </si>
  <si>
    <t>MZ562930EX</t>
  </si>
  <si>
    <t>MZ315140</t>
  </si>
  <si>
    <t>MZ576890EX</t>
  </si>
  <si>
    <t>MZ576891EX</t>
  </si>
  <si>
    <t>MZ576892EX</t>
  </si>
  <si>
    <t>MZ576893EX</t>
  </si>
  <si>
    <t>MZ576894EX</t>
  </si>
  <si>
    <t>MZ576895EX</t>
  </si>
  <si>
    <t>MZ576896EX</t>
  </si>
  <si>
    <t>MZ576897EX</t>
  </si>
  <si>
    <t>MZ550398EX</t>
  </si>
  <si>
    <t>MZ553023EX</t>
  </si>
  <si>
    <t>MZ553024EX</t>
  </si>
  <si>
    <t>MZ553018EX</t>
  </si>
  <si>
    <t>MZ576899EX</t>
  </si>
  <si>
    <t>MZ576900EX</t>
  </si>
  <si>
    <t>MZ576901EX</t>
  </si>
  <si>
    <t>MZ576902EX</t>
  </si>
  <si>
    <t>MZ576903EX</t>
  </si>
  <si>
    <t>MZ576904EX</t>
  </si>
  <si>
    <t>MZ576905EX</t>
  </si>
  <si>
    <t>MZ576906EX</t>
  </si>
  <si>
    <t>MZ576908EX</t>
  </si>
  <si>
    <t>MZ576909EX</t>
  </si>
  <si>
    <t>MZ576910EX</t>
  </si>
  <si>
    <t>MZ576911EX</t>
  </si>
  <si>
    <t>MZ576912EX</t>
  </si>
  <si>
    <t>MZ576913EX</t>
  </si>
  <si>
    <t>MZ576914EX</t>
  </si>
  <si>
    <t>MZ576915EX</t>
  </si>
  <si>
    <t>MZ576917EX</t>
  </si>
  <si>
    <t>MZ576918EX</t>
  </si>
  <si>
    <t>MZ576919EX</t>
  </si>
  <si>
    <t>MZ576920EX</t>
  </si>
  <si>
    <t>MZ576921EX</t>
  </si>
  <si>
    <t>MZ576922EX</t>
  </si>
  <si>
    <t>MZ576923EX</t>
  </si>
  <si>
    <t>MZ576924EX</t>
  </si>
  <si>
    <t>MZ555591EX</t>
  </si>
  <si>
    <t>MZ555443EX</t>
  </si>
  <si>
    <t>MZ576881EX</t>
  </si>
  <si>
    <t>MZ315205</t>
  </si>
  <si>
    <t>MZ315206</t>
  </si>
  <si>
    <t>MZ315207</t>
  </si>
  <si>
    <t>MZ576829EX</t>
  </si>
  <si>
    <t>MZ569001EX</t>
  </si>
  <si>
    <t>MZ576486EX</t>
  </si>
  <si>
    <t>MZ315141</t>
  </si>
  <si>
    <t>MZ576845EX</t>
  </si>
  <si>
    <t>MZ315136</t>
  </si>
  <si>
    <t>MZ315203</t>
  </si>
  <si>
    <t>MZ576929EX</t>
  </si>
  <si>
    <t>MZ315279</t>
  </si>
  <si>
    <t>MZ315280</t>
  </si>
  <si>
    <t>MZ518796EX</t>
  </si>
  <si>
    <t>MZ527623EX</t>
  </si>
  <si>
    <t>MZ315138</t>
  </si>
  <si>
    <t>MZ522511EX</t>
  </si>
  <si>
    <t>MZ518797EX</t>
  </si>
  <si>
    <t>MZ315261</t>
  </si>
  <si>
    <t>MZ520635EX</t>
  </si>
  <si>
    <t>MZ521034EX</t>
  </si>
  <si>
    <t>MZ360677EX</t>
  </si>
  <si>
    <t>MZ590921EX</t>
  </si>
  <si>
    <t>MZ315221</t>
  </si>
  <si>
    <t>MZ590913EX</t>
  </si>
  <si>
    <t>REAR SEAT BACK NET</t>
  </si>
  <si>
    <t>TINTED</t>
  </si>
  <si>
    <t>CHROME LOOK</t>
  </si>
  <si>
    <t xml:space="preserve">CARGO NET </t>
  </si>
  <si>
    <t xml:space="preserve">LED ASH CUP  </t>
  </si>
  <si>
    <t xml:space="preserve">UTILITY BAG </t>
  </si>
  <si>
    <t xml:space="preserve">CONSOLE ILLUMINATION  </t>
  </si>
  <si>
    <t>SIDE WINDOW DEFLECTORS - TINTED</t>
  </si>
  <si>
    <t>BODY SIDE DECAL</t>
  </si>
  <si>
    <t>ENGINE HOOD EMBLEM - CHROME</t>
  </si>
  <si>
    <t>ENGINE HOOD EMBLEM - SATIN CHROME</t>
  </si>
  <si>
    <t>FRONT SKID GARNISH - CHROME LOOK</t>
  </si>
  <si>
    <t>MIRROR COVERS - CHROME</t>
  </si>
  <si>
    <t>MIRROR COVERS - HIGH GLOSS BLACK</t>
  </si>
  <si>
    <t>DOOR HANDLE COVERS - BLACK</t>
  </si>
  <si>
    <t>TAILGATE GARNISH - CHROME</t>
  </si>
  <si>
    <t>REAR BUMPER PLATE - CHROME ABS</t>
  </si>
  <si>
    <t>SIDE PROTECTION GARNISH - CHROME</t>
  </si>
  <si>
    <t>HOOD PROTECTOR - TINTED</t>
  </si>
  <si>
    <t>ACCESSORY ROOF RAILS</t>
  </si>
  <si>
    <t>SCUFF PLATES - ILLUMINATED</t>
  </si>
  <si>
    <t>COMMUNICATION BIDIRECTIONNELLE (BLE/LoRA) AVEC REMOTE</t>
  </si>
  <si>
    <t>MMCARFK6000</t>
  </si>
  <si>
    <t>EMETTEUR-RECEPTEUR BLE LORA  BIDIRECTIONELLE</t>
  </si>
  <si>
    <t>MMCAPROT001KIT</t>
  </si>
  <si>
    <t>MMCAPROT24BOX</t>
  </si>
  <si>
    <t>MMCAPROT002DEG</t>
  </si>
  <si>
    <t>ITEKT 24 PACK 12ML BOTTLES</t>
  </si>
  <si>
    <t>ITEKT SPRAY BOTTLE 120ML</t>
  </si>
  <si>
    <t>ITEKT DEGREASER</t>
  </si>
  <si>
    <t>ITEKT PAQUET DE 24 BOUTEILLES DE 12ML</t>
  </si>
  <si>
    <t>BOUTEILLE DE PULVERISATION 120ML</t>
  </si>
  <si>
    <t>DEGRAISSEUR ITEKT</t>
  </si>
  <si>
    <t>ITEKT</t>
  </si>
  <si>
    <t>MMCAPROT120BULK</t>
  </si>
  <si>
    <t>MZ331351</t>
  </si>
  <si>
    <t>MZ331352</t>
  </si>
  <si>
    <t>MZ331354</t>
  </si>
  <si>
    <t>MZ331356</t>
  </si>
  <si>
    <t>MZ331358</t>
  </si>
  <si>
    <t>MZ331359</t>
  </si>
  <si>
    <t>MZ331360</t>
  </si>
  <si>
    <t>MZ331361</t>
  </si>
  <si>
    <t>MZ331364</t>
  </si>
  <si>
    <t>MZ331366</t>
  </si>
  <si>
    <t>MZ331367</t>
  </si>
  <si>
    <t>MZ331368</t>
  </si>
  <si>
    <t>MZ331369</t>
  </si>
  <si>
    <t>MZ331370</t>
  </si>
  <si>
    <t>MZ331371</t>
  </si>
  <si>
    <t>MZ331383</t>
  </si>
  <si>
    <t>MZ331385</t>
  </si>
  <si>
    <t>MZ331387</t>
  </si>
  <si>
    <t>MZ331388</t>
  </si>
  <si>
    <t>MZ331389</t>
  </si>
  <si>
    <t>MZ331390</t>
  </si>
  <si>
    <t>MZ331402</t>
  </si>
  <si>
    <t>MZ331403</t>
  </si>
  <si>
    <t>MZ331408</t>
  </si>
  <si>
    <t>MZ331410</t>
  </si>
  <si>
    <t>MZ331411</t>
  </si>
  <si>
    <t>MZ331412</t>
  </si>
  <si>
    <t>MZ581800EX</t>
  </si>
  <si>
    <t>MZ607750EX</t>
  </si>
  <si>
    <t>MZ607752EX</t>
  </si>
  <si>
    <t>MZ607754EX</t>
  </si>
  <si>
    <t>MZ607755EX</t>
  </si>
  <si>
    <t>MZ607756EX</t>
  </si>
  <si>
    <t>MZ607757EX</t>
  </si>
  <si>
    <t>MZ607758EX</t>
  </si>
  <si>
    <t>MZ315113</t>
  </si>
  <si>
    <t>MZ331509</t>
  </si>
  <si>
    <t>MZ331510</t>
  </si>
  <si>
    <t>HEADLAMP GARNISH</t>
  </si>
  <si>
    <t>FOG LAMP GARNISH</t>
  </si>
  <si>
    <t>PARK SENSOR SWITCH KIT</t>
  </si>
  <si>
    <t>FRONT UNDER GRILLE GARNISH (CARBON PATTERN GRAIN WITH RED STRIPE)</t>
  </si>
  <si>
    <t>FRONT UNDER GRILLE GARNISH (CARBON PATTERN GRAIN WITH SILVER STRIPE)</t>
  </si>
  <si>
    <t>REQUIRES SWITCH KIT MZ607758EX</t>
  </si>
  <si>
    <t>INSTALLATION WITHOUT AIRDAM IS POSSIBLE</t>
  </si>
  <si>
    <t>CAN'T INSTALL WITH FRONT MUDGUARD</t>
  </si>
  <si>
    <t>CAN'T INSTALL WITH REAR MUDGUARD</t>
  </si>
  <si>
    <t>SIDE PROTECTION MOULDING, SAPPHIRE BLUE T69</t>
  </si>
  <si>
    <t>FRONT AIRDAM WHITE DIAMOND W85</t>
  </si>
  <si>
    <t>FRONT AIRDAM STARLIGHT SILVER A66</t>
  </si>
  <si>
    <t>FRONT AIRDAM INFRARED P19</t>
  </si>
  <si>
    <t>FRONT AIRDAM SAND YELLOW Y35</t>
  </si>
  <si>
    <t>FRONT AIRDAM WINE RED P57</t>
  </si>
  <si>
    <t>SIDE AIRDAM WHITE DIAMOND W85</t>
  </si>
  <si>
    <t>SIDE AIRDAM STARLIGHT SILVER A66</t>
  </si>
  <si>
    <t>SIDE AIRDAM TITANIUM GREY U17</t>
  </si>
  <si>
    <t>SIDE AIRDAM INFRARED P19</t>
  </si>
  <si>
    <t>SIDE AIRDAM SAND YELLOW Y35</t>
  </si>
  <si>
    <t>SIDE AIRDAM WINE RED P57</t>
  </si>
  <si>
    <t>SIDE AIRDAM SAPPHIRE BLUE T69</t>
  </si>
  <si>
    <t>FRONT AIRDAM SAPPHIRE BLUE T69</t>
  </si>
  <si>
    <t>WHITE DIAMOND W85</t>
  </si>
  <si>
    <t>FOR FRONT 2 SENSORS + REAR 4 SENSORS</t>
  </si>
  <si>
    <t>PASTE RESIN PLATED WITH DOUBLE SIDED  TAPE</t>
  </si>
  <si>
    <t>MZ321000</t>
  </si>
  <si>
    <t>MZ321001</t>
  </si>
  <si>
    <t>STYLO DE RETOUCHE BLEU SAPHIR  T69</t>
  </si>
  <si>
    <t>SIDE PROTECTION MOULDING, WHITE DIAMOND W85</t>
  </si>
  <si>
    <t>SIDE PROTECTION MOULDING, SAND YELLOW Y35</t>
  </si>
  <si>
    <t>THULE BIKE FRAME ADAPTER</t>
  </si>
  <si>
    <t>THULE PRORIDE XT BIKE CARRIER ROOF MOUNT</t>
  </si>
  <si>
    <t>THULE SUP PADDLEBOARD CARRIER</t>
  </si>
  <si>
    <t>ALLOY WHEEL LOCKS</t>
  </si>
  <si>
    <t>WEATHERTECH CARGO TECH CARGO CONTAINMENT SYSTEM</t>
  </si>
  <si>
    <t>CENTER CONSOLE (ES-MT &amp; ES-CVT MODELS ONLY)</t>
  </si>
  <si>
    <t>HEADREST JACKET AND CLOTHES HOLDER</t>
  </si>
  <si>
    <t>HEADREST MULTIMEDIA DEVICE HOLDER</t>
  </si>
  <si>
    <t>HEADREST PURSE AND BAG HOLDER</t>
  </si>
  <si>
    <t>PARK SENSOR KIT, FRONT AND REAR (INFRARED P19)</t>
  </si>
  <si>
    <t>PARK SENSOR KIT, FRONT AND REAR (SAND YELLOW Y35)</t>
  </si>
  <si>
    <t>PARK SENSOR KIT, FRONT AND REAR (SAPPHIRE BLUE T69)</t>
  </si>
  <si>
    <t>PARK SENSOR KIT, FRONT AND REAR (STARLIGHT SILVER A66)</t>
  </si>
  <si>
    <t>PARK SENSOR KIT, FRONT AND REAR (WHITE DIAMOND W85)</t>
  </si>
  <si>
    <t>PARK SENSOR KIT, FRONT AND REAR (WINE RED P57)</t>
  </si>
  <si>
    <t>MZ360665EX</t>
  </si>
  <si>
    <t>PROTECTEUR DE CAPOT - TEINTE</t>
  </si>
  <si>
    <t xml:space="preserve">ENJOLIVEUR DE PHARES ANTIBROUILLARD </t>
  </si>
  <si>
    <t>PRISE D'AIR AVANT INFRAROUGE P19</t>
  </si>
  <si>
    <t>PRISE D'AIR AVANT JAUNE SABLON Y35</t>
  </si>
  <si>
    <t>SAND YELLOW (Y35)</t>
  </si>
  <si>
    <t>PRISE D'AIR AVANT BLEU SAPHIREE T69</t>
  </si>
  <si>
    <t>PRISE D'AIR AVANT ARGENT LUMIERE D'ETOILE A66</t>
  </si>
  <si>
    <t>WHITE DIAMOND (W85)</t>
  </si>
  <si>
    <t>PRISE D'AIR AVANT VIN ROUGE P57</t>
  </si>
  <si>
    <t>GARNITURE INFÉRIEURE DE CALANDRE (MOTIF DE GRAIN DE CARBONE AVEC BANDE ROUGE)</t>
  </si>
  <si>
    <t>GARNITURE INFÉRIEURE DE CALANDRE (MOTIF DE GRAIN AVEC BANDE ARGENTÉE)</t>
  </si>
  <si>
    <t xml:space="preserve">ENJOLIVEUR DE PHARES AVANT </t>
  </si>
  <si>
    <t>PHARES ANTIBROUILLARD À DEL</t>
  </si>
  <si>
    <t>CAPTEUR D'ASSISTANCE AU STATIONNEMENT, AVANT/ARRIERE INFAROUGE P19</t>
  </si>
  <si>
    <t>CAPTEUR D'ASSISTANCE AU STATIONNEMENT, AVANT/ARRIERE JAUNE SABLON Y35</t>
  </si>
  <si>
    <t>CAPTEUR D'ASSISTANCE AU STATIONNEMENT, AVANT/ARRIERE BLEU SAPHIRE T69</t>
  </si>
  <si>
    <t>CAPTEUR D'ASSISTANCE AU STATIONNEMENT, AVANT/ARRIERE ARGENT LUMIERE D'ETOILE A66</t>
  </si>
  <si>
    <t>CAPTEUR D'ASSISTANCE AU STATIONNEMENT, AVANT/ARRIERE VIN ROUGE P57</t>
  </si>
  <si>
    <t>PROTECTEUR ARRIÈRE DE PARE-CHOCS AVEC LOGO MITSUBISHI</t>
  </si>
  <si>
    <t>ENJOLIEVEURS DE PHARES ARRIERE</t>
  </si>
  <si>
    <t>POMMEAU DU LEVIER DE VITESSES (CVT)</t>
  </si>
  <si>
    <t>PRISE D’AIR DE COIN LATERALES - INFRAROUGE  P19</t>
  </si>
  <si>
    <t>PRISE D’AIR DE COIN LATERALES - JAUNE SABLON Y35</t>
  </si>
  <si>
    <t>PRISE D’AIR DE COIN LATERALES - ARGENT LUMIERE D'ETOILE A66</t>
  </si>
  <si>
    <t>PRISE D’AIR DE COIN LATERALES - VIN ROUGE P57</t>
  </si>
  <si>
    <t>MOULURES LATÉRALES, JAUNE SABLON Y35</t>
  </si>
  <si>
    <t>MOULURES LATÉRALES, BLEU SAPHIRE  T69</t>
  </si>
  <si>
    <t>SPEAKER RING ILLUMINATION (WITH DOOR POCKET ILLUMINATION)</t>
  </si>
  <si>
    <t>STYLO DE RETOUCHE  JAUNE SABLON Y35</t>
  </si>
  <si>
    <t>WITH MITSUBISHI LOGO</t>
  </si>
  <si>
    <t>REAR BUMPER GUARD WITH MITUSBISHI LOGO</t>
  </si>
  <si>
    <t xml:space="preserve">GARDE-BOUE AVANT (MATÉRIAU EN NOIR) </t>
  </si>
  <si>
    <t>GARDE-BOUE ARRIERE (MATÉRIAU EN NOIR)</t>
  </si>
  <si>
    <t>ILLUMINATION DE CONTOUR DE HAUT-PARLEUR (AVEC ILLUMINATION DU COMPARTIMENT DE PORTIERE)</t>
  </si>
  <si>
    <t>MZ576847EX</t>
  </si>
  <si>
    <t>MZ576848EX</t>
  </si>
  <si>
    <t>MZ576849EX</t>
  </si>
  <si>
    <t>MZ576850EX</t>
  </si>
  <si>
    <t>MZ576851EX</t>
  </si>
  <si>
    <t>MZ576852EX</t>
  </si>
  <si>
    <t>MZ576830EX</t>
  </si>
  <si>
    <t>MZ576853EX</t>
  </si>
  <si>
    <t>MZ562931EX</t>
  </si>
  <si>
    <t>MZ576854EX</t>
  </si>
  <si>
    <t>MZ576856EX</t>
  </si>
  <si>
    <t>MZ576857EX</t>
  </si>
  <si>
    <t>MZ576859EX</t>
  </si>
  <si>
    <t>MZ576860EX</t>
  </si>
  <si>
    <t>MZ576861EX</t>
  </si>
  <si>
    <t>MZ576862EX</t>
  </si>
  <si>
    <t>MZ576864EX</t>
  </si>
  <si>
    <t>MZ576865EX</t>
  </si>
  <si>
    <t>MZ576866EX</t>
  </si>
  <si>
    <t>MZ576867EX</t>
  </si>
  <si>
    <t>MZ576868EX</t>
  </si>
  <si>
    <t>MZ576869EX</t>
  </si>
  <si>
    <t>MZ576872EX</t>
  </si>
  <si>
    <t>MZ576873EX</t>
  </si>
  <si>
    <t>MZ553170EX</t>
  </si>
  <si>
    <t>MZ314999</t>
  </si>
  <si>
    <t>MZ315188</t>
  </si>
  <si>
    <t>MZ315052</t>
  </si>
  <si>
    <t>MZ526050EX</t>
  </si>
  <si>
    <t>MZ360657EX</t>
  </si>
  <si>
    <t>MZ315181</t>
  </si>
  <si>
    <t>MZ315186</t>
  </si>
  <si>
    <t>MZ590879EX</t>
  </si>
  <si>
    <t>MZ590923EX</t>
  </si>
  <si>
    <t>MZ315197</t>
  </si>
  <si>
    <t>MZ360667EX</t>
  </si>
  <si>
    <t>MZ315263</t>
  </si>
  <si>
    <t>BLUE OCTANE D06</t>
  </si>
  <si>
    <t>GARNITURE INFÉRIEURE-ARGENT</t>
  </si>
  <si>
    <t>GARDE-BOUE AVANT</t>
  </si>
  <si>
    <t>GARDE-BOUE ARRIERE</t>
  </si>
  <si>
    <t>CAPTEUR D'ASSISTANCE AU STATIONNEMENT, ARRIÈRE BLEU OCTANE D06</t>
  </si>
  <si>
    <t>CARBON</t>
  </si>
  <si>
    <t>PAINTED BLACK</t>
  </si>
  <si>
    <t>RESIN STICKER</t>
  </si>
  <si>
    <t>EXTENSION LATÉRALE - ARGENT</t>
  </si>
  <si>
    <t>ECLIPSE CROSS LOGO</t>
  </si>
  <si>
    <t>LED WHITE</t>
  </si>
  <si>
    <t>AILERON ARRIÈRE, BECKET INFERIEUR NOIR TARMAC X42</t>
  </si>
  <si>
    <t>AILERON ARRIÈRE, BECKET INFERIEUR ARGENT STERLING U25</t>
  </si>
  <si>
    <t>AILERON ARRIÈRE, BECKET INFERIEUR GRIS TITANE U17</t>
  </si>
  <si>
    <t>AILERON ARRIÈRE, BECKET INFERIEUR BLEU OCTANE D06</t>
  </si>
  <si>
    <t>BARRE DE REMORQUAGE</t>
  </si>
  <si>
    <t>LUGGAGE MAT - FABRIC</t>
  </si>
  <si>
    <t>GARNITURE DE PARE-CHOCS ARRIÈRE - ARGENT</t>
  </si>
  <si>
    <t>FRONT AND REAR SET</t>
  </si>
  <si>
    <t>5 LUG NUTS PER KIT</t>
  </si>
  <si>
    <t>ECROUS DE VERROUILLAGE DE ROUE (TYPE PLAT)</t>
  </si>
  <si>
    <t>TAILGATE LAMP - WHITE LED</t>
  </si>
  <si>
    <t>AMBER LED</t>
  </si>
  <si>
    <t>BODY SIDE DECAL WITH ECLIPSE CROSS LOGO</t>
  </si>
  <si>
    <t>EMBLÈME DE CAPOT  NOIR</t>
  </si>
  <si>
    <t>REAR BUMPER PROTECTOR  RESIN STICKER TYPE</t>
  </si>
  <si>
    <t>GARDE-BOUE AVANT NOIR</t>
  </si>
  <si>
    <t>SAC UTILITAIRE</t>
  </si>
  <si>
    <t xml:space="preserve">SEL </t>
  </si>
  <si>
    <t xml:space="preserve">GT </t>
  </si>
  <si>
    <t xml:space="preserve">SE </t>
  </si>
  <si>
    <t>REAR UNDER GARNISH WITH CORNER EXTENSION  - SILVER</t>
  </si>
  <si>
    <t>MOULURES LATÉRALES -CHROMÉ</t>
  </si>
  <si>
    <t>EMBLÈME DE CAPOT  CHROMÉ SATIN</t>
  </si>
  <si>
    <t>GARNITURE DE HAYON CHROMÉ</t>
  </si>
  <si>
    <t>MIRROR COVERS - CARBON</t>
  </si>
  <si>
    <t>SCUFF PLATE SET NON-ILLUMINATED</t>
  </si>
  <si>
    <t>AILERON ARRIÈRE, NOIR DIAMANT X47</t>
  </si>
  <si>
    <t>DEEP BRONZE C17</t>
  </si>
  <si>
    <t>MZ321028</t>
  </si>
  <si>
    <t>BLACK DIAMOND (X47)</t>
  </si>
  <si>
    <t>PHOTO</t>
  </si>
  <si>
    <t>MZ321027</t>
  </si>
  <si>
    <t xml:space="preserve">PEDALES SPORT </t>
  </si>
  <si>
    <t>ILLUMINATION D'ACCEUIL LED</t>
  </si>
  <si>
    <t>THULE CAMBER HITCH MOUNTED 2 BIKE CARRIER</t>
  </si>
  <si>
    <t>THULE CAMBER HITCH MOUNTED 4 BIKE CARRIER</t>
  </si>
  <si>
    <t>THULE CANYON XT ROOF BASKET</t>
  </si>
  <si>
    <t>THULE FORCE XT ROOF BOX  EXTRA LARGE</t>
  </si>
  <si>
    <t>THULE FORCE XT ROOF BOX LARGE</t>
  </si>
  <si>
    <t>THULE PULSE MEDIUM ROOF BOX 614</t>
  </si>
  <si>
    <t>THULE STRETCH CARGO NET</t>
  </si>
  <si>
    <t>REMOTE START 2 WAY LORA TRANSCEIVER (CABLE SOLD SEPERATELY)</t>
  </si>
  <si>
    <t>REMOTE START BLE LORA CREDIT CARD STYLE TRANSMITTER</t>
  </si>
  <si>
    <t>REMOTE START EXTREME RANGE LORA BLE SYSTEM W/CC REMOTE</t>
  </si>
  <si>
    <t>DASHCAM - FRONT &amp; REAR 2 CHANNEL</t>
  </si>
  <si>
    <t>DASHCAM - OBD 2 PLUG &amp; PLAY HARNESS</t>
  </si>
  <si>
    <t>BLACK WITH RED STRIPE</t>
  </si>
  <si>
    <t>GARNITURE DE PARE-CHOCS ARRIÈRE - NOIR AVEC UNE BANDE ROUGE</t>
  </si>
  <si>
    <t>EXTENSION LATÉRALE - NOIR AVEC UNE BANDE ROUGE</t>
  </si>
  <si>
    <t>GARNITURE INFÉRIEURE-NOIR AVEC UNE BANDE ROUGE</t>
  </si>
  <si>
    <t>WHITE DIAMOND  W85</t>
  </si>
  <si>
    <t>THULE ROOF RACK KIT</t>
  </si>
  <si>
    <t>THULE ROOF RACK KIT - BLACK</t>
  </si>
  <si>
    <t>THULE ROOF RACK FIT KIT</t>
  </si>
  <si>
    <t>MZ360457EX</t>
  </si>
  <si>
    <t>CARGO MAT - REVERSIBLE</t>
  </si>
  <si>
    <t>PROTECTEUR DE CHARGEMENT AVEC CROCHET</t>
  </si>
  <si>
    <t>CARGO PROTECTOR WITH HOOK</t>
  </si>
  <si>
    <t>REAR BUMPER GARNISH - CHROME LOOK</t>
  </si>
  <si>
    <t>BLACK LUG NUTS  (16 PC) AND WHEEL LOCKS SET  (4 PC)</t>
  </si>
  <si>
    <t>FRONT UNDER GARNISH - BLACK WITH RED STRIPE</t>
  </si>
  <si>
    <t>FRONT UNDER GARNISH - SILVER</t>
  </si>
  <si>
    <t>INTERIOR FLOOR ILLUMINATION - AMBER LED</t>
  </si>
  <si>
    <t>INTERIOR FLOOR ILLUMINATION - BLUE LED</t>
  </si>
  <si>
    <t>LED WELCOME ILLUMINATION LIGHT</t>
  </si>
  <si>
    <t>REAR UNDER GARNISH WITH CORNER EXTENSION  - BLACK WITH RED STRIPE</t>
  </si>
  <si>
    <t>SIDE EXTENSION - BLACK WITH RED STRIPE</t>
  </si>
  <si>
    <t>SIDE EXTENSION - SILVER</t>
  </si>
  <si>
    <t>TAILGATE LIP SPOILER -  BRONZE METALLIC C21</t>
  </si>
  <si>
    <t>TAILGATE LIP SPOILER -  OTCANE BLUE D06</t>
  </si>
  <si>
    <t>TAILGATE LIP SPOILER -  STERLING SILVER U25</t>
  </si>
  <si>
    <t>TAILGATE LIP SPOILER -  TARMAC BLACK X42</t>
  </si>
  <si>
    <t>TAILGATE LIP SPOILER -  TITANIUM GREY U17</t>
  </si>
  <si>
    <t>TAILGATE LIP SPOILER -  WHITE DIAMOND W85</t>
  </si>
  <si>
    <t>TAILGATE SPOILER -   BRONZE METALLIC C21</t>
  </si>
  <si>
    <t>TAILGATE SPOILER -   OCTANE BLUE D06</t>
  </si>
  <si>
    <t>TAILGATE SPOILER -   RED DIAMOND P62</t>
  </si>
  <si>
    <t>TAILGATE SPOILER -   TARMAC BLACK X42</t>
  </si>
  <si>
    <t>TAILGATE SPOILER -   WHITE DIAMOND W85</t>
  </si>
  <si>
    <t>ALLOY FUEL DOOR SERVICE KIT</t>
  </si>
  <si>
    <t>SKID PLATE - FRONT</t>
  </si>
  <si>
    <t>SKID PLATE - REAR</t>
  </si>
  <si>
    <t>REMOTE ENGINE START - OEM</t>
  </si>
  <si>
    <t>REMOTE ENGINE START REPLACEMENT FOB - OEM</t>
  </si>
  <si>
    <t>ALL SEASON FLOOR GUARDS</t>
  </si>
  <si>
    <t xml:space="preserve">THULE STRETCH CARGO NETTHULE </t>
  </si>
  <si>
    <t>MUDGUARDS - REAR - BLACK</t>
  </si>
  <si>
    <t>ROOF CARRIER KIT (REQUIRES FACTORY OR ACCESSORY ROOF RAILS)</t>
  </si>
  <si>
    <t>MZ315254</t>
  </si>
  <si>
    <t>AUTOCOLLANT  DE CARROSSERIE LATÉRAUX  AVEC LOGO ECLIPSE CROSS</t>
  </si>
  <si>
    <t>COUVERCLES DE RÉTROVISEURS CHROMÉ</t>
  </si>
  <si>
    <t>CAPTEUR D'ASSISTANCE AU STATIONNEMENT, ARRIÈRE BRONZE METALLISE C21</t>
  </si>
  <si>
    <t>AILERON ARRIÈRE, BECKET INFERIEUR BRONZE METALLISE C21</t>
  </si>
  <si>
    <t>AILERON ARRIÈRE, BRONZE METALLISE C21</t>
  </si>
  <si>
    <t>FUEL DOOR</t>
  </si>
  <si>
    <t>CAPTEUR D'ASSISTANCE AU STATIONNEMENT, ARRIÈRE ROUGE DIAMANT P62</t>
  </si>
  <si>
    <t xml:space="preserve">AILERON ARRIÈRE BECKET INFERIEUR,  ROUGE DIAMANT  P62 </t>
  </si>
  <si>
    <t xml:space="preserve">AILERON ARRIÈRE,  ROUGE DIAMANT  P62 </t>
  </si>
  <si>
    <t>STYLO DE RETOUCHE, ROUGE DIAMANT P62</t>
  </si>
  <si>
    <t>MOULURES LATÉRALES ROUGE DIAMANT P62</t>
  </si>
  <si>
    <t>CAPTEUR D'ASSISTANCE AU STATIONNEMENT, ARRIERE ROUGE DIAMANT P62</t>
  </si>
  <si>
    <t>AILERON ARRIÈRE ROUGE DIAMANT P62</t>
  </si>
  <si>
    <t>STYLO DE RETOUCHE DE PEINTURE ROUGE DIAMANT P62</t>
  </si>
  <si>
    <t>STYLO DE RETOUCHE - ROUGE DIAMANT P62</t>
  </si>
  <si>
    <t>CAPTEUR D'ASSISTANCE AU STATIONNEMENT, ARRIÈRE BLANC DIAMANT W85</t>
  </si>
  <si>
    <t>AILERON ARRIÈRE, BECKET INFERIEUR BLANC DIAMANT W85</t>
  </si>
  <si>
    <t>AILERON ARRIÈRE, BLANC DIAMANT W85</t>
  </si>
  <si>
    <t xml:space="preserve">STYLO DE RETOUCHE BLANC DIAMANT W85 </t>
  </si>
  <si>
    <t>PRISE D'AIR AVANT BLANC DIAMANT W85</t>
  </si>
  <si>
    <t>CAPTEUR D'ASSISTANCE AU STATIONNEMENT, AVANT/ARRIERE BLANC DIAMANT W85</t>
  </si>
  <si>
    <t>PRISE D’AIR DE COIN LATERALES - BLANC DIAMANT W85</t>
  </si>
  <si>
    <t>MOULURES LATÉRALES, BLANC DIAMANT W85</t>
  </si>
  <si>
    <t>MOULURES LATÉRALES BLANC DIAMANT NACRE W13</t>
  </si>
  <si>
    <t>CAPTEUR D'ASSISTANCE AU STATIONNEMENT, ARRIERE BLANC DIAMANT NACRE W13</t>
  </si>
  <si>
    <t>FLOOR ILLUMINATION - INTERIOR  (BLUE)</t>
  </si>
  <si>
    <t>ONE TOUCH SUNSHADE FRONT WINDOW &amp; FRONT &amp; SIDE</t>
  </si>
  <si>
    <t>WHEEL LOCK NUTS  - 1.25MM PITCH CHROME LOCK NUTS (4PC)</t>
  </si>
  <si>
    <t>FOR VEHICLES WITHOUT FACTORY RAILS, OR REPLACEMENT</t>
  </si>
  <si>
    <t>1.25MM PITCH BLACK LOCK NUTS( 4PC) + LUG NUTS (16PC)</t>
  </si>
  <si>
    <t>CARGO PROTECTOR + HOOK</t>
  </si>
  <si>
    <t>1ST/2ND/3RD SEAT</t>
  </si>
  <si>
    <t>MMCA3129</t>
  </si>
  <si>
    <t>RUNNING BOARDS BRACKET KIT</t>
  </si>
  <si>
    <t>MMCA6021809</t>
  </si>
  <si>
    <t>MMCA6021808</t>
  </si>
  <si>
    <t>RUNNING BOARDS (BLACK)</t>
  </si>
  <si>
    <t>RUNNING BOARDS (SILVER)</t>
  </si>
  <si>
    <t>MMCA3125</t>
  </si>
  <si>
    <t>JEU D'ATTACHES DE MARCHEPIED</t>
  </si>
  <si>
    <t>MARCHEPIEDS (ARGENT)</t>
  </si>
  <si>
    <t>MARCHEPIEDS (NOIRS)</t>
  </si>
  <si>
    <t>MMCA12048</t>
  </si>
  <si>
    <t xml:space="preserve">ATTACHE-REMORQUE </t>
  </si>
  <si>
    <t>MMCAADVSB10UHD</t>
  </si>
  <si>
    <t>MMCAHWKTW01-ADAP</t>
  </si>
  <si>
    <t>OBD2 ADAPTER</t>
  </si>
  <si>
    <t>SYSTEME DE DIVERTISSEMENT POUR VEHICULE ADVENT</t>
  </si>
  <si>
    <t>ADAPTEUR  OBD2</t>
  </si>
  <si>
    <t xml:space="preserve">TAPIS DE SOL EN CAOUTCHOUC QUATRE SAISONS </t>
  </si>
  <si>
    <t>FOR VÉHICULES WITHOUT  ROOF RAILS - MITSUBISHI BRANDED</t>
  </si>
  <si>
    <t>PORTE-VESTE ET VÊTEMENTS (FIXATION D'APPUI-TÊTE)</t>
  </si>
  <si>
    <t>PORTE-APPAREIL MULTIMÉDIA (FIXATION D'APPUI-TÊTE)</t>
  </si>
  <si>
    <t>PORTE  SAC À MAIN ET SAC DE COURSES  (FIXATION D'APPUI-TÊTE)</t>
  </si>
  <si>
    <t xml:space="preserve">BLACK LUG NUTS SET  </t>
  </si>
  <si>
    <t xml:space="preserve">JEU D'ÉCROUS DE ROUE EN NOIR </t>
  </si>
  <si>
    <t>ENGINE BLOCK HEATER KIT</t>
  </si>
  <si>
    <t>COUVERCLES DE RÉTROVISEURS  CARBONE</t>
  </si>
  <si>
    <t>ITEKT LIQUID GLASS WINDSHIELD PROTECTION KIT</t>
  </si>
  <si>
    <t>LOCKING CORES FOR CROSSBAR KITS</t>
  </si>
  <si>
    <t>DOOR HANDLE COVERS-BLACK</t>
  </si>
  <si>
    <t>DOOR HANDLE COVERS-CHROME</t>
  </si>
  <si>
    <t>MUDGUARDS-FRONT</t>
  </si>
  <si>
    <t>MUDGUARDS-REAR</t>
  </si>
  <si>
    <t xml:space="preserve">SCUFF PLATES WITH LED ILLUMINATION </t>
  </si>
  <si>
    <t>SCUFF PLATES &amp; FLOOR ILLUMINATION SET - AMBER</t>
  </si>
  <si>
    <t>CROSSBAR SET - FOR VEHICLES WITHOUT ROOF RAILS</t>
  </si>
  <si>
    <t>50"</t>
  </si>
  <si>
    <t>THULE BRAIDED STEEL CABLE LOCK</t>
  </si>
  <si>
    <t>THULE SNUG TITE RECEIVER LOCK</t>
  </si>
  <si>
    <t>TRAILER HITCH WIRING HARNESS</t>
  </si>
  <si>
    <t>BARRES TRANSVERSALES  MITSUBISHI  POUR VÉHICULES ÉQUIPÉS DE LONGERONS DE TOIT</t>
  </si>
  <si>
    <t>BARRES TRANSVERSALES  MITSUBISHI  POUR VÉHICULES SANS LONGERONS DE TOIT</t>
  </si>
  <si>
    <t>ENJOLIVEURS DE POIGNÉES DE PORTES - NOIR</t>
  </si>
  <si>
    <t>ENJOLIVEURS DE POIGNÉES DE PORTES - CHROMÉ</t>
  </si>
  <si>
    <t>PROTECTEUR DE CAPOT - TEINTÉ</t>
  </si>
  <si>
    <t>ÉCLAIRAGE AU SOL À DEL - AMBRE</t>
  </si>
  <si>
    <t>ÉCLAIRAGE AU SOL À DEL  - BLEU</t>
  </si>
  <si>
    <t xml:space="preserve">TROUSSE DE PROTECTION DE VERRE DE PARE-BRISE LIQUIDE ITEKT </t>
  </si>
  <si>
    <t>TAPIS DE COMPARTIMENT DE CHARGE EN TISSU</t>
  </si>
  <si>
    <t>PROTECTEUR DE PARE- CHOCS ARRIÈRE AVEC AUTOCOLLANT EN RÉSINE</t>
  </si>
  <si>
    <t>PLAQUES DE SEUIL AVEC ÉCLAIRAGE À DEL</t>
  </si>
  <si>
    <t>PLAQUES DE SEUIL ET JEU D'ÉCLAIRAGE AU SOL - AMBRE</t>
  </si>
  <si>
    <t>LAMPE DE HAYON ARRIÈRE À DEL - BLANC</t>
  </si>
  <si>
    <t xml:space="preserve">THULE EVO WINGBAR </t>
  </si>
  <si>
    <t>SUPPORTER DES KAYAKS OU DE SUP THULE COMPASS</t>
  </si>
  <si>
    <t>TAILGATE SPOILER, LARGE - OAK BROWN  C22</t>
  </si>
  <si>
    <t>BARRES DE CHARGEMENTS 47" THULE  EVO</t>
  </si>
  <si>
    <t>MUDGUARDS -  FRONT</t>
  </si>
  <si>
    <t>MUDGUARDS -  REAR</t>
  </si>
  <si>
    <t>GARDE-BOUE - AVANT</t>
  </si>
  <si>
    <t>GARDE-BOUE - ARRIERE</t>
  </si>
  <si>
    <t xml:space="preserve">WHEEL LOCKS </t>
  </si>
  <si>
    <t>ECROUS DE VERROUILLAGE DE ROUE</t>
  </si>
  <si>
    <t>PLANCHE DE SURF THULE</t>
  </si>
  <si>
    <t>CARGO NET -  ENVELOPE STYLE</t>
  </si>
  <si>
    <t>CARGO NET -  FLOOR  STYLE</t>
  </si>
  <si>
    <t>TOUCH UP PAINT PEN - DIAMOND RED P62</t>
  </si>
  <si>
    <t>TOUCH UP PAINT PEN - OAK BROWN C22</t>
  </si>
  <si>
    <t>TOUCH UP PAINT PEN - OCTANE BLUE D06</t>
  </si>
  <si>
    <t>TOUCH UP PAINT PEN - PEARL WHITE W13</t>
  </si>
  <si>
    <t>TOUCH UP PAINT PEN - SUNSHINE ORANGE M11</t>
  </si>
  <si>
    <t>TOUCH UP PAINT PEN - TITANIUM GRAY U17</t>
  </si>
  <si>
    <t xml:space="preserve">VERROU D'ATTACHE-REMORQUE SNUG TITE </t>
  </si>
  <si>
    <t>PANIER DE TOIT CANYON XT - THULE</t>
  </si>
  <si>
    <t>PORTE-CHARGE FORCE XT  EXTRA LARGE - THULE</t>
  </si>
  <si>
    <t>PORTE-CHARGE FORCE XT LARGE - THULE</t>
  </si>
  <si>
    <t>PORTE-CHARGE PULSE - THULE</t>
  </si>
  <si>
    <t>GRAND PORTE-SKIS/PLANCHE À NEIGE THULE SNOWPAK</t>
  </si>
  <si>
    <t>FILET DE RETENUE DE CHARGEMENT EXTENSIBLE  THULE</t>
  </si>
  <si>
    <t>FILET DE RETENUE DE CHARGEMENT EXTENSIBLE THULE</t>
  </si>
  <si>
    <t xml:space="preserve"> FILET DE RETENUE DE CHARGEMENT EXTENSIBLE THULE</t>
  </si>
  <si>
    <t>PORTE-VÉLO  SUR TOIT PRORIDE XT THULE</t>
  </si>
  <si>
    <t>PORTE-VÉLO MONTAGE FIXE THULE</t>
  </si>
  <si>
    <t>FRONT CORNER GARNISH - BLACK DIAMOND  X47</t>
  </si>
  <si>
    <t>FRONT CORNER GARNISH - COSMIC BLUE D14</t>
  </si>
  <si>
    <t>FRONT CORNER GARNISH - RED DIAMOND P62</t>
  </si>
  <si>
    <t>FRONT CORNER GARNISH - WHITE DIAMOND W85</t>
  </si>
  <si>
    <t>MUDGUARDS - FRONT - BLACK</t>
  </si>
  <si>
    <t>REAR CORNER GARNISH - BLACK DIAMOND  X47</t>
  </si>
  <si>
    <t>REAR CORNER GARNISH - COSMIC BLUE D14</t>
  </si>
  <si>
    <t>REAR CORNER GARNISH - RED DIAMOND P62</t>
  </si>
  <si>
    <t>REAR CORNER GARNISH - STERLING SILVER  METALLIC U25</t>
  </si>
  <si>
    <t>REAR CORNER GARNISH - WHITE DIAMOND W85</t>
  </si>
  <si>
    <t>SIDE UNDER GARNISH - BLACK DIAMOND X47</t>
  </si>
  <si>
    <t>SIDE UNDER GARNISH - COSMIC BLUE D14</t>
  </si>
  <si>
    <t>SIDE UNDER GARNISH - RED DIAMOND P62</t>
  </si>
  <si>
    <t>SIDE UNDER GARNISH - WHITE DIAMOND W85</t>
  </si>
  <si>
    <t>TAILGATE SPOILER - BLACK DIAMOND X47</t>
  </si>
  <si>
    <t>TAILGATE SPOILER - COSMIC BLUE D14</t>
  </si>
  <si>
    <t>TAILGATE SPOILER - RED DIAMOND P62</t>
  </si>
  <si>
    <t>TAILGATE SPOILER - TITANIUM GREY U17</t>
  </si>
  <si>
    <t>TAILGATE SPOILER - WHITE DIAMOND W85</t>
  </si>
  <si>
    <t>LABRADOR  BLACK X42</t>
  </si>
  <si>
    <t>TOUCH UP PAINT PEN - BLACK  DIAMOND X47</t>
  </si>
  <si>
    <t>TOUCH UP PAINT PEN - WHITE DIAMOND W85</t>
  </si>
  <si>
    <t>TOUCH UP PAINT PEN - COSMIC BLUE D14</t>
  </si>
  <si>
    <t>TOUCH UP PAINT PEN - DEEP BRONZE  C17</t>
  </si>
  <si>
    <t>TOUCH UP PAINT PEN - RED DIAMOND P62</t>
  </si>
  <si>
    <t>SYSTÈME DE DIVERTISSEMENT POUR VÉHICULE ADVENT</t>
  </si>
  <si>
    <t>LONGERONS DE TOIT POUR ACCESSOIRES</t>
  </si>
  <si>
    <t>ÉCROUS DE ROUE EN NOIR (JEU DE 16) ET  ÉCROUS DE VERROUILLAGE DE ROUE (JEU DE 4)</t>
  </si>
  <si>
    <t xml:space="preserve">AUTOCOLLANTS DE CARROSSERIE LATÉRAUX  </t>
  </si>
  <si>
    <t xml:space="preserve">ÉCLAIRAGE DE CONSOLE </t>
  </si>
  <si>
    <t>POIGNÉES DE PORTE NOIRES</t>
  </si>
  <si>
    <t>POIGNÉES DE PORTE  CHROMÉES</t>
  </si>
  <si>
    <t>GARNITURE DE COIN AVANT - NOIR DIAMANT X47</t>
  </si>
  <si>
    <t>GARNITURE DE COIN AVANT - BLEU COSMIQUE D14</t>
  </si>
  <si>
    <t>GARNITURE DE COIN AVANT - BRONZE MÉTALLISÉ C17</t>
  </si>
  <si>
    <t>GARNITURE DE COIN AVANT - ROUGE DIAMANT P62</t>
  </si>
  <si>
    <t>GARNITURE DE COIN AVANT - BLANC DIAMANT W85</t>
  </si>
  <si>
    <t>PLAQUE DE PROTECTION AVANT - FINI CHROMÉ</t>
  </si>
  <si>
    <t>TRAPPE À CARBURANT</t>
  </si>
  <si>
    <t>DÉGRAISSEUR ITEKT</t>
  </si>
  <si>
    <t>BOUTEILLE DE PULVÉRISATION 120ML</t>
  </si>
  <si>
    <t>CENDRIER À DEL</t>
  </si>
  <si>
    <t>GARDE-BOUE ARRIÈRE NOIR</t>
  </si>
  <si>
    <t>ÉCRAN PARE-SOLEIL À RÉTACTION AUTOMATIQUE AVANT DR ET G</t>
  </si>
  <si>
    <t>GARNITURE ARRIÈRE DE PARE-CHOCS CHROMÉE</t>
  </si>
  <si>
    <t>PROTECTEUR ARRIÈRE DE PARE-CHOCS ABS CHROMÉ</t>
  </si>
  <si>
    <t>GARNITURE DE COIN ARRIÈRE - BLEU COSMIQUE D14</t>
  </si>
  <si>
    <t>GARNITURE DE COIN ARRIÈRE - BRONZE PROFOND C17</t>
  </si>
  <si>
    <t>GARNITURE DE COIN ARRIÈRE - ROUGE DIAMANT P62</t>
  </si>
  <si>
    <t>GARNITURE DE COIN ARRIÈRE - ARGENT STERLING U25</t>
  </si>
  <si>
    <t>GARNITURE DE COIN ARRIÈRE - GRIS TITANE U17</t>
  </si>
  <si>
    <t>GARNITURE DE COIN ARRIÈRE -  BLANC DIAMANT W85</t>
  </si>
  <si>
    <t>FILET POUR SIÈGE ARRIÈRE</t>
  </si>
  <si>
    <t>PLAQUES DE SEUIL NON ILLUMINÉE</t>
  </si>
  <si>
    <t>PLAQUES DE SEUIL ILLUMINÉES</t>
  </si>
  <si>
    <t>GARNITURE  DE PROTECTION LATERALE CHROMÉE</t>
  </si>
  <si>
    <t>GARNITURE INFÉRIEURE LATÉRALE - NOIR DIAMANT X47</t>
  </si>
  <si>
    <t>GARNITURE INFÉRIEURE LATÉRALE - BLEU COSMIQUE D14</t>
  </si>
  <si>
    <t>GARNITURE INFÉRIEURE LATÉRALE - BRONZE PROFOND C17</t>
  </si>
  <si>
    <t>GARNITURE INFÉRIEURE LATÉRALE - ROUGE DIAMANT P62</t>
  </si>
  <si>
    <t>GARNITURE INFÉRIEURE LATÉRALE - BLANC DIAMANT W85</t>
  </si>
  <si>
    <t>DÉFLECTEURS DE GLACES LATÉRALES TEINTÉS</t>
  </si>
  <si>
    <t>CABLE ANITVOL THULE EN ACIER TRESSÉ</t>
  </si>
  <si>
    <t>SUPPORT POUR VÉLOS À FIXATION À FOURCHE THULE</t>
  </si>
  <si>
    <t xml:space="preserve">STYLO DE RETOUCHE - NOIR DIAMANT X47 </t>
  </si>
  <si>
    <t xml:space="preserve">STYLO DE RETOUCHE - BLANC DIAMANT W85 </t>
  </si>
  <si>
    <t>STYLO DE RETOUCHE - BLEU COSMIQUE D14</t>
  </si>
  <si>
    <t>STYLO DE RETOUCHE - BRONZE PROFOND C17</t>
  </si>
  <si>
    <t>ADVENT VEHICLE ENTERTAINMENT SYSTEM</t>
  </si>
  <si>
    <t>ACTIVITY MOUNT HITCH</t>
  </si>
  <si>
    <t>FRONT CORNER GARNISH - DEEP BRONZE METALLIC C17</t>
  </si>
  <si>
    <t>REAR CORNER GARNISH - DEEP BRONZE METALLIC C17</t>
  </si>
  <si>
    <t>SIDE UNDER GARNISH - DEEP BRONZE METALLIC C17</t>
  </si>
  <si>
    <t>TAILGATE SPOILER - DEEP BRONZE METALLIC C17</t>
  </si>
  <si>
    <t>FRONT CORNER GARNISH - TITANIUM GREY U17</t>
  </si>
  <si>
    <t>REAR CORNER GARNISH - TITANIUM GREY U17</t>
  </si>
  <si>
    <t>SIDE UNDER GARNISH - TITANIUM GREY U17</t>
  </si>
  <si>
    <t>FRONT CORNER GARNISH - STERLING SILVER U25</t>
  </si>
  <si>
    <t>SIDE UNDER GARNISH - STERLING SILVER U25</t>
  </si>
  <si>
    <t>TAILGATE SPOILER - STERLING SILVER U25</t>
  </si>
  <si>
    <t>FRONT CORNER GARNISH - LABRADOR BLACK PEARL X42</t>
  </si>
  <si>
    <t>GARNITURE DE COIN AVANT - ARGENT STERLING U25</t>
  </si>
  <si>
    <t>GARNITURE INFÉRIEURE LATÉRALE - ARGENT STERLING U25</t>
  </si>
  <si>
    <t>GARNITURE DE COIN AVANT - GRIS TITANE U17</t>
  </si>
  <si>
    <t>GARNITURE INFÉRIEURE LATÉRALE - GRIS TITANE U17</t>
  </si>
  <si>
    <t>REAR CORNER GARNISH - LABRADOR BLACK PEARL X42</t>
  </si>
  <si>
    <t>SIDE UNDER GARNISH - LABRADOR BLACK PEARL X42</t>
  </si>
  <si>
    <t>TAILGATE SPOILER - LABRADOR BLACK PEARL X42</t>
  </si>
  <si>
    <t>TOUCH UP PAINT PEN - LABRADOR BLACK PEARL X42</t>
  </si>
  <si>
    <t>GARNITURE DE COIN AVANT - NOIR LABRADOR NACRE X42</t>
  </si>
  <si>
    <t>GARNITURE DE COIN ARRIÈRE - NOIR LABRADOR NACRE X42</t>
  </si>
  <si>
    <t>GARNITURE INFÉRIEURE LATÉRALE - NOIR LABRADOR NACRE X42</t>
  </si>
  <si>
    <t>AILERON ARRIÈRE, NOIR LABRADOR NACRE X42</t>
  </si>
  <si>
    <t>STYLO DE RETOUCHE - NOIR LABRADOR NACRE X42</t>
  </si>
  <si>
    <t>TAILGATE LIP SPOILER -  RED DIAMOND P62</t>
  </si>
  <si>
    <t>MZ315193</t>
  </si>
  <si>
    <t>MZ576761EX</t>
  </si>
  <si>
    <t xml:space="preserve">CHROME </t>
  </si>
  <si>
    <t>Enter Your Dealer Labor Rate:</t>
  </si>
  <si>
    <t>ACTIVITÉ DE MONTAGE D’ATTELAGE POUR LE RVR</t>
  </si>
  <si>
    <t>HARNESS NOT REQUIRED</t>
  </si>
  <si>
    <t>COUVERCLES DE RÉTROVISEURS  CARBONE</t>
  </si>
  <si>
    <t>COUVERCLES DE RÉTROVISEURS  CHROMÉ</t>
  </si>
  <si>
    <t>COUVERCLES DE RÉTROVISEURS  NOIRES TRÈS BRILLANT</t>
  </si>
  <si>
    <t>MZ315198</t>
  </si>
  <si>
    <t>MMCACERIUM</t>
  </si>
  <si>
    <t>ITEKT CERIUM POLISHING POWDER 50G</t>
  </si>
  <si>
    <t>MMCAITCLEANER</t>
  </si>
  <si>
    <t>ITEKT CLEANER 1L</t>
  </si>
  <si>
    <t>POUDRE POLISSANTE 50G ITEKT</t>
  </si>
  <si>
    <t>NETTOYANT ITEKT 1L</t>
  </si>
  <si>
    <t>MMCARFK2002</t>
  </si>
  <si>
    <t>Include in CWS</t>
  </si>
  <si>
    <t>COMES WITH FRONT, DRIVER AND PASSENGER SIDE FRONT</t>
  </si>
  <si>
    <t>FOR ESTHETIC PURPOSES ONLY, NOT FOR STEPPING - POLISHED</t>
  </si>
  <si>
    <t>TAILGATE SPOILER, LARGE - WHITE DIAMOND W85</t>
  </si>
  <si>
    <t>AILERON ARRIÈRE BLANC DIAMANT W85</t>
  </si>
  <si>
    <t>MZ574747EX</t>
  </si>
  <si>
    <t>MMCAARROWSL</t>
  </si>
  <si>
    <t>WINDOW CLING ENGLISH LEFT</t>
  </si>
  <si>
    <t>MMCAARROWSR</t>
  </si>
  <si>
    <t>ENGLISH</t>
  </si>
  <si>
    <t>FRENCH</t>
  </si>
  <si>
    <t>WINDOW CLING FRENCH LEFT</t>
  </si>
  <si>
    <t>WINDOW CLING FRENCH RIGHT</t>
  </si>
  <si>
    <t>FLECHE AUTOCOLLANTES FRANCAIS GAUCHE</t>
  </si>
  <si>
    <t>FLECHE AUTOCOLLANTES FRANCAIS DROIT</t>
  </si>
  <si>
    <t>FLECHE AUTOCOLLANTES ANGLAIS GAUCHE</t>
  </si>
  <si>
    <t>FLECHE AUTOCOLLANTES ANGLAIS DROIT</t>
  </si>
  <si>
    <t>MMCAARROWSLFR</t>
  </si>
  <si>
    <t>MMCAARROWSRFR</t>
  </si>
  <si>
    <t>ENGINE BLOCK HEATER CARTRIDGE</t>
  </si>
  <si>
    <t>ENGINE BLOCK HEATER CORD SET</t>
  </si>
  <si>
    <t>MMCA1008</t>
  </si>
  <si>
    <t>MMCA0864</t>
  </si>
  <si>
    <t>CARTOUCHE DE CHAUFFE-BLOC</t>
  </si>
  <si>
    <t>ENSEMBLE DE CORDE POUR CHAUFFE-BLOC</t>
  </si>
  <si>
    <t>CABLE ANTIVOL THULE DE 6 PIEDS 538XT</t>
  </si>
  <si>
    <t>PROTECTEUR DE CAPOT TEINTE</t>
  </si>
  <si>
    <t>MZ360680EX</t>
  </si>
  <si>
    <t>DOOR SWITCH PANEL-CARBON</t>
  </si>
  <si>
    <t>PANNEAU D'INTERUPTEUR DE PORTE CARBONE</t>
  </si>
  <si>
    <t>CONSOLE ACCENT PANEL-CARBON</t>
  </si>
  <si>
    <t>MMCAHCXMI3</t>
  </si>
  <si>
    <t>SOLD AS A PAIR (LEFT AND RIGHT)</t>
  </si>
  <si>
    <t>MZ590914EX</t>
  </si>
  <si>
    <t xml:space="preserve">DYNAMIC SHIELD ILLUMINATION </t>
  </si>
  <si>
    <t>ILLUMINATION DU BOUCLIER DYNAMIQUE</t>
  </si>
  <si>
    <t>NOTES:</t>
  </si>
  <si>
    <t>GT trim level does not require an accessory FOB, as the factory key FOB will activate the remote start module.</t>
  </si>
  <si>
    <t>Avec l’exception de la déclinaison GT, un des accessoires de télé-commandes suivants sera requis afin d’activer le module de démarreur à distance MMCAHCXMI3: le MMCARFK2002,</t>
  </si>
  <si>
    <t>La version GT ne requiert aucune télé-commande en accessoire, puisque la télé-commande de série peut actionner le module du démarreur à distance.</t>
  </si>
  <si>
    <t>MMCARFK6000, MMCAVS4LU3 ou MMCARFK5000.</t>
  </si>
  <si>
    <t>With the exception of the GT trim, one of the following accessory FOB’s are required to activate the MMCAHCXMI3 remote start module - MMCARFK2002 , MMCARFK6000, MMCAVS4LU3 OR  MMCARFK5000</t>
  </si>
  <si>
    <t>EXTRA TRANSMITTER FOR LORA BLE; see notes below</t>
  </si>
  <si>
    <t>http://luxwoodtrim.com/luxd-admin/cache/2442/2442-1920x0.jpg</t>
  </si>
  <si>
    <t>Installation Garantie</t>
  </si>
  <si>
    <t>Warrantied Installation</t>
  </si>
  <si>
    <t>All</t>
  </si>
  <si>
    <t>LUXD1794XX</t>
  </si>
  <si>
    <t>UNIVERSAL</t>
  </si>
  <si>
    <t>http://luxwoodtrim.com/luxd-admin/cache/2441/2441-1920x0.jpg</t>
  </si>
  <si>
    <t>LUXD1764XX</t>
  </si>
  <si>
    <t>http://luxwoodtrim.com/luxd-admin/cache/3012/3012-1920x0.jpg</t>
  </si>
  <si>
    <t>LUXD1734XX</t>
  </si>
  <si>
    <t>http://luxwoodtrim.com/luxd-admin/cache/3655/3655-1920x0.jpg</t>
  </si>
  <si>
    <t>Tous les codes de peinture</t>
  </si>
  <si>
    <t>All paint codes</t>
  </si>
  <si>
    <t>Moulure protectrice sans insertion, avec logo découpé (XSP)</t>
  </si>
  <si>
    <t>Protective moulding without insert with cutout logo (XSP)</t>
  </si>
  <si>
    <t>Body Side Moulding</t>
  </si>
  <si>
    <t>Exterior</t>
  </si>
  <si>
    <t>LUXRV20XSP</t>
  </si>
  <si>
    <t>RVR</t>
  </si>
  <si>
    <t>http://luxwoodtrim.com/luxd-admin/cache/3652/3652-1920x0.jpg</t>
  </si>
  <si>
    <t>Moulure protectrice avec insertion chrome et logo découpé (XSM)</t>
  </si>
  <si>
    <t>Protective moulding with chrome insert and cut-out logo (XSM)</t>
  </si>
  <si>
    <t>LUXRV20XSM</t>
  </si>
  <si>
    <t>http://luxwoodtrim.com/luxd-admin/cache/3651/3651-1920x0.jpg</t>
  </si>
  <si>
    <t>Moulure protectrice avec insertion chrome et logo intégré (SMC)</t>
  </si>
  <si>
    <t>Protective moulding with chrome insert and embedded logo (SMC)</t>
  </si>
  <si>
    <t>LUXRV20SMC</t>
  </si>
  <si>
    <t>http://luxwoodtrim.com/luxd-admin/cache/3649/3649-1920x0.jpg</t>
  </si>
  <si>
    <t>Moulure protectrice avec insertion chrome et logo découpé (RDS)</t>
  </si>
  <si>
    <t>Protective moulding with chrome insert and cut-out logo (RDS)</t>
  </si>
  <si>
    <t>LUXRV20RDS</t>
  </si>
  <si>
    <t>http://luxwoodtrim.com/luxd-admin/cache/3653/3653-1920x0.jpg</t>
  </si>
  <si>
    <t>Moulure protectrice avec logo intégré (CRP)</t>
  </si>
  <si>
    <t>Protective moulding with embedded logo (CRP)</t>
  </si>
  <si>
    <t>LUXRV20CRP</t>
  </si>
  <si>
    <t>LUXRV11XSP</t>
  </si>
  <si>
    <t>LUXRV11XSM</t>
  </si>
  <si>
    <t>LUXRV11SMC</t>
  </si>
  <si>
    <t>LUXRV11RDS</t>
  </si>
  <si>
    <t>LUXRV11CRP</t>
  </si>
  <si>
    <t>http://luxwoodtrim.com/luxd-admin/cache/3654/3654-1920x0.jpg</t>
  </si>
  <si>
    <t>LUXRB20XSM</t>
  </si>
  <si>
    <t>http://luxwoodtrim.com/luxd-admin/cache/4422/4422-1920x0.jpg</t>
  </si>
  <si>
    <t>LUXRB11RDS</t>
  </si>
  <si>
    <t>http://luxwoodtrim.com/luxd-admin/cache/3429/3429-1920x0.jpg</t>
  </si>
  <si>
    <t>LUXRB10XSM</t>
  </si>
  <si>
    <t>http://luxwoodtrim.com/luxd-admin/cache/3885/3885-1920x0.jpg</t>
  </si>
  <si>
    <t>Chrome (0CH), Platine (0PS), Noir Lustré (0BK), Tous les codes de peinture</t>
  </si>
  <si>
    <t>Chrome (CH), Platinum Silver (0PS), Glossy black (BK), All paint codes</t>
  </si>
  <si>
    <t>Ensemble de protection: Moulure protectrice avec insertion chrome et logo découpé (XSM) et seuils de porte</t>
  </si>
  <si>
    <t>Protection package: Protective moulding with chrome insert and cut-out logo (XSM) and door sills</t>
  </si>
  <si>
    <t>Protective Accessories</t>
  </si>
  <si>
    <t>LUXRV20PPP</t>
  </si>
  <si>
    <t>http://luxwoodtrim.com/luxd-admin/cache/4304/4304-1920x0.jpg</t>
  </si>
  <si>
    <t>Noir Lustré (0BK)</t>
  </si>
  <si>
    <t>Glossy Black (0BK)</t>
  </si>
  <si>
    <t>Déflecteur de capot avec logo découpé</t>
  </si>
  <si>
    <t>Hood deflector with cut-out logo</t>
  </si>
  <si>
    <t>LUXRV20DEL</t>
  </si>
  <si>
    <t>http://luxwoodtrim.com/luxd-admin/cache/2959/2959-1920x0.jpg</t>
  </si>
  <si>
    <t>Chrome (0CH), Platine (0PS), Noir Lustré (0BK)</t>
  </si>
  <si>
    <t>Chrome (CH), Platinum Silver (0PS), Glossy black (BK)</t>
  </si>
  <si>
    <t>Seuils de porte</t>
  </si>
  <si>
    <t>Door Sills</t>
  </si>
  <si>
    <t>LUXRV11SIL</t>
  </si>
  <si>
    <t>http://luxwoodtrim.com/luxd-admin/cache/3096/3096-1920x0.jpg</t>
  </si>
  <si>
    <t>Protecteur Noir (WBK), Wrap Carbone (WCF)</t>
  </si>
  <si>
    <t>Black Protect (WBK), Wrap Carbon (WCF)</t>
  </si>
  <si>
    <t>Lot de 10 Films protecteurs de pare-chocs arrière</t>
  </si>
  <si>
    <t>10x Rear bumper protection wrap</t>
  </si>
  <si>
    <t>LUXRV11BPV</t>
  </si>
  <si>
    <t>Film protecteur de pare-chocs arrière</t>
  </si>
  <si>
    <t>Rear bumper protection wrap</t>
  </si>
  <si>
    <t>LUXRV11BPM</t>
  </si>
  <si>
    <t>http://luxwoodtrim.com/luxd-admin/cache/3986/3986-1920x0.jpg</t>
  </si>
  <si>
    <t>Chrome (0CH), Lux Carbone (LCF), Noir Lustré (0BK), Orange (ORA), Peinture Agencée (0CM), Platine (0PS), Rouge (RED), Wrap Carbone (WCF)</t>
  </si>
  <si>
    <t>Chrome (0CH), Lux Carbon ( LCF), Glossy black (0BK), Orange (ORA), Paint Match (0CM), Platinum Silver (0PS), Red (RED), Wrap Carbon (WCF)</t>
  </si>
  <si>
    <t>Moulure de bas de caisse avec logo découpé et garnitures de pare-chocs avant et arrière</t>
  </si>
  <si>
    <t>Rocker trim with cut-out logo and front and rear bumpers trims</t>
  </si>
  <si>
    <t>Styling Accessories</t>
  </si>
  <si>
    <t>LUXRV20RKK</t>
  </si>
  <si>
    <t>http://luxwoodtrim.com/luxd-admin/cache/3784/3784-1920x0.jpg</t>
  </si>
  <si>
    <t>Noir Lustré (0BK), Lux Carbon (LCF), Carbone Mat (WCF)</t>
  </si>
  <si>
    <t>Glossy Black (0BK), Lux Carbon (LCF), Matte Carbon (WCF)</t>
  </si>
  <si>
    <t>Garniture pour pillers de porte</t>
  </si>
  <si>
    <t>Pillar Trim</t>
  </si>
  <si>
    <t>LUXRV20PIL</t>
  </si>
  <si>
    <t>http://luxwoodtrim.com/luxd-admin/cache/4213/4213-1920x0.jpg</t>
  </si>
  <si>
    <t>Logo de capot (avec gabarit d'installation)</t>
  </si>
  <si>
    <t>Hood logo with installation template</t>
  </si>
  <si>
    <t>LUXRV20LOM</t>
  </si>
  <si>
    <t>http://luxwoodtrim.com/luxd-admin/cache/3786/3786-1920x0.jpg</t>
  </si>
  <si>
    <t>Carbone Mat (WCF)</t>
  </si>
  <si>
    <t>Matte Carbone (WCF)</t>
  </si>
  <si>
    <t>Moulure de dénivelé de bas de porte fini carbone mat avec logo découpé</t>
  </si>
  <si>
    <t>Matte carbon finish bottom door groove trim with cut-out logo</t>
  </si>
  <si>
    <t>LUXRV20GRW</t>
  </si>
  <si>
    <t>Ensemble carbone mat incluant garniture de dénivelé de porte, pilliers de porte et logo de pare-chocs avant.</t>
  </si>
  <si>
    <t>Matte carbone kit including groove trim, pillars and front bumper logo</t>
  </si>
  <si>
    <t>LUXRV20CRB</t>
  </si>
  <si>
    <t>http://luxwoodtrim.com/luxd-admin/cache/3790/3790-1920x0.jpg</t>
  </si>
  <si>
    <t>Logo de pare-chocs avant en carbon mat</t>
  </si>
  <si>
    <t>Matte carbone ront bumber logo</t>
  </si>
  <si>
    <t>LUXRV20BLW</t>
  </si>
  <si>
    <t>http://luxwoodtrim.com/luxd-admin/cache/3788/3788-1920x0.jpg</t>
  </si>
  <si>
    <t>Logo de pare-chocs avant</t>
  </si>
  <si>
    <t>Front bumber logo</t>
  </si>
  <si>
    <t>LUXRV20BLG</t>
  </si>
  <si>
    <t>http://luxwoodtrim.com/luxd-admin/cache/2358/2358-1920x0.jpg</t>
  </si>
  <si>
    <t>Ensemble LUXD: Garnitures de bas de caisse et accents pour miroirs, valise, porte-bagages et pare-chocs avant.</t>
  </si>
  <si>
    <t>LUXD concept kit: Rocker trims and mirrors, trunk lip, roof rack and front bumber accents</t>
  </si>
  <si>
    <t>LUXRV16EXT</t>
  </si>
  <si>
    <t>http://luxwoodtrim.com/luxd-admin/cache/4160/4160-1920x0.jpg</t>
  </si>
  <si>
    <t>Moulure de bas de caisse avec logo découpé</t>
  </si>
  <si>
    <t>Rocker trim with cut-out logo</t>
  </si>
  <si>
    <t>LUXRV11RKR</t>
  </si>
  <si>
    <t>Moulure de dénivelé de bas de porte avec logo découpé</t>
  </si>
  <si>
    <t>Bottom door groove trim with cut-out logo</t>
  </si>
  <si>
    <t>LUXRV11GRV</t>
  </si>
  <si>
    <t>Moulure de dénivelé de bas de porte avec insertion et logo découpé</t>
  </si>
  <si>
    <t>Bottom door groove trim with insert and cut-out logo</t>
  </si>
  <si>
    <t>LUXRV11GRI</t>
  </si>
  <si>
    <t>http://luxwoodtrim.com/luxd-admin/cache/4205/4205-1920x0.jpg</t>
  </si>
  <si>
    <t>LUXRV10LOM</t>
  </si>
  <si>
    <t>http://luxwoodtrim.com/luxd-admin/cache/4177/4177-1920x0.jpg</t>
  </si>
  <si>
    <t>Garniture de recouvrement du chrome avant</t>
  </si>
  <si>
    <t>Front chrome cover up trim</t>
  </si>
  <si>
    <t>LUXRB20EXT</t>
  </si>
  <si>
    <t>http://luxwoodtrim.com/luxd-admin/cache/3493/3493-1920x0.jpg</t>
  </si>
  <si>
    <t>LUXRB18EXT</t>
  </si>
  <si>
    <t>Rosier Noir (0BR), Boiserie Cafée (0CB), Argent Lustré (0GS), Orange (ORA), Lux Carbone (LCF), Noir Lustré (0BK), Peinture Agencée (0CM), Rouge (RED)</t>
  </si>
  <si>
    <t>Black Rose (0BR), Cafe Burl (0CB), Glossy Silver (0GS), Orange (ORA), Lux Carbon (LCF), Glossy Black (0BK), Paint Match (0CM), Red (RED)</t>
  </si>
  <si>
    <t>Ensemble intérieur Signature</t>
  </si>
  <si>
    <t>Interior Dash Signature Kit</t>
  </si>
  <si>
    <t>Interior</t>
  </si>
  <si>
    <t>LUXOG18SGN</t>
  </si>
  <si>
    <t>OUTLANDER PHEV</t>
  </si>
  <si>
    <t>Bleu électrique (0EB), Vert Électrique (0EG)</t>
  </si>
  <si>
    <t>Electric Blue (0EB), Electric Green (0EG)</t>
  </si>
  <si>
    <t>Ensemble EcoGreen: Intérieur signature et accents de porte-bagage et pare-chocs arrière, et logos EcoGreen</t>
  </si>
  <si>
    <t>EcoGreen Package: Interior dash signature and roof rack and rear bumper trims + EcoGreen Logos</t>
  </si>
  <si>
    <t>Exterior/Interior</t>
  </si>
  <si>
    <t>LUXOG18EXT</t>
  </si>
  <si>
    <t>LUXOP18XSM</t>
  </si>
  <si>
    <t>LUXOP18SMC</t>
  </si>
  <si>
    <t>LUXOP18CRP</t>
  </si>
  <si>
    <t>http://luxwoodtrim.com/luxd-admin/cache/3955/3955-1920x0.jpg</t>
  </si>
  <si>
    <t>LUXOP18PPP</t>
  </si>
  <si>
    <t>LUXOP16SIL</t>
  </si>
  <si>
    <t>http://luxwoodtrim.com/luxd-admin/cache/4495/4495-1920x0.jpg</t>
  </si>
  <si>
    <t>Bleu Électrique (0EB), Noir lustré (0BK), Chrome (0CH)</t>
  </si>
  <si>
    <t>Electric Blue (0EB), Glossy Black (0BK), Chrome (0CH)</t>
  </si>
  <si>
    <t>Ensemble PHEV incluant moulures de bas de porte et accents de calandre et d'ailes.</t>
  </si>
  <si>
    <t>PHEV package including rocker trims and grille and fenders accents</t>
  </si>
  <si>
    <t>LUXOP18PK2</t>
  </si>
  <si>
    <t>Ensemble PHEV incluant moulures de bas de porte, logo de capot et accents de calandre et d'ailes.</t>
  </si>
  <si>
    <t>PHEV package including rockers, hood logo, grille and fenders accents</t>
  </si>
  <si>
    <t>LUXOP18PK1</t>
  </si>
  <si>
    <t>http://luxwoodtrim.com/luxd-admin/cache/4372/4372-1920x0.jpg</t>
  </si>
  <si>
    <t>LUXOP16LOM</t>
  </si>
  <si>
    <t>http://luxwoodtrim.com/luxd-admin/cache/4624/4624-1920x0.jpg</t>
  </si>
  <si>
    <t>LUXOU22SGN</t>
  </si>
  <si>
    <t>OUTLANDER</t>
  </si>
  <si>
    <t>Fibre de carbone Véritable (RCF)</t>
  </si>
  <si>
    <t>Genuine Carbone Fiber (RCF)</t>
  </si>
  <si>
    <t>Ensemble intérieur en fibre de carbone véritable</t>
  </si>
  <si>
    <t>Interior Dash in genuine carbon fiber</t>
  </si>
  <si>
    <t>LUXOU22RCF</t>
  </si>
  <si>
    <t>http://luxwoodtrim.com/luxd-admin/cache/4622/4622-1920x0.jpg</t>
  </si>
  <si>
    <t>Ensemble intérieur Intégral</t>
  </si>
  <si>
    <t>Interior Dash Full Kit</t>
  </si>
  <si>
    <t>LUXOU22INT</t>
  </si>
  <si>
    <t>http://luxwoodtrim.com/luxd-admin/cache/4625/4625-1920x0.jpg</t>
  </si>
  <si>
    <t xml:space="preserve">Ensemble intérieur complémentaire </t>
  </si>
  <si>
    <t>Interior dash OEM Complement</t>
  </si>
  <si>
    <t>LUXOU22FM1</t>
  </si>
  <si>
    <t>Moulure protectrice avec insertion noire et logo intégré (XSR)</t>
  </si>
  <si>
    <t>Protective moulding with black insert and embedded logo (XSR)</t>
  </si>
  <si>
    <t>LUXOU22XSR</t>
  </si>
  <si>
    <t>LUXOU22XSP</t>
  </si>
  <si>
    <t>LUXOU22XSM</t>
  </si>
  <si>
    <t>Moulure protectrice avec insertion chrome et logo découpé (XCI)</t>
  </si>
  <si>
    <t>Protective moulding with chrome insert and cut-out logo (XCI)</t>
  </si>
  <si>
    <t>LUXOU22XCI</t>
  </si>
  <si>
    <t>LUXOU22SMC</t>
  </si>
  <si>
    <t>Moulure protectrice avec insertion chrome et logo découpé (MTR)</t>
  </si>
  <si>
    <t>Protective moulding with chrome insert and cutout logo (MTR)</t>
  </si>
  <si>
    <t>LUXOU22MTR</t>
  </si>
  <si>
    <t>LUXOU22CRP</t>
  </si>
  <si>
    <t>http://luxwoodtrim.com/luxd-admin/cache/2338/2338-1920x0.jpg</t>
  </si>
  <si>
    <t>LUXOU16XSP</t>
  </si>
  <si>
    <t>http://luxwoodtrim.com/luxd-admin/cache/2337/2337-1920x0.jpg</t>
  </si>
  <si>
    <t>LUXOU16XSM</t>
  </si>
  <si>
    <t>http://luxwoodtrim.com/luxd-admin/cache/2336/2336-1920x0.jpg</t>
  </si>
  <si>
    <t>LUXOU16SMC</t>
  </si>
  <si>
    <t>http://luxwoodtrim.com/luxd-admin/cache/2335/2335-1920x0.jpg</t>
  </si>
  <si>
    <t>LUXOU16RDS</t>
  </si>
  <si>
    <t>http://luxwoodtrim.com/luxd-admin/cache/2333/2333-1920x0.jpg</t>
  </si>
  <si>
    <t>LUXOU16CRP</t>
  </si>
  <si>
    <t>LUXOB22XSM</t>
  </si>
  <si>
    <t>http://luxwoodtrim.com/luxd-admin/cache/3423/3423-1920x0.jpg</t>
  </si>
  <si>
    <t>LUXOB16XSM</t>
  </si>
  <si>
    <t>LUXOU22SIL</t>
  </si>
  <si>
    <t>Déflecteur de capot</t>
  </si>
  <si>
    <t>Hood deflector</t>
  </si>
  <si>
    <t>LUXOU22DEF</t>
  </si>
  <si>
    <t>Moulure protectrice de pare-chocs arrière</t>
  </si>
  <si>
    <t>Rear bumper protective trim</t>
  </si>
  <si>
    <t>LUXOU22BUM</t>
  </si>
  <si>
    <t xml:space="preserve">Film protecteur de pare-chocs arrière </t>
  </si>
  <si>
    <t>LUXOU22BPM</t>
  </si>
  <si>
    <t>http://luxwoodtrim.com/luxd-admin/cache/3956/3956-1920x0.jpg</t>
  </si>
  <si>
    <t>LUXOU16PPP</t>
  </si>
  <si>
    <t>http://luxwoodtrim.com/luxd-admin/cache/3582/3582-1920x0.jpg</t>
  </si>
  <si>
    <t>LUXOU16DEL</t>
  </si>
  <si>
    <t>http://luxwoodtrim.com/luxd-admin/cache/3581/3581-1920x0.jpg</t>
  </si>
  <si>
    <t>LUXOU16DEF</t>
  </si>
  <si>
    <t>http://luxwoodtrim.com/luxd-admin/cache/3094/3094-1920x0.jpg</t>
  </si>
  <si>
    <t>LUXOU16BPV</t>
  </si>
  <si>
    <t>http://luxwoodtrim.com/luxd-admin/cache/2860/2860-1920x0.jpg</t>
  </si>
  <si>
    <t>LUXOU16BPM</t>
  </si>
  <si>
    <t>http://luxwoodtrim.com/luxd-admin/cache/2958/2958-1920x0.jpg</t>
  </si>
  <si>
    <t>LUXOU14SIL</t>
  </si>
  <si>
    <t>Noir Lustré (0BK), Lux Carbon (LCF)</t>
  </si>
  <si>
    <t>Glossy Black (0BK), Lux Carbon (LCF)</t>
  </si>
  <si>
    <t>Accent d'aileron arrière</t>
  </si>
  <si>
    <t>Spoiler Accent</t>
  </si>
  <si>
    <t>LUXOU22SPO</t>
  </si>
  <si>
    <t>LUXOU22RKR</t>
  </si>
  <si>
    <t xml:space="preserve">Moulure protectrice avec insertion chrome </t>
  </si>
  <si>
    <t>Rocker trim with insert and cut-out logo</t>
  </si>
  <si>
    <t>LUXOU22RKI</t>
  </si>
  <si>
    <t>Pilliers de Portes et couvert de valise</t>
  </si>
  <si>
    <t>Pillar Trim and Trunk lip</t>
  </si>
  <si>
    <t>LUXOU22PIK</t>
  </si>
  <si>
    <t>LUXOU22LOM</t>
  </si>
  <si>
    <t>http://luxwoodtrim.com/luxd-admin/cache/4588/4588-1920x0.jpg</t>
  </si>
  <si>
    <t>LUXOU22GRV</t>
  </si>
  <si>
    <t>LUXOU22GRI</t>
  </si>
  <si>
    <t>Noir Lustré (0BK), Chrome (0CH)</t>
  </si>
  <si>
    <t>Glossy Black (0BK), Chrome (0CH)</t>
  </si>
  <si>
    <t>Accent arrière</t>
  </si>
  <si>
    <t>Rear accent</t>
  </si>
  <si>
    <t>LUXOU22EXT</t>
  </si>
  <si>
    <t>http://luxwoodtrim.com/luxd-admin/cache/4962/4962-1920x0.jpg</t>
  </si>
  <si>
    <t>Accents de fenêtres</t>
  </si>
  <si>
    <t>Window trim</t>
  </si>
  <si>
    <t>LUXOU22EX1</t>
  </si>
  <si>
    <t>http://luxwoodtrim.com/luxd-admin/cache/4110/4110-1920x0.jpg</t>
  </si>
  <si>
    <t>LUXOU18RKK</t>
  </si>
  <si>
    <t>http://luxwoodtrim.com/luxd-admin/cache/4204/4204-1920x0.jpg</t>
  </si>
  <si>
    <t>LUXOU16LOM</t>
  </si>
  <si>
    <t>http://luxwoodtrim.com/luxd-admin/cache/4948/4948-1920x0.jpg</t>
  </si>
  <si>
    <t>LUXOB22EXT</t>
  </si>
  <si>
    <t>http://luxwoodtrim.com/luxd-admin/cache/4949/4949-1920x0.jpg</t>
  </si>
  <si>
    <t>LUXOB22EX1</t>
  </si>
  <si>
    <t>LUXOB16EXT</t>
  </si>
  <si>
    <t>http://luxwoodtrim.com/luxd-admin/cache/4420/4420-1920x0.jpg</t>
  </si>
  <si>
    <t>LUXM414SMC</t>
  </si>
  <si>
    <t>MIRAGE-G4</t>
  </si>
  <si>
    <t>http://luxwoodtrim.com/luxd-admin/cache/3957/3957-1920x0.jpg</t>
  </si>
  <si>
    <t>LUXMI16PPP</t>
  </si>
  <si>
    <t>LUXMI14SGN</t>
  </si>
  <si>
    <t>LUXMI14XSP</t>
  </si>
  <si>
    <t>LUXMI14XSM</t>
  </si>
  <si>
    <t>LUXMI14SMC</t>
  </si>
  <si>
    <t>LUXMI14RDS</t>
  </si>
  <si>
    <t>LUXMI14CRP</t>
  </si>
  <si>
    <t>http://luxwoodtrim.com/luxd-admin/cache/2957/2957-1920x0.jpg</t>
  </si>
  <si>
    <t>LUXMI14SIL</t>
  </si>
  <si>
    <t>http://luxwoodtrim.com/luxd-admin/cache/3585/3585-1920x0.jpg</t>
  </si>
  <si>
    <t>LUXMI14DEF</t>
  </si>
  <si>
    <t>http://luxwoodtrim.com/luxd-admin/cache/2325/2325-1920x0.jpg</t>
  </si>
  <si>
    <t>LUXLA16RDS</t>
  </si>
  <si>
    <t>LANCER-EVOLUTION</t>
  </si>
  <si>
    <t>Moulure de bas de caisse avec insertion et logo découpé</t>
  </si>
  <si>
    <t>LUXLA12RKI</t>
  </si>
  <si>
    <t>http://luxwoodtrim.com/luxd-admin/cache/2677/2677-1920x0.jpg</t>
  </si>
  <si>
    <t>LUXLA17SGN</t>
  </si>
  <si>
    <t>LANCER</t>
  </si>
  <si>
    <t>http://luxwoodtrim.com/luxd-admin/cache/2323/2323-1920x0.jpg</t>
  </si>
  <si>
    <t>LUXLA16XSM</t>
  </si>
  <si>
    <t>http://luxwoodtrim.com/luxd-admin/cache/2322/2322-1920x0.jpg</t>
  </si>
  <si>
    <t>LUXLA16SMC</t>
  </si>
  <si>
    <t>http://luxwoodtrim.com/luxd-admin/cache/2321/2321-1920x0.jpg</t>
  </si>
  <si>
    <t>LUXLA16CRP</t>
  </si>
  <si>
    <t>http://luxwoodtrim.com/luxd-admin/cache/3095/3095-1920x0.jpg</t>
  </si>
  <si>
    <t>LUXLA08BPV</t>
  </si>
  <si>
    <t>http://luxwoodtrim.com/luxd-admin/cache/2858/2858-1920x0.jpg</t>
  </si>
  <si>
    <t>LUXLA08BPM</t>
  </si>
  <si>
    <t>http://luxwoodtrim.com/luxd-admin/cache/2355/2355-1920x0.jpg</t>
  </si>
  <si>
    <t>Spoiler accent trim</t>
  </si>
  <si>
    <t>LUXLA12SPI</t>
  </si>
  <si>
    <t>LUXLA12RKR</t>
  </si>
  <si>
    <t>Accents d'ailes</t>
  </si>
  <si>
    <t>Fender Accent</t>
  </si>
  <si>
    <t>LUXLA12FED</t>
  </si>
  <si>
    <t>http://luxwoodtrim.com/luxd-admin/cache/2856/2856-1920x0.jpg</t>
  </si>
  <si>
    <t>LUXLA08PIL</t>
  </si>
  <si>
    <t>LUXEC22XSR</t>
  </si>
  <si>
    <t>ECLIPSE-CROSS</t>
  </si>
  <si>
    <t>LUXEC22XSP</t>
  </si>
  <si>
    <t>LUXEC22XSM</t>
  </si>
  <si>
    <t>http://luxwoodtrim.com/luxd-admin/cache/4615/4615-1920x0.jpg</t>
  </si>
  <si>
    <t>LUXEC22XCI</t>
  </si>
  <si>
    <t>LUXEC22MTR</t>
  </si>
  <si>
    <t>LUXEC22CRP</t>
  </si>
  <si>
    <t>LUXEC18XSP</t>
  </si>
  <si>
    <t>LUXEC18XSM</t>
  </si>
  <si>
    <t>LUXEC18CRP</t>
  </si>
  <si>
    <t>http://luxwoodtrim.com/luxd-admin/cache/3428/3428-1920x0.jpg</t>
  </si>
  <si>
    <t>Moulure protectrice avec insertion chrome et logo découpé (XSM) et Logo de capot "Black Edition"</t>
  </si>
  <si>
    <t>Protective moulding with chrome insert and cut-out logo (XSM) and "Black Edition" hood logo</t>
  </si>
  <si>
    <t>LUXEB18XSZ</t>
  </si>
  <si>
    <t>http://luxwoodtrim.com/luxd-admin/cache/3426/3426-1920x0.jpg</t>
  </si>
  <si>
    <t>LUXEB18XSM</t>
  </si>
  <si>
    <t>LUXEC22DEL</t>
  </si>
  <si>
    <t>LUXEC22DEF</t>
  </si>
  <si>
    <t>http://luxwoodtrim.com/luxd-admin/cache/3958/3958-1920x0.jpg</t>
  </si>
  <si>
    <t>LUXEC18PPP</t>
  </si>
  <si>
    <t>http://luxwoodtrim.com/luxd-admin/cache/4212/4212-1920x0.jpg</t>
  </si>
  <si>
    <t>LUXEC18DEL</t>
  </si>
  <si>
    <t>http://luxwoodtrim.com/luxd-admin/cache/3097/3097-1920x0.jpg</t>
  </si>
  <si>
    <t>LUXEC18BPV</t>
  </si>
  <si>
    <t>http://luxwoodtrim.com/luxd-admin/cache/2876/2876-1920x0.jpg</t>
  </si>
  <si>
    <t>LUXEC18BPM</t>
  </si>
  <si>
    <t>Moulure de bas de caisse avec logo "Tech" découpé</t>
  </si>
  <si>
    <t>Rocker trim with cut-out "Tech" logo</t>
  </si>
  <si>
    <t>LUXET18RKR</t>
  </si>
  <si>
    <t>Moulure de bas de caisse avec logo "GT" découpé</t>
  </si>
  <si>
    <t>Rocker trim with cut-out "GT" logo</t>
  </si>
  <si>
    <t>LUXEG18RKR</t>
  </si>
  <si>
    <t>LUXEC22RKR</t>
  </si>
  <si>
    <t>LUXEC22LOM</t>
  </si>
  <si>
    <t>LUXEC22GRV</t>
  </si>
  <si>
    <t>Moulure de pare-chocs</t>
  </si>
  <si>
    <t>Bumper trim</t>
  </si>
  <si>
    <t>LUXEC22EXT</t>
  </si>
  <si>
    <t>Calandre avec insertions</t>
  </si>
  <si>
    <t>Front grill with inserts</t>
  </si>
  <si>
    <t>LUXEC22EX2</t>
  </si>
  <si>
    <t>Calandre</t>
  </si>
  <si>
    <t>Front grill</t>
  </si>
  <si>
    <t>LUXEC22EX1</t>
  </si>
  <si>
    <t>LUXEC18RKR</t>
  </si>
  <si>
    <t>http://luxwoodtrim.com/luxd-admin/cache/4109/4109-1920x0.jpg</t>
  </si>
  <si>
    <t>LUXEC18RKK</t>
  </si>
  <si>
    <t xml:space="preserve">Moulure de bas de caisse avec insertion et logo découpé (Modèle haut de gamme) </t>
  </si>
  <si>
    <t>Rocker trim with insert and cut-out logo (for high-end model)</t>
  </si>
  <si>
    <t>LUXEC18RKI</t>
  </si>
  <si>
    <t>Moulure de bas de caisse avec insertion et logo découpé (Modèles de base)</t>
  </si>
  <si>
    <t>Rocker trim with insert and cut-out logo (for base models)</t>
  </si>
  <si>
    <t>LUXEC18RI2</t>
  </si>
  <si>
    <t>http://luxwoodtrim.com/luxd-admin/cache/4203/4203-1920x0.jpg</t>
  </si>
  <si>
    <t>LUXEC18LOM</t>
  </si>
  <si>
    <t>LUXEC18GRW</t>
  </si>
  <si>
    <t>LUXEC18GRV</t>
  </si>
  <si>
    <t>http://luxwoodtrim.com/luxd-admin/cache/4801/4801-1920x0.jpg</t>
  </si>
  <si>
    <t>LUXEB22EXT</t>
  </si>
  <si>
    <t>http://luxwoodtrim.com/luxd-admin/cache/3491/3491-1920x0.jpg</t>
  </si>
  <si>
    <t>LUXEB18EXT</t>
  </si>
  <si>
    <t>MSRP</t>
  </si>
  <si>
    <t>DNET</t>
  </si>
  <si>
    <t>Accessory Group</t>
  </si>
  <si>
    <t>Accessory Category</t>
  </si>
  <si>
    <t>DESCRIPTION</t>
  </si>
  <si>
    <t>INSTALL TIME</t>
  </si>
  <si>
    <t>AVAILABLE COLORS</t>
  </si>
  <si>
    <t>IMAGES</t>
  </si>
  <si>
    <t>PART NUMBER</t>
  </si>
  <si>
    <t>NUMERO DU PIECE</t>
  </si>
  <si>
    <t>TEMPS D'INSTALLATION</t>
  </si>
  <si>
    <t xml:space="preserve">COULEURS DISPONIBLE </t>
  </si>
  <si>
    <t>PDSF</t>
  </si>
  <si>
    <t xml:space="preserve">PRIX NET </t>
  </si>
  <si>
    <t>à</t>
  </si>
  <si>
    <t>YEAR TO</t>
  </si>
  <si>
    <t>YEAR FROM</t>
  </si>
  <si>
    <t>MZ590976EX</t>
  </si>
  <si>
    <t>http://luxwoodtrim.com/luxd-admin/cache/2981/2981-1920x0.jpg</t>
  </si>
  <si>
    <t>http://luxwoodtrim.com/luxd-admin/cache/3830/3830-1920x0.jpg</t>
  </si>
  <si>
    <t>http://luxwoodtrim.com/luxd-admin/cache/4373/4373-1920x0.jpg</t>
  </si>
  <si>
    <t>http://luxwoodtrim.com/luxd-admin/cache/2982/2982-1920x0.jpg</t>
  </si>
  <si>
    <t>http://luxwoodtrim.com/luxd-admin/cache/3016/3016-1920x0.jpg</t>
  </si>
  <si>
    <t>http://luxwoodtrim.com/luxd-admin/cache/4630/4630-1920x0.jpg</t>
  </si>
  <si>
    <t>http://luxwoodtrim.com/luxd-admin/cache/4631/4631-1920x0.jpg</t>
  </si>
  <si>
    <t>http://luxwoodtrim.com/luxd-admin/cache/4573/4573-1920x0.jpg</t>
  </si>
  <si>
    <t>http://luxwoodtrim.com/luxd-admin/cache/4562/4562-1920x0.jpg</t>
  </si>
  <si>
    <t>http://luxwoodtrim.com/luxd-admin/cache/4676/4676-1920x0.jpg</t>
  </si>
  <si>
    <t>WEATHERTECH CHILD SEAT CAR PROTECTOR</t>
  </si>
  <si>
    <t xml:space="preserve">PROTECTEUR DE SIEGE D'AUTO POUR ENFANT  WEATHERTECH </t>
  </si>
  <si>
    <t>WTECH81CSP01BK</t>
  </si>
  <si>
    <t>EMBLÈME DE CAPOT  CHROMÉ</t>
  </si>
  <si>
    <t>http://luxwoodtrim.com/luxd-admin/cache/3018/3018-1920x0.jpg</t>
  </si>
  <si>
    <t>http://luxwoodtrim.com/luxd-admin/cache/3017/3017-1920x0.jpg</t>
  </si>
  <si>
    <t>http://luxwoodtrim.com/luxd-admin/cache/4570/4570-1920x0.jpg</t>
  </si>
  <si>
    <t xml:space="preserve">http://luxwoodtrim.com/luxd-admin/cache/4563/4563-1920x0.jpg </t>
  </si>
  <si>
    <t>http://luxwoodtrim.com/luxd-admin/cache/3011/3011-1920x0.jpg</t>
  </si>
  <si>
    <t>http://luxwoodtrim.com/luxd-admin/cache/3010/3010-1920x0.jpg</t>
  </si>
  <si>
    <t>http://luxwoodtrim.com/luxd-admin/cache/3309/3309-1920x0.jpg</t>
  </si>
  <si>
    <t>http://luxwoodtrim.com/luxd-admin/cache/4559/4559-1920x0.jpg</t>
  </si>
  <si>
    <t>http://luxwoodtrim.com/luxd-admin/cache/4617/4617-1920x0.jpg</t>
  </si>
  <si>
    <t>http://luxwoodtrim.com/luxd-admin/cache/4552/4552-1920x0.jpg</t>
  </si>
  <si>
    <t>http://luxwoodtrim.com/luxd-admin/cache/4560/4560-1920x0.jpg</t>
  </si>
  <si>
    <t>http://luxwoodtrim.com/luxd-admin/cache/4616/4616-1920x0.jpg</t>
  </si>
  <si>
    <t>http://luxwoodtrim.com/luxd-admin/cache/2352/2352-1920x0.jpg</t>
  </si>
  <si>
    <t>http://luxwoodtrim.com/luxd-admin/cache/2351/2351-1920x0.jpg</t>
  </si>
  <si>
    <t>http://luxwoodtrim.com/luxd-admin/cache/2353/2353-1920x0.jpg</t>
  </si>
  <si>
    <t>http://luxwoodtrim.com/luxd-admin/cache/2326/2326-1920x0.jpg</t>
  </si>
  <si>
    <t>http://luxwoodtrim.com/luxd-admin/cache/2329/2329-1920x0.jpg</t>
  </si>
  <si>
    <t>http://luxwoodtrim.com/luxd-admin/cache/2330/2330-1920x0.jpg</t>
  </si>
  <si>
    <t>http://luxwoodtrim.com/luxd-admin/cache/2331/2331-1920x0.jpg</t>
  </si>
  <si>
    <t>http://luxwoodtrim.com/luxd-admin/cache/2332/2332-1920x0.jpg</t>
  </si>
  <si>
    <t>http://luxwoodtrim.com/luxd-admin/cache/2356/2356-1920x0.jpg</t>
  </si>
  <si>
    <t>http://luxwoodtrim.com/luxd-admin/cache/3492/3492-1920x0.jpg</t>
  </si>
  <si>
    <t>http://luxwoodtrim.com/luxd-admin/cache/4701/4701-1920x0.jpg</t>
  </si>
  <si>
    <t>http://luxwoodtrim.com/luxd-admin/cache/4589/4589-1920x0.jpg</t>
  </si>
  <si>
    <t>http://luxwoodtrim.com/luxd-admin/cache/4608/4608-1920x0.jpg</t>
  </si>
  <si>
    <t>http://luxwoodtrim.com/luxd-admin/cache/4607/4607-1920x0.jpg</t>
  </si>
  <si>
    <t>http://luxwoodtrim.com/luxd-admin/cache/4609/4609-1920x0.jpg</t>
  </si>
  <si>
    <t>http://luxwoodtrim.com/luxd-admin/cache/4610/4610-1920x0.jpg</t>
  </si>
  <si>
    <t>http://luxwoodtrim.com/luxd-admin/cache/4700/4700-1920x0.jpg</t>
  </si>
  <si>
    <t>http://luxwoodtrim.com/luxd-admin/cache/4592/4592-1920x0.jpg</t>
  </si>
  <si>
    <t>http://luxwoodtrim.com/luxd-admin/cache/4702/4702-1920x0.jpg</t>
  </si>
  <si>
    <t>http://luxwoodtrim.com/luxd-admin/cache/4591/4591-1920x0.jpg</t>
  </si>
  <si>
    <t>http://luxwoodtrim.com/luxd-admin/cache/4590/4590-1920x0.jpg</t>
  </si>
  <si>
    <t>http://luxwoodtrim.com/luxd-admin/cache/4583/4583-1920x0.jpg</t>
  </si>
  <si>
    <t>http://luxwoodtrim.com/luxd-admin/cache/4587/4587-1920x0.jpg</t>
  </si>
  <si>
    <t>http://luxwoodtrim.com/luxd-admin/cache/4575/4575-1920x0.jpg</t>
  </si>
  <si>
    <t>http://luxwoodtrim.com/luxd-admin/cache/4620/4620-1920x0.jpg</t>
  </si>
  <si>
    <t>http://luxwoodtrim.com/luxd-admin/cache/4576/4576-1920x0.jpg</t>
  </si>
  <si>
    <t>http://luxwoodtrim.com/luxd-admin/cache/4578/4578-1920x0.jpg</t>
  </si>
  <si>
    <t>http://luxwoodtrim.com/luxd-admin/cache/4618/4618-1920x0.jpg</t>
  </si>
  <si>
    <t>http://luxwoodtrim.com/luxd-admin/cache/4623/4623-1920x0.jpg</t>
  </si>
  <si>
    <t>http://luxwoodtrim.com/luxd-admin/cache/4494/4494-1920x0.jpg</t>
  </si>
  <si>
    <t>http://luxwoodtrim.com/luxd-admin/cache/3611/3611-1920x0.jpg</t>
  </si>
  <si>
    <t>http://luxwoodtrim.com/luxd-admin/cache/2871/2871-1920x0.jpg</t>
  </si>
  <si>
    <t>http://luxwoodtrim.com/luxd-admin/cache/2870/2870-1920x0.jpg</t>
  </si>
  <si>
    <t>http://luxwoodtrim.com/luxd-admin/cache/2869/2869-1920x0.jpg</t>
  </si>
  <si>
    <t>http://luxwoodtrim.com/luxd-admin/cache/3497/3497-1920x0.jpg</t>
  </si>
  <si>
    <t>http://luxwoodtrim.com/luxd-admin/cache/3498/3498-1920x0.jpg</t>
  </si>
  <si>
    <t>http://luxwoodtrim.com/luxd-admin/cache/3568/3568-1920x0.jpg</t>
  </si>
  <si>
    <t>http://luxwoodtrim.com/luxd-admin/cache/3569/3569-1920x0.jpg</t>
  </si>
  <si>
    <t>http://luxwoodtrim.com/luxd-admin/cache/3792/3792-1920x0.jpg</t>
  </si>
  <si>
    <t>http://luxwoodtrim.com/luxd-admin/cache/2862/2862-1920x0.jpg</t>
  </si>
  <si>
    <t>http://luxwoodtrim.com/luxd-admin/cache/2345/2345-1920x0.jpg</t>
  </si>
  <si>
    <t>http://luxwoodtrim.com/luxd-admin/cache/2350/2350-1920x0.jpg</t>
  </si>
  <si>
    <t>http://luxwoodtrim.com/luxd-admin/cache/2346/2346-1920x0.jpg</t>
  </si>
  <si>
    <t>http://luxwoodtrim.com/luxd-admin/cache/2347/2347-1920x0.jpg</t>
  </si>
  <si>
    <t>http://luxwoodtrim.com/luxd-admin/cache/2348/2348-1920x0.jpg</t>
  </si>
  <si>
    <t>http://luxwoodtrim.com/luxd-admin/cache/4567/4567-1920x0.jpg</t>
  </si>
  <si>
    <t>Toutes les pièces de Luxwood sont disponibles uniquement en expédition directe.</t>
  </si>
  <si>
    <t xml:space="preserve">Le concessionnaire doit fournir un bon de commande pour commander en procédant comme suit </t>
  </si>
  <si>
    <t>Par courriel : mitsuorders@luxwoodtrim.com</t>
  </si>
  <si>
    <t>Par téléphone : 1 888 324-3274 ou 514 324-3274</t>
  </si>
  <si>
    <t>Dealer must provide a P.O. when placing their orders. Dealers may order as follows:</t>
  </si>
  <si>
    <t>By email: mitsuorders@luxwoodtrim.com</t>
  </si>
  <si>
    <t>Telephone: 1-888-324-3274 or 514-324-3274</t>
  </si>
  <si>
    <t xml:space="preserve"> Categorie</t>
  </si>
  <si>
    <t xml:space="preserve"> Groupe</t>
  </si>
  <si>
    <t>Extérieur</t>
  </si>
  <si>
    <t>Intérieur</t>
  </si>
  <si>
    <t>Extérieur/Interieur</t>
  </si>
  <si>
    <t>Accessoires de protection</t>
  </si>
  <si>
    <t>Luxwood products are only available on a drop ship basis.</t>
  </si>
  <si>
    <t>Most Luxwood orders count towards your accessory targets</t>
  </si>
  <si>
    <t>Moulures laterales</t>
  </si>
  <si>
    <t>Presque toutes les commandes Luxwood sont comptabilisées envers  vos objectifs de pièces!</t>
  </si>
  <si>
    <t>Accents enjoliveurs</t>
  </si>
  <si>
    <t>Luxwood privilégie les commandes par courriel</t>
  </si>
  <si>
    <t>Email orders are the preferred ordering method by Luxwood</t>
  </si>
  <si>
    <t xml:space="preserve"> JEU  DE PHARES ANTIBROUILLARD</t>
  </si>
  <si>
    <t xml:space="preserve"> KIT</t>
  </si>
  <si>
    <t>2023 OUTLANDER PHEV BROCHURE FRENCH</t>
  </si>
  <si>
    <t>2023 OUTLANDER PHEV BROCHURE ENGLISH</t>
  </si>
  <si>
    <t>MZ315258</t>
  </si>
  <si>
    <t>MZ569002EX</t>
  </si>
  <si>
    <t>BROCHURE OUTLANDER PHEV  2022 FRANCAIS</t>
  </si>
  <si>
    <t>BROCHURE OUTLANDER PHEV 2023 ANGLAIS</t>
  </si>
  <si>
    <t>MZ528452EX</t>
  </si>
  <si>
    <t>CONSOLE ACCENT PANEL</t>
  </si>
  <si>
    <t>PANEAU DECORATIF DE CONSOLE</t>
  </si>
  <si>
    <t>MZ315322</t>
  </si>
  <si>
    <t>FUEL LID PHEV</t>
  </si>
  <si>
    <t>TRAPPE À CARBURANT PHEV</t>
  </si>
  <si>
    <t>GT-P</t>
  </si>
  <si>
    <t>Service</t>
  </si>
  <si>
    <r>
      <rPr>
        <b/>
        <sz val="12"/>
        <color theme="1"/>
        <rFont val="MMC OFFICE"/>
      </rPr>
      <t>ANNEE</t>
    </r>
    <r>
      <rPr>
        <b/>
        <sz val="12"/>
        <color rgb="FF000000"/>
        <rFont val="MMC OFFICE"/>
      </rPr>
      <t xml:space="preserve"> MODELE</t>
    </r>
  </si>
  <si>
    <t>Warranty Terms</t>
  </si>
  <si>
    <t>Luxwood will administer all warranty with respect to the products</t>
  </si>
  <si>
    <r>
      <t xml:space="preserve">Dealer is to submit all information and documents to </t>
    </r>
    <r>
      <rPr>
        <b/>
        <u/>
        <sz val="10"/>
        <color rgb="FF000000"/>
        <rFont val="Arial"/>
        <family val="2"/>
      </rPr>
      <t>warranty@luxwoodtrim.com</t>
    </r>
  </si>
  <si>
    <t>Installation related issues such as trim lifting or damaged by improper placement are not covered under the product warranty</t>
  </si>
  <si>
    <r>
      <t xml:space="preserve">Warranty coverage against defects in materials and/or workmanship for all products is </t>
    </r>
    <r>
      <rPr>
        <b/>
        <sz val="10"/>
        <color rgb="FF000000"/>
        <rFont val="Arial"/>
        <family val="2"/>
      </rPr>
      <t>3 (three) years or 60,000 km</t>
    </r>
    <r>
      <rPr>
        <sz val="10"/>
        <color rgb="FF000000"/>
        <rFont val="Arial"/>
        <family val="2"/>
      </rPr>
      <t xml:space="preserve"> from the date of installation, which ever comes first</t>
    </r>
  </si>
  <si>
    <t>Tous les produits Luxwood sont couvert par une garantie minimum de 3 ans ou 60 000km a partir de la date d'installation, selon celui qui survient en premier</t>
  </si>
  <si>
    <t>Conditions de garantie</t>
  </si>
  <si>
    <r>
      <t xml:space="preserve">Les concessionnaires doivent soumettre toutes les informations et document requis a </t>
    </r>
    <r>
      <rPr>
        <b/>
        <u/>
        <sz val="11"/>
        <color theme="1"/>
        <rFont val="Calibri"/>
        <family val="2"/>
        <scheme val="minor"/>
      </rPr>
      <t>warranty@luxwoodtrim.com</t>
    </r>
  </si>
  <si>
    <t>Les problèmes relies a un installation inapproprié ne sont pas couvert par la garantie</t>
  </si>
  <si>
    <t>Moulures latérales</t>
  </si>
  <si>
    <t>Les questions ou réclamations de garantie sont gérer directement par Luxwood</t>
  </si>
  <si>
    <t>MZ314503</t>
  </si>
  <si>
    <t>REAR AIRDAM WHITE DIAMOND W85 CARBON PATTERN W/RED STRIPE</t>
  </si>
  <si>
    <t>PRISE D’AIR DE COIN ARRIÈRE,  BLANC DIAMANT W85  MOTIF CARBONE AVEC BANDE ROUGE</t>
  </si>
  <si>
    <t xml:space="preserve">REAR AIRDAM STARLIGHT SILVER A66 CARBON PATTERN W/RED STRIPE </t>
  </si>
  <si>
    <t>PRISE D’AIR DE COIN ARRIÈRE,   ARGENT LUMIERE D'ETOILE A66 MOTIF CARBONE AVEC BANDE ROUGE</t>
  </si>
  <si>
    <t>REAR AIRDAM SAPPHIRE BLUE T69 CARBON PATTERN W/RED STRIPE</t>
  </si>
  <si>
    <t>PRISE D’AIR DE COIN ARRIÈRE,  BLEU SAPHIRE T69  MOTIF CARBONE AVEC BANDE ROUGE</t>
  </si>
  <si>
    <t>REAR AIRDAM SAND YELLOW Y35 CARBON PATTERN W/RED STRIPE</t>
  </si>
  <si>
    <t>PRISE D’AIR DE COIN ARRIÈRE,  JAUNE SABLON Y35 MOTIF CARBONE AVEC BANDE ROUGE</t>
  </si>
  <si>
    <t>REAR AIRDAM INFRARED P19 CARBON PATTERN W/RED STRIPE</t>
  </si>
  <si>
    <t>PRISE D’AIR DE COIN ARRIÈRE,  INFRAROUGE P19 MOTIF CARBONE AVEC BANDE ROUGE</t>
  </si>
  <si>
    <t xml:space="preserve">REAR AIRDAM WINE RED P57  CARBON PATTERN W/RED STRIPE </t>
  </si>
  <si>
    <t>PRISE D’AIR DE COIN ARRIÈRE,  VIN ROUGE P57 MOTIF CARBONE AVEC BANDE ROUGE</t>
  </si>
  <si>
    <t>FOR VÉHICULES WITH ROOF RAILS - MITSUBISHI BRANDED 110 LBS WEIGHT CAPACITY</t>
  </si>
  <si>
    <t>ECLIPSE CROSS LOGO 4 PC SET</t>
  </si>
  <si>
    <t>MMCA3133</t>
  </si>
  <si>
    <t>MZ315051</t>
  </si>
  <si>
    <t>DOOR HANDLE COVER (BLACK)</t>
  </si>
  <si>
    <t>BLACK LUG NUTS AND WHEEL LOCKS, KEY SET</t>
  </si>
  <si>
    <t>BLACK LUG NUTS SET</t>
  </si>
  <si>
    <t>For Models With Keyless Operation System</t>
  </si>
  <si>
    <t>16 Lug Nuts, 4 Wheel Locks and Key</t>
  </si>
  <si>
    <t>5 Lug Nuts</t>
  </si>
  <si>
    <t>MZ315257</t>
  </si>
  <si>
    <t>MZ315259</t>
  </si>
  <si>
    <t>CLOTH  MATERIAL, REVERSIBLE</t>
  </si>
  <si>
    <t>MZ315321</t>
  </si>
  <si>
    <t>2023PHEVBROE</t>
  </si>
  <si>
    <t>2023PHEVBROF</t>
  </si>
  <si>
    <t>GARNITURE DE COIN ARRIÈRE - NOIR DIAMANT X47</t>
  </si>
  <si>
    <t>AILERON ARRIÈRE BRUN METALLIQUE  C22</t>
  </si>
  <si>
    <t xml:space="preserve">SHIFT KNOB, ALUMINUM &amp; LEATHER </t>
  </si>
  <si>
    <t>CVT ONLY</t>
  </si>
  <si>
    <t>CARGO LINER-RUBBER WITH MUTSUBISHI LOGO</t>
  </si>
  <si>
    <t>EMBLÈME DE CAPOT -NOIR</t>
  </si>
  <si>
    <t>EMBLÈME DE CAPOT -ARGENT</t>
  </si>
  <si>
    <t>TAPIS DE SOL-EN TISSU</t>
  </si>
  <si>
    <t>CLOTH</t>
  </si>
  <si>
    <t>TAILGATE SPOILER, LARGE - SUNRISE ORANGE M11</t>
  </si>
  <si>
    <t>THULE BRAIDED STEEL CABLE LOCK 6 FT</t>
  </si>
  <si>
    <t>THULE SNOWPACK L SKI SNOWBOARD CARRIER</t>
  </si>
  <si>
    <t>GRAND PORTE-SKIS/PLANCHE À NEIGE THULE SNOWPACK</t>
  </si>
  <si>
    <t>ROLL SUNSHADE (LEFT &amp; RIGHT)</t>
  </si>
  <si>
    <t>PARE-SOLEIL STYLE ROULANT (DROITE ET GAUCHE)</t>
  </si>
  <si>
    <t>PARE-SOLEIL STYLE ROULANT (GAUCHE ET DROITE)</t>
  </si>
  <si>
    <t>LED FOG LAMPS AND ASSEMBLY</t>
  </si>
  <si>
    <t>LAMPS AND ASSEMBLY</t>
  </si>
  <si>
    <t>1ST/2ND/3RD SEAT FABRIC</t>
  </si>
  <si>
    <t>PRISE D’AIR DE COIN LATERALES - BLEU SAPHIRE T69</t>
  </si>
  <si>
    <t>THULE BRAIDED STEEL CABLE LOCK 6FT</t>
  </si>
  <si>
    <t>CABLE ANITVOL THULE EN ACIER TRESSÉ 6 PIED</t>
  </si>
  <si>
    <t>WINDOW CLING ENGLISH RIGHT</t>
  </si>
  <si>
    <t>ONE TOUCH SUNSHADE (FRONT WINDOW &amp; FRONT &amp; SIDE)</t>
  </si>
  <si>
    <t>BLACK DIAMOND X47</t>
  </si>
  <si>
    <t>TOUCH UP PAINT PEN  WHITE DIAMOND W85</t>
  </si>
  <si>
    <t>MUD GUARDS - REAR (BLACK)</t>
  </si>
  <si>
    <t>TOUCH UP PAINT PEN INFRARED P19</t>
  </si>
  <si>
    <t>TOUCH UP  PAINT PEN SAND YELLOW Y35</t>
  </si>
  <si>
    <t>TOUCH UP PAINT PEN SAPPHIRE BLUE T69</t>
  </si>
  <si>
    <t>TOUCH UP PAINT PEN STARLIGHT SILVER A66</t>
  </si>
  <si>
    <t>TOUCH UP PAINT  PEN WINE RED P57</t>
  </si>
  <si>
    <t>TOUCH UP PAINT PEN  TITANIUM GRAY U17</t>
  </si>
  <si>
    <t>TOUCH UP PAINT PEN  BRONZE  METALLIC C21</t>
  </si>
  <si>
    <t>TOUCH UP PAINT PEN  OCTANE BLUE D06</t>
  </si>
  <si>
    <t>TOUCH UP PAINT PEN  RED DIAMOND P62</t>
  </si>
  <si>
    <t>TOUCH UP PAINT PEN  STERLING SILVER U25</t>
  </si>
  <si>
    <t>TOUCH UP PAINT PEN  TARMAC BLACK X42</t>
  </si>
  <si>
    <t>STYLO DE RETOUCHE  ROUGE DIAMANT P62</t>
  </si>
  <si>
    <t>STYLO DE RETOUCHE NOIR LABRADOR X42</t>
  </si>
  <si>
    <t>STYLO DE RETOUCHE BRUN METALLIQUE C22</t>
  </si>
  <si>
    <t>STYLO DE RETOUCHE  BLEU OCTANE D06</t>
  </si>
  <si>
    <t>STYLO DE RETOUCHE  ARGENT STERLING U25</t>
  </si>
  <si>
    <t>STYLO DE RETOUCHE  ORANGE M11</t>
  </si>
  <si>
    <t>STYLO DE RETOUCHE  GRIS TITANE U17</t>
  </si>
  <si>
    <t xml:space="preserve">STYLO DE RETOUCHE  BLANC DIAMANT W85 </t>
  </si>
  <si>
    <t>PLAQUES DE SEUIL DE PORTE AVEC LOGO ECLIPSE CROSS (JEU DE 4)</t>
  </si>
  <si>
    <t>THULE EVO WINGBAR 50"</t>
  </si>
  <si>
    <t>BARRES DE CHARGEMENTS EVO WINGBAR THULE 50"</t>
  </si>
  <si>
    <t xml:space="preserve">MITSUBISHI MOTORS LOGO </t>
  </si>
  <si>
    <t>AILERON ARRIÈRE, BRONZE MÉTALLISÉ C17</t>
  </si>
  <si>
    <t>WTECH401450</t>
  </si>
  <si>
    <t>WTECH401449</t>
  </si>
  <si>
    <t>PLATEAU DE COFFRE - WEATHERTECH - PETIT</t>
  </si>
  <si>
    <t>WEATHERTECH CARGO LINER - SMALL</t>
  </si>
  <si>
    <t>MUD GUARDS - FRONT  (BLACK)</t>
  </si>
  <si>
    <t>MMCARF4652AE</t>
  </si>
  <si>
    <t>MZ590931EX</t>
  </si>
  <si>
    <t>CENTER CONSOLE TRAY MAT</t>
  </si>
  <si>
    <t>REVETEMENT POUR RANGEMENT DE LA  CONSOLE CENTRALE</t>
  </si>
  <si>
    <t>SHEET</t>
  </si>
  <si>
    <t>INSTALL SHEETS</t>
  </si>
  <si>
    <t>B PILLAR DECAL</t>
  </si>
  <si>
    <t>SHIFT KNOB (CVT ONLY)</t>
  </si>
  <si>
    <t>MZ590930EX</t>
  </si>
  <si>
    <t>ILLUMINATION LAMP KIT</t>
  </si>
  <si>
    <t>TAILGATE SPOILER -   STERLING SILVER U25</t>
  </si>
  <si>
    <t>MZ315255</t>
  </si>
  <si>
    <t>MZ315324</t>
  </si>
  <si>
    <t>TOW HITCH-HARNESS</t>
  </si>
  <si>
    <t>TOW BALL &amp; MOUNT</t>
  </si>
  <si>
    <t>MZ315326</t>
  </si>
  <si>
    <t>TOW HITCH EXTENSION</t>
  </si>
  <si>
    <t>TOW HITCH, VERTICAL</t>
  </si>
  <si>
    <t>MZ315209</t>
  </si>
  <si>
    <t>TOW HITCH-VERTICAL</t>
  </si>
  <si>
    <t>MZ315327</t>
  </si>
  <si>
    <t>SCUFF PLATES WITH ECLIPSE CROSS LOGO (4 PC SET)</t>
  </si>
  <si>
    <t>SPORTS PEDALS</t>
  </si>
  <si>
    <t>VERROU D'ATTACHE-REMORQUE SNUG TITE THULE</t>
  </si>
  <si>
    <t>ADAPTEUR DE BICYCLE THULE THULE</t>
  </si>
  <si>
    <t>BULLETIN MP-XX-68-17</t>
  </si>
  <si>
    <t>BULLETIN MP-XX-61-22</t>
  </si>
  <si>
    <t>BULLETIN MP-XX-98-22</t>
  </si>
  <si>
    <t>BULLETIN MP-XX-92-19</t>
  </si>
  <si>
    <t>BULLETIN MP-XX-08-22</t>
  </si>
  <si>
    <t>BULLETIN MP-XX-119-21</t>
  </si>
  <si>
    <t>BULLETIN MP-XX-43-23</t>
  </si>
  <si>
    <t>BULLETIN MP-43-23</t>
  </si>
  <si>
    <t xml:space="preserve">10'' HEADREST VIDEO WITH 2 TOUCH SCREEN MONITORS </t>
  </si>
  <si>
    <t>BULLETIN MP-XX-03-23</t>
  </si>
  <si>
    <t>MZ331724</t>
  </si>
  <si>
    <t>FRONT AIRDAM JET BLACK X37</t>
  </si>
  <si>
    <t>MZ331725</t>
  </si>
  <si>
    <t>MZ331728</t>
  </si>
  <si>
    <t>MZ331729</t>
  </si>
  <si>
    <t>MZ331731</t>
  </si>
  <si>
    <t>MZ331730</t>
  </si>
  <si>
    <t>MZ315278</t>
  </si>
  <si>
    <t>MZ607779EX</t>
  </si>
  <si>
    <t>PARK SENSOR KIT, FRONT AND REAR JET BLACK X37</t>
  </si>
  <si>
    <t>MZ607780EX</t>
  </si>
  <si>
    <t>TOUCH UP PAINT  PEN  JET BLACK X37</t>
  </si>
  <si>
    <t>JET BLACK (X37)</t>
  </si>
  <si>
    <t>GRAPHITE GREY (U28)</t>
  </si>
  <si>
    <t>NOIR CVT</t>
  </si>
  <si>
    <t>PRISE D’AIR DE COIN LATERALES - GRIS GRAFFITE U28</t>
  </si>
  <si>
    <t>PRISE D'AIR AVANT NOIR JET X37</t>
  </si>
  <si>
    <t>FRONT AIRDAM GRAPHITE GREY U28</t>
  </si>
  <si>
    <t>CAPTEUR D'ASSISTANCE AU STATIONNEMENT, AVANT/ARRIERE NOIR JET X37</t>
  </si>
  <si>
    <t>CAPTEUR D'ASSISTANCE AU STATIONNEMENT, AVANT/ARRIERE GRIS GRAFFITE U28</t>
  </si>
  <si>
    <t>PRISE D’AIR DE COIN ARRIÈRE,  GRIS GRAFFITE U28 CARBONE AVEC BANDE ROUGE</t>
  </si>
  <si>
    <t>STYLO DE RETOUCHE NOIR JET X37</t>
  </si>
  <si>
    <t>TOUCH UP PAINT  PEN GRAPHITE GREY U28</t>
  </si>
  <si>
    <t>SIDE AIRDAM GRAPHITE GREY U28</t>
  </si>
  <si>
    <t>REAR AIRDAM GRAPHITE  GREY U28</t>
  </si>
  <si>
    <t>PARK SENSOR KIT, FRONT AND REAR GRAPHIE GREY U28</t>
  </si>
  <si>
    <t>PRISE D'AIR AVANT GRIS GRAFFITE U28</t>
  </si>
  <si>
    <t xml:space="preserve">REAR AIRDAM JET BLACK X37 </t>
  </si>
  <si>
    <t>PRISE D’AIR DE COIN ARRIÈRE,  NOIR JET X37 MOTIF CARBONE AVEC BANDE ROUGE</t>
  </si>
  <si>
    <t>SIDE AIRDAM JET BLACK X37</t>
  </si>
  <si>
    <t>PRISE D’AIR DE COIN LATERALES - NOIR JET X37</t>
  </si>
  <si>
    <t xml:space="preserve">TAPIS DE SOL EN CAOUTCHOUC À HAUT REBORD QUATRE SAISONS  </t>
  </si>
  <si>
    <t>FLOOR GUARDS-HIGH EDGE RUBBER</t>
  </si>
  <si>
    <t>CARGO LINER HI EDGE WITH  MITSUBISHI LOGO</t>
  </si>
  <si>
    <t xml:space="preserve">PLATEAU DE COFFRE AVEC LOGO MITSUBISHI À HAUT REBORD </t>
  </si>
  <si>
    <t xml:space="preserve">2024 Mirage  </t>
  </si>
  <si>
    <t>REAR COMBINATION LAMP GARNISH</t>
  </si>
  <si>
    <t>BULLETIN MP-XX-57-14</t>
  </si>
  <si>
    <t>INTERTIOR</t>
  </si>
  <si>
    <t>MMCAMC200</t>
  </si>
  <si>
    <t>DASH CAM - 2 CHANNEL 1080P</t>
  </si>
  <si>
    <t>DASH CAM - 2 CHANNEL 4K</t>
  </si>
  <si>
    <t>MMCAGON4OBD</t>
  </si>
  <si>
    <t>MMCAGONXOBGPS</t>
  </si>
  <si>
    <t>BULLETIN MP-XX-74-23</t>
  </si>
  <si>
    <t>PLAQUES DE SEUIL DE PORTES (JEU DU 4)</t>
  </si>
  <si>
    <t>SCUFF PLATES (SET OF 4)</t>
  </si>
  <si>
    <t>LAMPE DE HAYON ARRIÈRE DEL (BLEUE)</t>
  </si>
  <si>
    <t>DÉMARREUR À DISTANCE D'ORIGINE</t>
  </si>
  <si>
    <t>COUVERCLES DE RÉTROVISEURS CHROMÉS AVEC CLIGNOTANT</t>
  </si>
  <si>
    <t>NOIR AWC</t>
  </si>
  <si>
    <t>ES FWD</t>
  </si>
  <si>
    <t xml:space="preserve">2024 ECLIPSE CROSS BROCHURE ENGLISH </t>
  </si>
  <si>
    <t>2024 ECLIPSE CROSS BROCHURE FRENCH</t>
  </si>
  <si>
    <t>2024ECBROE</t>
  </si>
  <si>
    <t>2024ECBROF</t>
  </si>
  <si>
    <t>2024RVRBROE</t>
  </si>
  <si>
    <t>2024RVRBROF</t>
  </si>
  <si>
    <t>2024 RVR BROCHURE ENGLISH</t>
  </si>
  <si>
    <t>2024 RVR BROCHURE FRENCH</t>
  </si>
  <si>
    <t>BROCHURE RVR 2024 ANGLAIS</t>
  </si>
  <si>
    <t>BROCHURE RVR 2024 FRANCAIS</t>
  </si>
  <si>
    <t>2024MIRBROF</t>
  </si>
  <si>
    <t>2024 MIRAGE BROCHURE ENGLISH</t>
  </si>
  <si>
    <t>2024 MIRAGE BROCHURE FRENCH</t>
  </si>
  <si>
    <t>2024MIRBROE</t>
  </si>
  <si>
    <t>BROCHURE MIRAGE 2024 ANGLAIS</t>
  </si>
  <si>
    <t>BROCHURE MIRAGE 2024 FRANCAIS</t>
  </si>
  <si>
    <t>BROCHURE ECLIPSE CROSS 2024 ANGLAIS</t>
  </si>
  <si>
    <t>BROCHURE ECLIPSE CROSS 2024  FRANCAIS</t>
  </si>
  <si>
    <t>GT-PREMIUM</t>
  </si>
  <si>
    <t>ATTELAGE DE REMORQUE, VERTICAL</t>
  </si>
  <si>
    <t>FAISCEAU DE REMOURQUE</t>
  </si>
  <si>
    <t xml:space="preserve">BOULE DE REMORQUAGE ET PIECE DE MONTAGE </t>
  </si>
  <si>
    <t>EXTENSION D’ATTELAGE</t>
  </si>
  <si>
    <t>KIT D’ÉCLAIRAGE  D'AMBIANCE</t>
  </si>
  <si>
    <t>JEU  DE PORTE-BAGAGES DE TOIT (REQUIS LONGERONS DE TOIT D'USINE OU ACCESSOIRES)</t>
  </si>
  <si>
    <t>REMOTE START 2-WAY TRANSMITTER KIT WITH ANTENNA</t>
  </si>
  <si>
    <t>REMOTE TRANSMITTER 2 WAY CREDIT CARD STYLE 2.4KM RANGE</t>
  </si>
  <si>
    <t>ADVENT VEHICLE ENTERTAINMENT SYSTEM 10" HEADREST VIDEO</t>
  </si>
  <si>
    <t xml:space="preserve">MODULE DE COMMANDE DE DEMARRAGE A DISTANCE AVEC FAISCEAU </t>
  </si>
  <si>
    <t>KIT DE TELECOMMANDE BIDIRECTIONNELLE OLED AVEC ANTENNE</t>
  </si>
  <si>
    <t>KIT DE TELECOMMANDES BIDIRECTIONNELLES AVEC ANTENNE</t>
  </si>
  <si>
    <t>CONTROLE DE VEHICULE SMARTCONTROL IPHONE ET ANDROID AVEC TELECOMMANDE DE STYLE CARTE DE CREDIT</t>
  </si>
  <si>
    <t>TÉLÉCOMMANDE DE STYLE CARTE DE CREDIT BIDIRECTIONNELLE PORTEE DE 2.4 KM</t>
  </si>
  <si>
    <t>REMOTE START 2 WAY OLED PREMIUM TRANSMITTER KIT WITH ANTENNA</t>
  </si>
  <si>
    <t>REMOTE START SMART CONTROL IPHONE &amp; ANDROID CREDIT CARD STYLE</t>
  </si>
  <si>
    <t>CHAUFFE-MOTEUR</t>
  </si>
  <si>
    <t>CONTROLE DE VEHICULE MYCAR2 iPHONE ET ANDROID AVEC LOCALISATION GPS</t>
  </si>
  <si>
    <t>BULLETIN MP-XX-81-23</t>
  </si>
  <si>
    <t>BULLETIN MP-XX-88-23</t>
  </si>
  <si>
    <t>1.25MM PITCH CHROME LOCK NUTS (4PC)</t>
  </si>
  <si>
    <t xml:space="preserve">CARGOTECH SYSTEME DE CONFINEMENT WEATHERTECH </t>
  </si>
  <si>
    <t xml:space="preserve">CARGOTECH SYSTEME DE CONFINEMENT  WEATHERTECH </t>
  </si>
  <si>
    <t>MZ321149</t>
  </si>
  <si>
    <t>MZ321148</t>
  </si>
  <si>
    <t>JEU D'ÉCROUS DE ROUE CHROMÉS (JEU DE 4) - PAS DE 1,25 MM</t>
  </si>
  <si>
    <t>WTECH401676</t>
  </si>
  <si>
    <t>BEHIND 2ND ROW</t>
  </si>
  <si>
    <t>PLATEAU DE COFFRE WEATHERTECH</t>
  </si>
  <si>
    <t>2024 Outlander PHEV</t>
  </si>
  <si>
    <t>MMCA0875</t>
  </si>
  <si>
    <t>GERNERAL</t>
  </si>
  <si>
    <t>( BULLETIN MP-XX-70-23)</t>
  </si>
  <si>
    <t>REQUIRES CORD SET MMCA1008 (BULLETIN MP-XX-70-23)</t>
  </si>
  <si>
    <t>MZ315301</t>
  </si>
  <si>
    <t>GARDE-BOUE ENSEMBLE (AVANT ET ARRIERE)</t>
  </si>
  <si>
    <t>MUDGUARD KIT (INCLUDES FRONTS AND REARS)</t>
  </si>
  <si>
    <t>MZ315319</t>
  </si>
  <si>
    <t>MZ315320</t>
  </si>
  <si>
    <t>MZ315328</t>
  </si>
  <si>
    <t>MZ315331</t>
  </si>
  <si>
    <t>TOW BALL MOUNT</t>
  </si>
  <si>
    <t xml:space="preserve">HIGH EDGE (INCLUDES  FRONT AND REARS) OUTLANDER LOGO </t>
  </si>
  <si>
    <t>BULLETIN MP-XX-06-24</t>
  </si>
  <si>
    <t>ATTELAGE DE REMOURQUE, VERTICAL</t>
  </si>
  <si>
    <t>MZ577082EX</t>
  </si>
  <si>
    <t>TAILGATE SPOILER - GRAPHITE GREY U28</t>
  </si>
  <si>
    <t>MZ577079EX</t>
  </si>
  <si>
    <t>FRONT CORNER GARNISH - GRAPHITE GREY U28</t>
  </si>
  <si>
    <t>REAR CORNER GARNISH - GRAPHITE  GREY U28</t>
  </si>
  <si>
    <t>MZ577081EX</t>
  </si>
  <si>
    <t>MZ577080EX</t>
  </si>
  <si>
    <t>SIDE UNDER GARNISH - GRAPHITE  GREY U28</t>
  </si>
  <si>
    <t>MZ550399EX</t>
  </si>
  <si>
    <t>BODY SIDE DECAL (PHEV)</t>
  </si>
  <si>
    <t>BODY SIDE DECAL (OUTLANDER LOGO)</t>
  </si>
  <si>
    <t>TOUCH UP PAINT PEN - GRAPHITE GRAY U28</t>
  </si>
  <si>
    <r>
      <t xml:space="preserve">10'' HEADREST VIDEO WITH 2 TOUCH SCREEN MONITORS </t>
    </r>
    <r>
      <rPr>
        <b/>
        <sz val="10"/>
        <color theme="1"/>
        <rFont val="MMC OFFICE"/>
      </rPr>
      <t>(BULLETIN  MP-XX-53-20)</t>
    </r>
  </si>
  <si>
    <r>
      <t xml:space="preserve">FOR USE WITH MMCAADVSB10UHD </t>
    </r>
    <r>
      <rPr>
        <b/>
        <sz val="10"/>
        <color theme="1"/>
        <rFont val="MMC OFFICE"/>
      </rPr>
      <t>(BULLETIN  MP-XX-53-20)</t>
    </r>
  </si>
  <si>
    <r>
      <t xml:space="preserve">ALL WEATHER FLOOR MATS  HIGH EDGE  </t>
    </r>
    <r>
      <rPr>
        <b/>
        <sz val="10"/>
        <rFont val="MMC OFFICE"/>
      </rPr>
      <t>RUBBER</t>
    </r>
    <r>
      <rPr>
        <sz val="10"/>
        <rFont val="MMC OFFICE"/>
      </rPr>
      <t xml:space="preserve">  (FRONT &amp; REAR SET)</t>
    </r>
  </si>
  <si>
    <r>
      <t xml:space="preserve">TAPIS DE SOL </t>
    </r>
    <r>
      <rPr>
        <b/>
        <sz val="10"/>
        <rFont val="MMC OFFICE"/>
      </rPr>
      <t>EN CAOUTCHOUC</t>
    </r>
    <r>
      <rPr>
        <sz val="10"/>
        <rFont val="MMC OFFICE"/>
      </rPr>
      <t xml:space="preserve"> À HAUT REBORD QUATRE SAISONS (AVANT ET ARRIERE)</t>
    </r>
  </si>
  <si>
    <r>
      <t>CARGO MAT-</t>
    </r>
    <r>
      <rPr>
        <b/>
        <sz val="10"/>
        <color theme="1"/>
        <rFont val="MMC OFFICE"/>
      </rPr>
      <t>CLOTH</t>
    </r>
  </si>
  <si>
    <r>
      <t>TAPIS D'ESPACE DE CHARGEMENT-</t>
    </r>
    <r>
      <rPr>
        <b/>
        <sz val="10"/>
        <color theme="1"/>
        <rFont val="MMC OFFICE"/>
      </rPr>
      <t>EN TISSU</t>
    </r>
  </si>
  <si>
    <r>
      <t>FLOOR MATS 1ST/2ND/3RD ROW SEAT-</t>
    </r>
    <r>
      <rPr>
        <b/>
        <sz val="10"/>
        <color theme="1"/>
        <rFont val="MMC OFFICE"/>
      </rPr>
      <t>FABRIC</t>
    </r>
  </si>
  <si>
    <r>
      <t>TAPIS DE SOL  (1</t>
    </r>
    <r>
      <rPr>
        <vertAlign val="superscript"/>
        <sz val="10"/>
        <color theme="1"/>
        <rFont val="MMC OFFICE"/>
      </rPr>
      <t>RE</t>
    </r>
    <r>
      <rPr>
        <sz val="10"/>
        <color theme="1"/>
        <rFont val="MMC OFFICE"/>
      </rPr>
      <t>, 2</t>
    </r>
    <r>
      <rPr>
        <vertAlign val="superscript"/>
        <sz val="10"/>
        <color theme="1"/>
        <rFont val="MMC OFFICE"/>
      </rPr>
      <t>E</t>
    </r>
    <r>
      <rPr>
        <sz val="10"/>
        <color theme="1"/>
        <rFont val="MMC OFFICE"/>
      </rPr>
      <t xml:space="preserve"> ET 3</t>
    </r>
    <r>
      <rPr>
        <vertAlign val="superscript"/>
        <sz val="10"/>
        <color theme="1"/>
        <rFont val="MMC OFFICE"/>
      </rPr>
      <t>E</t>
    </r>
    <r>
      <rPr>
        <sz val="10"/>
        <color theme="1"/>
        <rFont val="MMC OFFICE"/>
      </rPr>
      <t xml:space="preserve"> RANGÉES) </t>
    </r>
    <r>
      <rPr>
        <b/>
        <sz val="10"/>
        <color theme="1"/>
        <rFont val="MMC OFFICE"/>
      </rPr>
      <t>EN TISSU</t>
    </r>
  </si>
  <si>
    <r>
      <t xml:space="preserve">FOG LAMPS </t>
    </r>
    <r>
      <rPr>
        <b/>
        <sz val="10"/>
        <color theme="1"/>
        <rFont val="MMC OFFICE"/>
      </rPr>
      <t>(KIT)</t>
    </r>
  </si>
  <si>
    <r>
      <t xml:space="preserve">RUNNING BOARDS- SILVER  </t>
    </r>
    <r>
      <rPr>
        <b/>
        <sz val="10"/>
        <rFont val="MMC OFFICE"/>
      </rPr>
      <t>(SET OF 2)</t>
    </r>
  </si>
  <si>
    <r>
      <t xml:space="preserve">MARCHEPIEDS-NOIRS </t>
    </r>
    <r>
      <rPr>
        <b/>
        <sz val="10"/>
        <rFont val="MMC OFFICE"/>
      </rPr>
      <t>(ENSEMBLE DE 2)</t>
    </r>
  </si>
  <si>
    <r>
      <t xml:space="preserve">SIDE BAR SET </t>
    </r>
    <r>
      <rPr>
        <b/>
        <sz val="10"/>
        <color theme="1"/>
        <rFont val="MMC OFFICE"/>
      </rPr>
      <t>(DECORATIVE)</t>
    </r>
  </si>
  <si>
    <r>
      <t xml:space="preserve">MARCHEPIEDS LATÉRIAUX </t>
    </r>
    <r>
      <rPr>
        <b/>
        <sz val="10"/>
        <color theme="1"/>
        <rFont val="MMC OFFICE"/>
      </rPr>
      <t>(DECORATIF)</t>
    </r>
  </si>
  <si>
    <r>
      <t>ENGLISH</t>
    </r>
    <r>
      <rPr>
        <b/>
        <sz val="10"/>
        <color theme="1"/>
        <rFont val="MMC OFFICE"/>
      </rPr>
      <t xml:space="preserve"> (BULLETIN MP-XX-103-23)</t>
    </r>
  </si>
  <si>
    <r>
      <t>ENGLISH</t>
    </r>
    <r>
      <rPr>
        <b/>
        <sz val="10"/>
        <color theme="1"/>
        <rFont val="MMC OFFICE"/>
      </rPr>
      <t xml:space="preserve"> (BULLETIN MP-XX-101-23)</t>
    </r>
  </si>
  <si>
    <r>
      <t>FRENCH</t>
    </r>
    <r>
      <rPr>
        <b/>
        <sz val="10"/>
        <color theme="1"/>
        <rFont val="MMC OFFICE"/>
      </rPr>
      <t xml:space="preserve"> (BULLETIN MP-XX-101-23)</t>
    </r>
  </si>
  <si>
    <t>Image</t>
  </si>
  <si>
    <t>Install Sheet</t>
  </si>
  <si>
    <t>MZ590912EX</t>
  </si>
  <si>
    <t>PROJECTION ILLUMINATION</t>
  </si>
  <si>
    <t>GT-N</t>
  </si>
  <si>
    <t xml:space="preserve"> PORTE-BAGAGES DE TOIT (REQUIERT LONGERONS DE TOIT D'USINE OU ACCESSOIRES)</t>
  </si>
  <si>
    <t>CARGO LINER (RUBBER)</t>
  </si>
  <si>
    <t>REVÊTEMENT DE COMPARTIMENT DE CHARGE (CAOUTCHOUC)</t>
  </si>
  <si>
    <t>GARNITURE DE COIN AVANT - GRIS GRAPHITE U28</t>
  </si>
  <si>
    <t>AUTOCOLLANTS DE CARROSSERIE LATÉRAUX  (LOGO OUTLANDER)</t>
  </si>
  <si>
    <t>AUTOCOLLANTS DE CARROSSERIE LATÉRAUX   (LOGO PHEV)</t>
  </si>
  <si>
    <t>GARNITURE DE COIN ARRIÈRE - GRIS GRAPHITE U28</t>
  </si>
  <si>
    <t>GARNITURE INFÉRIEURE LATÉRALE - GRIS GRAPHITE U28</t>
  </si>
  <si>
    <t>AILERON ARRIÈRE, GRIS GRAPHITE U28</t>
  </si>
  <si>
    <t>STYLO DE RETOUCHE - GRIS GRAPHITE U28</t>
  </si>
  <si>
    <t>GRAPHITE GRAY U28</t>
  </si>
  <si>
    <t>ENJOLIVEURS DE POIGNEES DE PORTES - NOIR</t>
  </si>
  <si>
    <t>ENJOLIVEURS DE POIGNEES DE PORTES- CHROMÉES</t>
  </si>
  <si>
    <t>PROJECTEUR D'ILLUMINATION</t>
  </si>
  <si>
    <t>SOLD AS A SET</t>
  </si>
  <si>
    <t>MZ315461</t>
  </si>
  <si>
    <t>MZ360655EX</t>
  </si>
  <si>
    <t>FLOOR MAT SET</t>
  </si>
  <si>
    <t>SIDE UNDER GARNISH - GRAPHITE GREY U28</t>
  </si>
  <si>
    <t>MZ590938EX</t>
  </si>
  <si>
    <t>CENTER CONSOLE TRAY MAT (MAT ONLY)</t>
  </si>
  <si>
    <t>MZ590999EX</t>
  </si>
  <si>
    <t>MZ553199EX</t>
  </si>
  <si>
    <t>MZ553200EX</t>
  </si>
  <si>
    <t>MZ553201EX</t>
  </si>
  <si>
    <t>MZ315470</t>
  </si>
  <si>
    <t>MZ577127EX</t>
  </si>
  <si>
    <t>REAR BUMPER PLATE</t>
  </si>
  <si>
    <t>MZ577099EX</t>
  </si>
  <si>
    <t>MZ577100EX</t>
  </si>
  <si>
    <t>MZ577101EX</t>
  </si>
  <si>
    <t>MZ577102EX</t>
  </si>
  <si>
    <t>MZ577103EX</t>
  </si>
  <si>
    <t>MZ577104EX</t>
  </si>
  <si>
    <t>MZ577105EX</t>
  </si>
  <si>
    <t>MZ315484</t>
  </si>
  <si>
    <t>MZ590981EX</t>
  </si>
  <si>
    <t>MZ360761EX</t>
  </si>
  <si>
    <t>MZ360763EX</t>
  </si>
  <si>
    <t>MZ360764EX</t>
  </si>
  <si>
    <t>MZ360765EX</t>
  </si>
  <si>
    <t>MZ360766EX</t>
  </si>
  <si>
    <t>MZ360767EX</t>
  </si>
  <si>
    <t>MZ360768EX</t>
  </si>
  <si>
    <t>JEU DE TAPIS DE SOL</t>
  </si>
  <si>
    <t>REAR PARKING SENSOR WHITE DIAMOND W85</t>
  </si>
  <si>
    <t xml:space="preserve">REAR PARKING SENSOR KIT RED DIAMOND P62 </t>
  </si>
  <si>
    <t>REAR PARKING SENSOR KIT TARMAC  BLACK X42</t>
  </si>
  <si>
    <t>REAR PARKING SENSOR KIT STERLING SILVER U25</t>
  </si>
  <si>
    <t>REAR PARKING SENSOR KIT TITANIUM GRAY U17</t>
  </si>
  <si>
    <t>REAR PARKING SENSOR KIT OCTANE BLUE D06</t>
  </si>
  <si>
    <t>REAR PARKING SENSOR BRONZE METALLIC C21</t>
  </si>
  <si>
    <t>4 SENSORS + SWITCH P62</t>
  </si>
  <si>
    <t>4 SENSORS + SWITCH X42</t>
  </si>
  <si>
    <t>4 SENSORS + SWITCH U25</t>
  </si>
  <si>
    <t>4 SENSORS + SWITCH U17</t>
  </si>
  <si>
    <t>4 SENSORS + SWITCH D06</t>
  </si>
  <si>
    <t>4 SENSORS + SWITCH C21</t>
  </si>
  <si>
    <t>4 SENSORS + SWITCH W85</t>
  </si>
  <si>
    <t>STYLO DE RETOUCHE GRIS GRAPHITE U28</t>
  </si>
  <si>
    <t>2" ball/mount</t>
  </si>
  <si>
    <t>MZ315491</t>
  </si>
  <si>
    <t xml:space="preserve">HIGH EDGE TYPE ( INCLUDES FRONTS AND REARS) OUTLANDER LOGO </t>
  </si>
  <si>
    <t>MZ315476</t>
  </si>
  <si>
    <t>MZ360829EX</t>
  </si>
  <si>
    <t>2025OUTBROE</t>
  </si>
  <si>
    <t>2025OUTBROF</t>
  </si>
  <si>
    <t>2025 OUTLANDER BROCHURE ENGLISH</t>
  </si>
  <si>
    <t>2025 OUTLANDER BROCHURE FRENCH</t>
  </si>
  <si>
    <t>BROCHURE OUTLANDER 2025 ANGLAIS</t>
  </si>
  <si>
    <t>2025 Eclipse Cross</t>
  </si>
  <si>
    <t>MZ577094EX</t>
  </si>
  <si>
    <t>PROTECTEUR À COFFRE AVEC CROCHET</t>
  </si>
  <si>
    <t>CENTER CONSOLE TRAY LIGHT (LIGHT ONLY)</t>
  </si>
  <si>
    <t>CENTER CONSOLE TRAY LIGHT (LIGHT AND MAT)</t>
  </si>
  <si>
    <t>EMETTEUR-RECEPTEUR BLE LORA  BIDIRECTIONELLE (CÂBLE VENDU SEPAREMENT)</t>
  </si>
  <si>
    <t>TÉLÉCOMMANDE DE STYLE CARTE DE CRÉDIT BIDIRECTIONNELLE PORTEE DE 2.4 KM</t>
  </si>
  <si>
    <t>KIT DE TÉLÉCOMMANDES BIDIRECTIONNELLES AVEC ANTENNE</t>
  </si>
  <si>
    <t>CONTROLE DE VEHICULE SMARTCONTROL IPHONE ET ANDROID AVEC TÉLÉCOMMANDE DE STYLE CARTE DE CREDIT</t>
  </si>
  <si>
    <t>CONTROLE DE VEHICULE MYCAR2 iPHONE ET ANDROID AVEC LOCALISATION GPS INSTANTANÉE</t>
  </si>
  <si>
    <t>CABLE ANTIVOL THULE EN ACIER TRESSÉ</t>
  </si>
  <si>
    <t>2025 RVR</t>
  </si>
  <si>
    <t>MZ577106EX</t>
  </si>
  <si>
    <t>TOUCH UP PAINT PEN -  MOON STONE GRAY METALLIC U35</t>
  </si>
  <si>
    <t>MOON STONE GRAY METALLIC U35</t>
  </si>
  <si>
    <t>SYSTÈME DE DIVERTISSEMENT POUR VÉHICULE ADVENT ÉCRAN D'APPUI-TETE À 10"</t>
  </si>
  <si>
    <t>ES 
S-AWC</t>
  </si>
  <si>
    <t>SE 
S-AWC</t>
  </si>
  <si>
    <t>LE 
S-AWC</t>
  </si>
  <si>
    <t>SEL 
S-AWC</t>
  </si>
  <si>
    <t>GT 
S-AWC</t>
  </si>
  <si>
    <t>GT PREM 
S-AWC</t>
  </si>
  <si>
    <t>MZ319010</t>
  </si>
  <si>
    <t>DÉMARREUR À DISTANCE -REMPLACEMENT DU FOB SEULEMENT</t>
  </si>
  <si>
    <t>GARDE-BOUE ENSEMBLE (AVANT ET ARRIÈRE)</t>
  </si>
  <si>
    <t>ÉCLAIRAGE DE LA CONSOLE CENTRALE</t>
  </si>
  <si>
    <t>ÉCLAIRAGE DE LA CONSOLE CENTRALE (AVEC TAPIS)</t>
  </si>
  <si>
    <t>PROTECTEUR PARE-CHOCS ARRIÈRE</t>
  </si>
  <si>
    <t>CARGOTECH SYSTÈME DE CONFINEMENT WEATHERTECH</t>
  </si>
  <si>
    <t>FLECHE AUTOCOLLANTE ANGLAIS GAUCHE</t>
  </si>
  <si>
    <t>FLECHE AUTOCOLLANTE ANGLAIS DROIT</t>
  </si>
  <si>
    <t>FLECHE AUTOCOLLANTE FRANCAIS GAUCHE</t>
  </si>
  <si>
    <t>FLECHE AUTOCOLLANTE FRANCAIS DROIT</t>
  </si>
  <si>
    <t>BROCHURE OUTLANDER 2025 FRANÇAIS</t>
  </si>
  <si>
    <t>STYLO DE RETOUCHE - GRIS PIERRE DE LUNE MÉTALLIQUE U35</t>
  </si>
  <si>
    <t>AILERON ARRIÈRE, GRIS PIERRE DE LUNE MÉTALLIQUE U35</t>
  </si>
  <si>
    <t>TROUSSE DE TÉLÉCOMMANDE BIDIRECTIONNELLE OLED AVEC ANTENNE</t>
  </si>
  <si>
    <t>ÉCLAIRAGE DU BOUCLIER DYNAMIQUE</t>
  </si>
  <si>
    <t>REVÊTEMENT POUR RANGEMENT DE LA CONSOLE CENTRALE</t>
  </si>
  <si>
    <t>INFRARED (P19)  SET OF 4</t>
  </si>
  <si>
    <t>MYSTIC BLACK (X08) SET OF 4</t>
  </si>
  <si>
    <t>SAND YELLOW (Y35) SET OF 4</t>
  </si>
  <si>
    <t>SAPPHIRE BLUE (T69) SET OF 4</t>
  </si>
  <si>
    <t>STARLIGHT SILVER (A66) SET OF 4</t>
  </si>
  <si>
    <t>WHITE DIAMOND (W85) SET OF 4</t>
  </si>
  <si>
    <t>WINE RED (P57) SET OF 4</t>
  </si>
  <si>
    <t>Noir</t>
  </si>
  <si>
    <t>CROSSBAR SET - FOR VEHICLES WITH ROOF RAILS</t>
  </si>
  <si>
    <t xml:space="preserve">REMOTE START TRANSMITTER FOR BLE/LORA </t>
  </si>
  <si>
    <t xml:space="preserve">TÉLÉCOMMANDES POUR BLE/LORA </t>
  </si>
  <si>
    <t>PORTE-KAYAK ET SUP THULE COMPASS</t>
  </si>
  <si>
    <t>Not included in Catalog</t>
  </si>
  <si>
    <t>REQUIRES FACTORY OR ACCESORY ROOF RAILS</t>
  </si>
  <si>
    <t>FLOOR MATS 1ST/2ND/3RD ROW SEAT CLOTH MATS</t>
  </si>
  <si>
    <r>
      <t xml:space="preserve">ALL WEATHER FLOOR MATS - HIGH EDGE </t>
    </r>
    <r>
      <rPr>
        <b/>
        <sz val="10"/>
        <color theme="1"/>
        <rFont val="MMC OFFICE"/>
      </rPr>
      <t>(FRONT AND REAR)</t>
    </r>
  </si>
  <si>
    <r>
      <t xml:space="preserve">TAPIS DE SOL EN CAOUTCHOUC À HAUT REBORD QUATRE SAISONS </t>
    </r>
    <r>
      <rPr>
        <b/>
        <sz val="10"/>
        <color theme="1"/>
        <rFont val="MMC OFFICE"/>
      </rPr>
      <t>(AVANT &amp; ARRIÈRE)</t>
    </r>
  </si>
  <si>
    <r>
      <t xml:space="preserve">BLACK LUG NUTS  (16 PC) AND WHEEL LOCKS SET  </t>
    </r>
    <r>
      <rPr>
        <b/>
        <sz val="10"/>
        <color theme="1"/>
        <rFont val="MMC OFFICE"/>
      </rPr>
      <t>(4 PC)</t>
    </r>
  </si>
  <si>
    <r>
      <t xml:space="preserve">ÉCROUS DE ROUE EN NOIR (JEU DE 16) ET ÉCROUS DE VERROUILLAGE DE ROUE </t>
    </r>
    <r>
      <rPr>
        <b/>
        <sz val="10"/>
        <color theme="1"/>
        <rFont val="MMC OFFICE"/>
      </rPr>
      <t>(JEU DE 4)</t>
    </r>
  </si>
  <si>
    <r>
      <t xml:space="preserve">1.25MM PITCH BLACK LOCK NUTS( 4PC) + LUG NUTS (16PC)   </t>
    </r>
    <r>
      <rPr>
        <b/>
        <sz val="10"/>
        <color theme="1"/>
        <rFont val="MMC OFFICE"/>
      </rPr>
      <t>BULLETIN MP-XX-03-23</t>
    </r>
  </si>
  <si>
    <r>
      <t xml:space="preserve">FLOOR ILLUMINATION - INTERIOR </t>
    </r>
    <r>
      <rPr>
        <b/>
        <sz val="10"/>
        <color theme="3"/>
        <rFont val="MMC OFFICE"/>
      </rPr>
      <t xml:space="preserve"> (BLUE)</t>
    </r>
  </si>
  <si>
    <r>
      <t xml:space="preserve">KIT D'ÉCLAIRAGE DE SOL </t>
    </r>
    <r>
      <rPr>
        <b/>
        <sz val="10"/>
        <color theme="3"/>
        <rFont val="MMC OFFICE"/>
      </rPr>
      <t>(BLEU)</t>
    </r>
  </si>
  <si>
    <r>
      <t>TAPIS DE SOL  (1</t>
    </r>
    <r>
      <rPr>
        <vertAlign val="superscript"/>
        <sz val="10"/>
        <color theme="1"/>
        <rFont val="MMC OFFICE"/>
      </rPr>
      <t>RE</t>
    </r>
    <r>
      <rPr>
        <sz val="10"/>
        <color theme="1"/>
        <rFont val="MMC OFFICE"/>
      </rPr>
      <t>, 2</t>
    </r>
    <r>
      <rPr>
        <vertAlign val="superscript"/>
        <sz val="10"/>
        <color theme="1"/>
        <rFont val="MMC OFFICE"/>
      </rPr>
      <t>E</t>
    </r>
    <r>
      <rPr>
        <sz val="10"/>
        <color theme="1"/>
        <rFont val="MMC OFFICE"/>
      </rPr>
      <t xml:space="preserve"> ET 3</t>
    </r>
    <r>
      <rPr>
        <vertAlign val="superscript"/>
        <sz val="10"/>
        <color theme="1"/>
        <rFont val="MMC OFFICE"/>
      </rPr>
      <t>E</t>
    </r>
    <r>
      <rPr>
        <sz val="10"/>
        <color theme="1"/>
        <rFont val="MMC OFFICE"/>
      </rPr>
      <t xml:space="preserve"> RANGÉES)</t>
    </r>
  </si>
  <si>
    <r>
      <t xml:space="preserve">MUDGUARDS - FRONT - </t>
    </r>
    <r>
      <rPr>
        <b/>
        <sz val="10"/>
        <color theme="1"/>
        <rFont val="MMC OFFICE"/>
      </rPr>
      <t>BLACK</t>
    </r>
  </si>
  <si>
    <r>
      <t xml:space="preserve">GARDE-BOUE AVANT </t>
    </r>
    <r>
      <rPr>
        <b/>
        <sz val="10"/>
        <color theme="1"/>
        <rFont val="MMC OFFICE"/>
      </rPr>
      <t>NOIR</t>
    </r>
  </si>
  <si>
    <r>
      <t>MATERIAL BLACK (</t>
    </r>
    <r>
      <rPr>
        <b/>
        <sz val="10"/>
        <color theme="1"/>
        <rFont val="MMC OFFICE"/>
      </rPr>
      <t>BULLETIN MP-XX-03-23)</t>
    </r>
  </si>
  <si>
    <r>
      <t xml:space="preserve">MUDGUARDS - REAR - </t>
    </r>
    <r>
      <rPr>
        <b/>
        <sz val="10"/>
        <color theme="1"/>
        <rFont val="MMC OFFICE"/>
      </rPr>
      <t>BLACK</t>
    </r>
  </si>
  <si>
    <r>
      <t xml:space="preserve">GARDE-BOUE ARRIÈRE </t>
    </r>
    <r>
      <rPr>
        <b/>
        <sz val="10"/>
        <color theme="1"/>
        <rFont val="MMC OFFICE"/>
      </rPr>
      <t>NOIR</t>
    </r>
  </si>
  <si>
    <r>
      <t>FRONT AND REAR KIT (</t>
    </r>
    <r>
      <rPr>
        <b/>
        <sz val="10"/>
        <rFont val="MMC OFFICE"/>
      </rPr>
      <t>BULLETIN MP-XX-18-24)</t>
    </r>
  </si>
  <si>
    <r>
      <t xml:space="preserve">NON-GENUINE - 2 WAY TRANSMITTER KIT W/ ANNTENNA &amp; 2 X 5 BUTTOM 2-WAY TRANSMITTERS  </t>
    </r>
    <r>
      <rPr>
        <b/>
        <sz val="10"/>
        <color theme="1"/>
        <rFont val="MMC OFFICE"/>
      </rPr>
      <t>(BULLETIN MP-XX-35-21)</t>
    </r>
  </si>
  <si>
    <r>
      <t xml:space="preserve">NON GENUINE 2-WAY CREDIT CARD STYLE REMOTE TRANSMITTER  </t>
    </r>
    <r>
      <rPr>
        <b/>
        <sz val="10"/>
        <color theme="1"/>
        <rFont val="MMC OFFICE"/>
      </rPr>
      <t>(BULLETIN MP-XX-35-21)</t>
    </r>
  </si>
  <si>
    <r>
      <t xml:space="preserve">SMART CONTROL IPHONE 7 ANDROID VEHICLE CONTROL CREDIT CARD STYLE </t>
    </r>
    <r>
      <rPr>
        <b/>
        <sz val="10"/>
        <color theme="1"/>
        <rFont val="MMC OFFICE"/>
      </rPr>
      <t xml:space="preserve"> (BULLETIN MP-XX-35-21)</t>
    </r>
  </si>
  <si>
    <r>
      <t xml:space="preserve">NON-GENUINE - REQUIRED FOR ALL REMOTE START ACCESSORIES  </t>
    </r>
    <r>
      <rPr>
        <b/>
        <sz val="10"/>
        <color theme="1"/>
        <rFont val="MMC OFFICE"/>
      </rPr>
      <t>(BULLETIN MP-XX-35-21)</t>
    </r>
  </si>
  <si>
    <r>
      <t xml:space="preserve">NON-GENUINE - SMARTPHONE APP, LONG RANGE, 3 YR SUBSCRIPTION INCLUDED  </t>
    </r>
    <r>
      <rPr>
        <b/>
        <sz val="10"/>
        <color theme="1"/>
        <rFont val="MMC OFFICE"/>
      </rPr>
      <t>(BULLETIN MP-XX-35-21)</t>
    </r>
  </si>
  <si>
    <r>
      <t xml:space="preserve">NON-GENUINE - BLUETOOTH SMARTPHONE APP, NO SUBSCRIPTION  </t>
    </r>
    <r>
      <rPr>
        <b/>
        <sz val="10"/>
        <color theme="1"/>
        <rFont val="MMC OFFICE"/>
      </rPr>
      <t>(BULLETIN MP-XX-35-21)</t>
    </r>
  </si>
  <si>
    <r>
      <t xml:space="preserve">MARCHEPIEDS LATÉRAUX </t>
    </r>
    <r>
      <rPr>
        <b/>
        <sz val="10"/>
        <color theme="1"/>
        <rFont val="MMC OFFICE"/>
      </rPr>
      <t>(DÉCORATIF)</t>
    </r>
  </si>
  <si>
    <t>MZ577108EX</t>
  </si>
  <si>
    <t>MZ577107EX</t>
  </si>
  <si>
    <t>HOOD GARNISH - GLOSS BLACK + CHROME</t>
  </si>
  <si>
    <t>HOOD GARNISH - MATTE BLACK</t>
  </si>
  <si>
    <t>GARNITURE DE CAPOT - NOIRE + CHROMÉE</t>
  </si>
  <si>
    <t>PLAQUE DE PROTECTION AVANT - FINI CHROMÉE</t>
  </si>
  <si>
    <t>GARNITURE DE CAPOT - MATTE + NOIRE</t>
  </si>
  <si>
    <t>SIDE PROTECTORS</t>
  </si>
  <si>
    <t>PROTECTEURS LATÉRAUX</t>
  </si>
  <si>
    <t>REAR PROTECTOR</t>
  </si>
  <si>
    <t>MZ577089EX</t>
  </si>
  <si>
    <t>MZ577087EX</t>
  </si>
  <si>
    <t>MZ577088EX</t>
  </si>
  <si>
    <t>PROTECTEUR ARRIÈRE</t>
  </si>
  <si>
    <t>PROTECTEURS DES COINS AVANT</t>
  </si>
  <si>
    <t>PANNEAUX D'INTERUPTEUR DE PORTE CARBONE</t>
  </si>
  <si>
    <t>GARNITURE DE HAYON CHROMÉE</t>
  </si>
  <si>
    <t>2025 Outlander</t>
  </si>
  <si>
    <t>MZ531494EX</t>
  </si>
  <si>
    <t>MZ531493EX</t>
  </si>
  <si>
    <t>MUD FLAPS - BLACK RUBBER WITH OUTLANDER LOGO</t>
  </si>
  <si>
    <t>MUD FLAPS - RED RUBBER WITH OUTLANDER LOGO</t>
  </si>
  <si>
    <t>GARDE-BOUE - CAOUTCHOUC NOIRE AVEC LOGO OUTLANDER</t>
  </si>
  <si>
    <t>GARDE-BOUE - CAOUTCHOUC ROUGE AVEC LOGO OUTLANDER</t>
  </si>
  <si>
    <r>
      <t xml:space="preserve">FOR USE WITH MMCAADVSB10UHD </t>
    </r>
    <r>
      <rPr>
        <b/>
        <sz val="10"/>
        <color theme="1"/>
        <rFont val="Calibri"/>
        <family val="2"/>
        <scheme val="minor"/>
      </rPr>
      <t>(BULLETIN  MP-XX-53-20)</t>
    </r>
  </si>
  <si>
    <r>
      <t xml:space="preserve">ALL SEASON RUBBER MATS </t>
    </r>
    <r>
      <rPr>
        <b/>
        <sz val="10"/>
        <color rgb="FFFF0000"/>
        <rFont val="MMC OFFICE"/>
      </rPr>
      <t>ECLIPSE CROSS</t>
    </r>
  </si>
  <si>
    <r>
      <t xml:space="preserve">TAPIS DE SOL EN CAOUTCHOUC QUATRE SAISONS  </t>
    </r>
    <r>
      <rPr>
        <b/>
        <sz val="10"/>
        <color rgb="FFFF0000"/>
        <rFont val="MMC OFFICE"/>
      </rPr>
      <t>ECLIPSE CROSS</t>
    </r>
  </si>
  <si>
    <r>
      <t>ALL SEASON FLOOR MATS</t>
    </r>
    <r>
      <rPr>
        <b/>
        <sz val="10"/>
        <color theme="1"/>
        <rFont val="MMC OFFICE"/>
      </rPr>
      <t xml:space="preserve"> </t>
    </r>
    <r>
      <rPr>
        <b/>
        <sz val="10"/>
        <color rgb="FFFF0000"/>
        <rFont val="MMC OFFICE"/>
      </rPr>
      <t>ECLIPSE CROSS</t>
    </r>
  </si>
  <si>
    <t>FRONT CORNER PROTECTORS</t>
  </si>
  <si>
    <r>
      <t xml:space="preserve">1 1/4" RECEIVER </t>
    </r>
    <r>
      <rPr>
        <b/>
        <sz val="10"/>
        <color theme="1"/>
        <rFont val="MMC OFFICE"/>
      </rPr>
      <t>(BULLETIN MP-XX-33-21)</t>
    </r>
  </si>
  <si>
    <r>
      <t xml:space="preserve">ALL SEASON FLOOR GUARDS </t>
    </r>
    <r>
      <rPr>
        <b/>
        <sz val="10"/>
        <color theme="1"/>
        <rFont val="MMC OFFICE"/>
      </rPr>
      <t>(FRONTS AND REAR SET)</t>
    </r>
  </si>
  <si>
    <r>
      <t xml:space="preserve">TAPIS DE SOL EN CAOUTCHOUC QUATRE SAISONS </t>
    </r>
    <r>
      <rPr>
        <b/>
        <sz val="10"/>
        <color theme="1"/>
        <rFont val="MMC OFFICE"/>
      </rPr>
      <t>(AVANT ET ARRIERE)</t>
    </r>
  </si>
  <si>
    <r>
      <t xml:space="preserve">INCLUDES FRONTS AND REARS </t>
    </r>
    <r>
      <rPr>
        <b/>
        <sz val="10"/>
        <color theme="1"/>
        <rFont val="MMC OFFICE"/>
      </rPr>
      <t>(BULLETIN MP-XX-03-23)</t>
    </r>
  </si>
  <si>
    <r>
      <t xml:space="preserve">CARGO NET - </t>
    </r>
    <r>
      <rPr>
        <b/>
        <sz val="10"/>
        <color theme="1"/>
        <rFont val="MMC OFFICE"/>
      </rPr>
      <t xml:space="preserve"> ENVELOPE STYLE</t>
    </r>
  </si>
  <si>
    <r>
      <t xml:space="preserve">FILET À BAGAGES, </t>
    </r>
    <r>
      <rPr>
        <b/>
        <sz val="10"/>
        <color theme="1"/>
        <rFont val="MMC OFFICE"/>
      </rPr>
      <t>STYLE ENVELOPPE</t>
    </r>
  </si>
  <si>
    <r>
      <t xml:space="preserve">FLOOR MATS - </t>
    </r>
    <r>
      <rPr>
        <b/>
        <sz val="10"/>
        <rFont val="MMC OFFICE"/>
      </rPr>
      <t>CLOTH</t>
    </r>
  </si>
  <si>
    <r>
      <t>TAPIS DE SOL-</t>
    </r>
    <r>
      <rPr>
        <b/>
        <sz val="10"/>
        <rFont val="MMC OFFICE"/>
      </rPr>
      <t>EN TISSU</t>
    </r>
  </si>
  <si>
    <r>
      <t xml:space="preserve">REMOTE ENGINE START - </t>
    </r>
    <r>
      <rPr>
        <b/>
        <sz val="10"/>
        <color theme="1"/>
        <rFont val="MMC OFFICE"/>
      </rPr>
      <t>OEM</t>
    </r>
  </si>
  <si>
    <r>
      <t>REMOTE ENGINE START REPLACEMENT FOB -</t>
    </r>
    <r>
      <rPr>
        <b/>
        <sz val="10"/>
        <color theme="1"/>
        <rFont val="MMC OFFICE"/>
      </rPr>
      <t xml:space="preserve"> OEM</t>
    </r>
  </si>
  <si>
    <r>
      <t xml:space="preserve">NON-GENUINE - 2 WAY TRANSMITTER KIT W/ ANNTENNA &amp; 2 X 5 BUTTOM 2-WAY TRANSMITTERS </t>
    </r>
    <r>
      <rPr>
        <b/>
        <sz val="10"/>
        <color theme="1"/>
        <rFont val="MMC OFFICE"/>
      </rPr>
      <t>(BULLETIN MP-XX-35-21)</t>
    </r>
  </si>
  <si>
    <r>
      <t xml:space="preserve">SMART CONTROL IPHONE 7 ANDROID VEHICLE CONTROL CREDIT CARD STYLE  </t>
    </r>
    <r>
      <rPr>
        <b/>
        <sz val="10"/>
        <color theme="1"/>
        <rFont val="MMC OFFICE"/>
      </rPr>
      <t>(BULLETIN MP-XX-35-21)</t>
    </r>
  </si>
  <si>
    <r>
      <t xml:space="preserve">RUNNING BOARDS-BLACK </t>
    </r>
    <r>
      <rPr>
        <b/>
        <sz val="10"/>
        <color theme="1"/>
        <rFont val="MMC OFFICE"/>
      </rPr>
      <t>(SET OF 2)</t>
    </r>
  </si>
  <si>
    <r>
      <t xml:space="preserve">MARCHEPIEDS-NOIRS </t>
    </r>
    <r>
      <rPr>
        <b/>
        <sz val="10"/>
        <rFont val="MMC OFFICE"/>
      </rPr>
      <t>(ENSEMBLE DE 2</t>
    </r>
    <r>
      <rPr>
        <sz val="10"/>
        <color theme="1"/>
        <rFont val="MMC OFFICE"/>
      </rPr>
      <t>)</t>
    </r>
  </si>
  <si>
    <r>
      <t>FOR VEH WITH FIXED POINTS -</t>
    </r>
    <r>
      <rPr>
        <sz val="10"/>
        <rFont val="MMC OFFICE"/>
      </rPr>
      <t xml:space="preserve"> </t>
    </r>
    <r>
      <rPr>
        <b/>
        <sz val="10"/>
        <rFont val="MMC OFFICE"/>
      </rPr>
      <t>BLACK</t>
    </r>
  </si>
  <si>
    <r>
      <t>FOR VEH WITH ROOF RAILS -</t>
    </r>
    <r>
      <rPr>
        <sz val="10"/>
        <rFont val="MMC OFFICE"/>
      </rPr>
      <t xml:space="preserve"> </t>
    </r>
    <r>
      <rPr>
        <b/>
        <sz val="10"/>
        <rFont val="MMC OFFICE"/>
      </rPr>
      <t>BLACK</t>
    </r>
  </si>
  <si>
    <r>
      <t xml:space="preserve">ALLOY WHEELS ONLY </t>
    </r>
    <r>
      <rPr>
        <b/>
        <sz val="10"/>
        <color theme="1"/>
        <rFont val="MMC OFFICE"/>
      </rPr>
      <t>(BULLETIN MP-XX-03-23)</t>
    </r>
  </si>
  <si>
    <t>REAR BUMPER GARNISH - BLACK AND CHROME</t>
  </si>
  <si>
    <t>REAR BUMPER GARNISH - CHROME</t>
  </si>
  <si>
    <t>TAILGATE SPOILER -  WHITE DIAMOND W85</t>
  </si>
  <si>
    <t>TAILGATE SPOILER -  COSMIC BLUE METALLIC D14</t>
  </si>
  <si>
    <t>TAILGATE SPOILER -  LABRADOR BLACK PEARL X42</t>
  </si>
  <si>
    <t>TAILGATE SPOILER -  RED DIAMOND P62</t>
  </si>
  <si>
    <t>TAILGATE SPOILER -  BLACK DIAMOND  X47</t>
  </si>
  <si>
    <t>TAILGATE SPOILER -  GRAPHITE GRAY METALLIC U28</t>
  </si>
  <si>
    <t>TAILGATE SPOILER -  MOON STONE GRAY METALLIC U35</t>
  </si>
  <si>
    <t>TAILGATE SPOILER -  STERLING SILVER METALLIC U25</t>
  </si>
  <si>
    <t>GARNITURE DE PARE-CHOCS ARRIÈRE - NOIRE ET CHROME</t>
  </si>
  <si>
    <r>
      <t>RUNNING BOARDS - BLACK</t>
    </r>
    <r>
      <rPr>
        <b/>
        <sz val="10"/>
        <rFont val="MMC OFFICE"/>
      </rPr>
      <t xml:space="preserve"> (SET OF  2)</t>
    </r>
  </si>
  <si>
    <r>
      <t xml:space="preserve">RUNNING BOARDS - SILVER  </t>
    </r>
    <r>
      <rPr>
        <b/>
        <sz val="10"/>
        <rFont val="MMC OFFICE"/>
      </rPr>
      <t>(SET OF 2)</t>
    </r>
  </si>
  <si>
    <t>MZ577109EX</t>
  </si>
  <si>
    <t>MZ577110EX</t>
  </si>
  <si>
    <t>FRONT SKID GARNISH - GLOSS BLACK</t>
  </si>
  <si>
    <t>PLAQUE DE PROTECTION AVANT - NOIRE BRILLANT</t>
  </si>
  <si>
    <t>GARNITURE DE PARE-CHOCS ARRIÈRE - CHROME</t>
  </si>
  <si>
    <t>FENDER PROTECTORS</t>
  </si>
  <si>
    <r>
      <t xml:space="preserve">RUNNING BOARDS-SILVER </t>
    </r>
    <r>
      <rPr>
        <b/>
        <sz val="10"/>
        <rFont val="MMC OFFICE"/>
      </rPr>
      <t>(SET OF 2)</t>
    </r>
  </si>
  <si>
    <t>MZ380731EX</t>
  </si>
  <si>
    <t>PROTECTEUR D'AILES</t>
  </si>
  <si>
    <t>MZ315481</t>
  </si>
  <si>
    <t>MZ315480</t>
  </si>
  <si>
    <t>MZ321260</t>
  </si>
  <si>
    <t>MZ321259</t>
  </si>
  <si>
    <t>SEATBACK ORGANIZER</t>
  </si>
  <si>
    <t xml:space="preserve">CARGO LINER - ALL WEATHER </t>
  </si>
  <si>
    <t>PAINT PROTECTION FILM - GRILLE</t>
  </si>
  <si>
    <t>PAINT PROTECTION FILM - HOOD</t>
  </si>
  <si>
    <t>MZ315469</t>
  </si>
  <si>
    <t>ORGANISEUR DE SIÈGE ARRIÈRE</t>
  </si>
  <si>
    <t>REVÊTEMENT DE COFFRE - TOUTES LES SAISONS</t>
  </si>
  <si>
    <t>PELLICULE DE PROTECTION - CAPOT</t>
  </si>
  <si>
    <t>PELLICULE DE PROTECTION - GRILLE</t>
  </si>
  <si>
    <t>ÉCRAN PARE-SOLEIL "ONE TOUCH" (AVANT, DROITE ET GAUCHE)</t>
  </si>
  <si>
    <t xml:space="preserve">AILERON ARRIÈRE, ROUGE DIAMANT P62 </t>
  </si>
  <si>
    <t>EMBLÈME DE CAPOT NOIR</t>
  </si>
  <si>
    <t>EMBLÈME DE CAPOT CHROMÉ</t>
  </si>
  <si>
    <t>EMBLÈME DE CAPOT CHROMÉ SATIN</t>
  </si>
  <si>
    <t>FAISCEAU DE REMORQUE</t>
  </si>
  <si>
    <t>SIDE MIRROR COVERS - CHROME (WITH SIGNAL)</t>
  </si>
  <si>
    <t>SIDE MIRROR COVERS - CHROME (S/O SIGNAL)</t>
  </si>
  <si>
    <t>COUVERCLES DE RÉTROVISEURS CHROMÉS SANS CLIGNOTANT</t>
  </si>
  <si>
    <t>CLASS 2 HITCH  1.25" RECEIVER</t>
  </si>
  <si>
    <t>MZ577040EX</t>
  </si>
  <si>
    <t>2026 RVR</t>
  </si>
  <si>
    <t>2026 Eclipse Cross</t>
  </si>
  <si>
    <t>THCA9025XT</t>
  </si>
  <si>
    <t>THULE APEX XT HITCH MOUNTED 4 BIKE CARRIER</t>
  </si>
  <si>
    <t>MIRROR COVER - CARBON</t>
  </si>
  <si>
    <t xml:space="preserve">MIRROR COVER - CHROME </t>
  </si>
  <si>
    <t>POIGNÉES DE PORTE CHROMÉES</t>
  </si>
  <si>
    <t>PANEAU DÉCORATIF DE LA CONSOLE-CARBONE</t>
  </si>
  <si>
    <r>
      <t xml:space="preserve">FLOOR ILLUMINATION - INTERIOR </t>
    </r>
    <r>
      <rPr>
        <b/>
        <sz val="10"/>
        <color theme="3"/>
        <rFont val="MMC OFFICE"/>
      </rPr>
      <t>(BLUE)</t>
    </r>
  </si>
  <si>
    <r>
      <t xml:space="preserve">MARCHEPIEDS-ARGENT </t>
    </r>
    <r>
      <rPr>
        <b/>
        <sz val="10"/>
        <rFont val="MMC OFFICE"/>
      </rPr>
      <t>(ENSEMBLE DE 2)</t>
    </r>
  </si>
  <si>
    <t>PORTE-VÉLOS (2) CAMBER POUR ATTELAGE DE REMORQUE  THULE</t>
  </si>
  <si>
    <t>PORTE-VELOS (4) THULE APEX XT POUR ATTELAGE DE REMORQUE</t>
  </si>
  <si>
    <t>PORTE-VÉLOS (2) THULE CAMBER POUR ATTELAGE DE REMORQUE</t>
  </si>
  <si>
    <r>
      <t xml:space="preserve">10'' HEADREST VIDEO WITH 2 TOUCH SCREEN MONITORS </t>
    </r>
    <r>
      <rPr>
        <b/>
        <sz val="10"/>
        <color theme="1"/>
        <rFont val="Calibri"/>
        <family val="2"/>
        <scheme val="minor"/>
      </rPr>
      <t>(BULLETIN  MP-XX-53-20)</t>
    </r>
  </si>
  <si>
    <r>
      <t>ALLOY WHEELS ONLY (</t>
    </r>
    <r>
      <rPr>
        <b/>
        <sz val="10"/>
        <color theme="1"/>
        <rFont val="MMC OFFICE"/>
      </rPr>
      <t>BULLETIN MP-XX-03-23)</t>
    </r>
  </si>
  <si>
    <r>
      <t xml:space="preserve">FOR SPACE SAVER SPARE TIRE  AND TIRE REPAIR KIT </t>
    </r>
    <r>
      <rPr>
        <b/>
        <sz val="10"/>
        <color theme="1"/>
        <rFont val="MMC OFFICE"/>
      </rPr>
      <t>(BULLETIN MP-XX-03-23)</t>
    </r>
  </si>
  <si>
    <r>
      <t xml:space="preserve">CARGO NET- </t>
    </r>
    <r>
      <rPr>
        <b/>
        <sz val="10"/>
        <color theme="1"/>
        <rFont val="MMC OFFICE"/>
      </rPr>
      <t>ENVELOPE STYLE</t>
    </r>
  </si>
  <si>
    <r>
      <t xml:space="preserve">FILET À BAGGAGE- </t>
    </r>
    <r>
      <rPr>
        <b/>
        <sz val="10"/>
        <color theme="1"/>
        <rFont val="MMC OFFICE"/>
      </rPr>
      <t>STYLE ENVELOPPE</t>
    </r>
  </si>
  <si>
    <r>
      <t>ES-MT &amp; ES-CVT MODELS ONLY</t>
    </r>
    <r>
      <rPr>
        <b/>
        <sz val="10"/>
        <color theme="1"/>
        <rFont val="MMC OFFICE"/>
      </rPr>
      <t xml:space="preserve"> (BULLETIN MP-XX-79-16)</t>
    </r>
  </si>
  <si>
    <r>
      <t>TINTED</t>
    </r>
    <r>
      <rPr>
        <b/>
        <sz val="10"/>
        <rFont val="MMC OFFICE"/>
      </rPr>
      <t xml:space="preserve"> (BULLETIN MP-XX-43-23)</t>
    </r>
  </si>
  <si>
    <r>
      <t>LICENSE PLATE FRAME-</t>
    </r>
    <r>
      <rPr>
        <b/>
        <sz val="10"/>
        <color rgb="FFFF0000"/>
        <rFont val="MMC OFFICE"/>
      </rPr>
      <t xml:space="preserve"> MITSUBISHI LOGO</t>
    </r>
  </si>
  <si>
    <r>
      <t xml:space="preserve">CADRE DE PLAQUE D'IMMATRICULATION </t>
    </r>
    <r>
      <rPr>
        <b/>
        <sz val="10"/>
        <color rgb="FFFF0000"/>
        <rFont val="MMC OFFICE"/>
      </rPr>
      <t>LOGO MITSUBISHI</t>
    </r>
  </si>
  <si>
    <r>
      <t xml:space="preserve">CAN'T INSTALL WITH SIDE AIRDAM </t>
    </r>
    <r>
      <rPr>
        <b/>
        <sz val="10"/>
        <rFont val="MMC OFFICE"/>
      </rPr>
      <t xml:space="preserve"> (BULLETIN MP-XX-03-23)</t>
    </r>
  </si>
  <si>
    <r>
      <t xml:space="preserve">CAN'T INSTALL WITH REAR AIRDAM </t>
    </r>
    <r>
      <rPr>
        <b/>
        <sz val="10"/>
        <rFont val="MMC OFFICE"/>
      </rPr>
      <t>(BULLETIN MP-XX-03-23)</t>
    </r>
  </si>
  <si>
    <r>
      <t xml:space="preserve">see notes below </t>
    </r>
    <r>
      <rPr>
        <b/>
        <sz val="10"/>
        <color theme="1"/>
        <rFont val="MMC OFFICE"/>
      </rPr>
      <t>(BULLETIN MP-XX-106-21)</t>
    </r>
  </si>
  <si>
    <r>
      <t>see notes below</t>
    </r>
    <r>
      <rPr>
        <b/>
        <sz val="10"/>
        <color theme="1"/>
        <rFont val="MMC OFFICE"/>
      </rPr>
      <t xml:space="preserve"> (BULLETIN MP-XX-106-21)</t>
    </r>
  </si>
  <si>
    <r>
      <t xml:space="preserve">NON-GENUINE - REQUIRED FOR ALL REMOTE START ACCESSORIES; see notes below </t>
    </r>
    <r>
      <rPr>
        <b/>
        <sz val="10"/>
        <color theme="1"/>
        <rFont val="MMC OFFICE"/>
      </rPr>
      <t>(BULLETIN MP-XX-106-21)</t>
    </r>
  </si>
  <si>
    <r>
      <t xml:space="preserve">NON-GENUINE - SMARTPHONE APP, LONG RANGE, 3 YR SUBSCRIPTION INCLUDED; see notes below </t>
    </r>
    <r>
      <rPr>
        <b/>
        <sz val="10"/>
        <color theme="1"/>
        <rFont val="MMC OFFICE"/>
      </rPr>
      <t>(BULLETIN MP-XX-106-21)</t>
    </r>
  </si>
  <si>
    <r>
      <t xml:space="preserve">NON-GENUINE - BLUETOOTH SMARTPHONE APP, NO SUBSCRIPTION; see notes below </t>
    </r>
    <r>
      <rPr>
        <b/>
        <sz val="10"/>
        <color theme="1"/>
        <rFont val="MMC OFFICE"/>
      </rPr>
      <t>(BULLETIN MP-XX-106-21)</t>
    </r>
  </si>
  <si>
    <r>
      <t xml:space="preserve">MIRAGE LOGO </t>
    </r>
    <r>
      <rPr>
        <b/>
        <sz val="10"/>
        <color theme="1"/>
        <rFont val="MMC OFFICE"/>
      </rPr>
      <t>(BULLETIN MP-XX-03-23)</t>
    </r>
  </si>
  <si>
    <r>
      <t xml:space="preserve">NON-GENUINE - 2 WAY TRANSMITTER KIT W/ ANNTENNA &amp; 2 X 5 BUTTOM 2-WAY TRANSMITTERS </t>
    </r>
    <r>
      <rPr>
        <b/>
        <sz val="10"/>
        <color theme="1"/>
        <rFont val="MMC OFFICE"/>
      </rPr>
      <t>(BULLETIN MP-XX-106-21)</t>
    </r>
  </si>
  <si>
    <r>
      <t>LUGGAGE NET-</t>
    </r>
    <r>
      <rPr>
        <b/>
        <sz val="10"/>
        <color theme="1"/>
        <rFont val="MMC OFFICE"/>
      </rPr>
      <t xml:space="preserve"> (ENVELOPE STYLE)</t>
    </r>
  </si>
  <si>
    <r>
      <t xml:space="preserve">FILET À BAGAGES </t>
    </r>
    <r>
      <rPr>
        <b/>
        <sz val="10"/>
        <color theme="1"/>
        <rFont val="MMC OFFICE"/>
      </rPr>
      <t>(STYLE ENVELOPPE)</t>
    </r>
  </si>
  <si>
    <r>
      <t xml:space="preserve">NON GENUINE 2-WAY CREDIT CARD STYLE REMOTE TRANSMITTER </t>
    </r>
    <r>
      <rPr>
        <b/>
        <sz val="10"/>
        <color theme="1"/>
        <rFont val="MMC OFFICE"/>
      </rPr>
      <t>(BULLETIN MP-XX-35-21)</t>
    </r>
  </si>
  <si>
    <r>
      <t xml:space="preserve">SMART CONTROL IPHONE 7 ANDROID VEHICLE CONTROL CREDIT CARD STYLE </t>
    </r>
    <r>
      <rPr>
        <b/>
        <sz val="10"/>
        <color theme="1"/>
        <rFont val="MMC OFFICE"/>
      </rPr>
      <t>(BULLETIN MP-XX-35-21)</t>
    </r>
  </si>
  <si>
    <r>
      <t xml:space="preserve">NON-GENUINE - REQUIRED FOR ALL REMOTE START ACCESSORIES </t>
    </r>
    <r>
      <rPr>
        <b/>
        <sz val="10"/>
        <color theme="1"/>
        <rFont val="MMC OFFICE"/>
      </rPr>
      <t>(BULLETIN MP-XX-35-21)</t>
    </r>
  </si>
  <si>
    <r>
      <t xml:space="preserve">NON-GENUINE - SMARTPHONE APP, LONG RANGE, 3 YR SUBSCRIPTION INCLUDED </t>
    </r>
    <r>
      <rPr>
        <b/>
        <sz val="10"/>
        <color theme="1"/>
        <rFont val="MMC OFFICE"/>
      </rPr>
      <t>(BULLETIN MP-XX-35-21)</t>
    </r>
  </si>
  <si>
    <r>
      <t>SCUFF PLATES &amp; FLOOR ILLUMINATION SET -</t>
    </r>
    <r>
      <rPr>
        <b/>
        <sz val="10"/>
        <color theme="1"/>
        <rFont val="MMC OFFICE"/>
      </rPr>
      <t xml:space="preserve"> </t>
    </r>
    <r>
      <rPr>
        <b/>
        <sz val="10"/>
        <color theme="8" tint="-0.249977111117893"/>
        <rFont val="MMC OFFICE"/>
      </rPr>
      <t xml:space="preserve">BLUE </t>
    </r>
    <r>
      <rPr>
        <b/>
        <sz val="10"/>
        <color theme="3" tint="0.59999389629810485"/>
        <rFont val="MMC OFFICE"/>
      </rPr>
      <t xml:space="preserve"> </t>
    </r>
  </si>
  <si>
    <r>
      <t xml:space="preserve">PLAQUES DE SEUIL ET JEU D'ÉCLAIRAGE AU SOL - </t>
    </r>
    <r>
      <rPr>
        <b/>
        <sz val="10"/>
        <color theme="3" tint="0.39997558519241921"/>
        <rFont val="MMC OFFICE"/>
      </rPr>
      <t>BLEU</t>
    </r>
  </si>
  <si>
    <r>
      <t xml:space="preserve">SEAT BACK NET </t>
    </r>
    <r>
      <rPr>
        <b/>
        <sz val="10"/>
        <color theme="1"/>
        <rFont val="MMC OFFICE"/>
      </rPr>
      <t>(ENVELOPE TYPE)</t>
    </r>
  </si>
  <si>
    <r>
      <t xml:space="preserve">FILET POUR SIÈGE ARRIÈRE </t>
    </r>
    <r>
      <rPr>
        <b/>
        <sz val="10"/>
        <color theme="1"/>
        <rFont val="MMC OFFICE"/>
      </rPr>
      <t>(TYPE ENVELOPPE)</t>
    </r>
  </si>
  <si>
    <r>
      <t xml:space="preserve">SIDE WINDOW DEFLECTORS </t>
    </r>
    <r>
      <rPr>
        <b/>
        <sz val="10"/>
        <color theme="1"/>
        <rFont val="MMC OFFICE"/>
      </rPr>
      <t>(FRONT AND REAR SET)</t>
    </r>
  </si>
  <si>
    <r>
      <t xml:space="preserve">DÉFLECTEURS DE GLACES LATÉRALES </t>
    </r>
    <r>
      <rPr>
        <b/>
        <sz val="10"/>
        <color theme="1"/>
        <rFont val="MMC OFFICE"/>
      </rPr>
      <t>(AVANT ET ARRIERE)</t>
    </r>
  </si>
  <si>
    <r>
      <t xml:space="preserve">THULE ROOF BASE CARRIER - CROSSBARS - </t>
    </r>
    <r>
      <rPr>
        <b/>
        <sz val="10"/>
        <color theme="1"/>
        <rFont val="MMC OFFICE"/>
      </rPr>
      <t>BLACK</t>
    </r>
  </si>
  <si>
    <r>
      <t xml:space="preserve">BARRES TRANSVERSALES - </t>
    </r>
    <r>
      <rPr>
        <b/>
        <sz val="10"/>
        <color theme="1"/>
        <rFont val="MMC OFFICE"/>
      </rPr>
      <t xml:space="preserve">NOIR </t>
    </r>
    <r>
      <rPr>
        <sz val="10"/>
        <color theme="1"/>
        <rFont val="MMC OFFICE"/>
      </rPr>
      <t>- POUR VÉHICULES AVEC LONGERONS DE TOIT</t>
    </r>
  </si>
  <si>
    <r>
      <t xml:space="preserve">FOR VEHICLES WITH ROOF RAILS - THULE  BRANDED - </t>
    </r>
    <r>
      <rPr>
        <b/>
        <sz val="10"/>
        <color theme="1"/>
        <rFont val="MMC OFFICE"/>
      </rPr>
      <t>BLACK</t>
    </r>
  </si>
  <si>
    <r>
      <t>LARGER LINER FOR BEHIND SECOND ROW</t>
    </r>
    <r>
      <rPr>
        <b/>
        <sz val="10"/>
        <color theme="1"/>
        <rFont val="MMC OFFICE"/>
      </rPr>
      <t xml:space="preserve"> (BULLETIN MP-XX-80-21</t>
    </r>
    <r>
      <rPr>
        <sz val="10"/>
        <color theme="1"/>
        <rFont val="MMC OFFICE"/>
      </rPr>
      <t>)</t>
    </r>
  </si>
  <si>
    <r>
      <t xml:space="preserve">SMALLER LINER FOR BEHIND THIRD ROW </t>
    </r>
    <r>
      <rPr>
        <b/>
        <sz val="10"/>
        <color theme="1"/>
        <rFont val="MMC OFFICE"/>
      </rPr>
      <t>(BULLETIN MP-XX-80-21)</t>
    </r>
  </si>
  <si>
    <t>PDF</t>
  </si>
  <si>
    <r>
      <t xml:space="preserve">1.25MM PITCH BLACK LOCK NUTS( 4PC) + LUG NUTS (16PC)   </t>
    </r>
    <r>
      <rPr>
        <b/>
        <sz val="10"/>
        <color theme="1"/>
        <rFont val="Calibri"/>
        <family val="2"/>
        <scheme val="minor"/>
      </rPr>
      <t>BULLETIN MP-XX-03-23</t>
    </r>
  </si>
  <si>
    <r>
      <t>REQUIRES CORD SET MMCA1008</t>
    </r>
    <r>
      <rPr>
        <b/>
        <sz val="10"/>
        <color theme="1"/>
        <rFont val="Calibri"/>
        <family val="2"/>
        <scheme val="minor"/>
      </rPr>
      <t xml:space="preserve"> (BULLETIN MP-XX-104-22)</t>
    </r>
  </si>
  <si>
    <r>
      <t xml:space="preserve">REQUIRES HEATER CARTRIDGE MMCA0864  </t>
    </r>
    <r>
      <rPr>
        <b/>
        <sz val="10"/>
        <color theme="1"/>
        <rFont val="Calibri"/>
        <family val="2"/>
        <scheme val="minor"/>
      </rPr>
      <t>(BULLETIN MP-XX-104-22)</t>
    </r>
  </si>
  <si>
    <r>
      <t>FRONT AND REAR KIT (</t>
    </r>
    <r>
      <rPr>
        <b/>
        <sz val="10"/>
        <rFont val="Calibri"/>
        <family val="2"/>
        <scheme val="minor"/>
      </rPr>
      <t>BULLETIN MP-XX-18-24)</t>
    </r>
  </si>
  <si>
    <r>
      <t>MATERIAL BLACK (</t>
    </r>
    <r>
      <rPr>
        <b/>
        <sz val="10"/>
        <color theme="1"/>
        <rFont val="Calibri"/>
        <family val="2"/>
        <scheme val="minor"/>
      </rPr>
      <t>BULLETIN MP-XX-03-23)</t>
    </r>
  </si>
  <si>
    <r>
      <t xml:space="preserve">NON-GENUINE - BLUETOOTH SMARTPHONE APP, NO SUBSCRIPTION  </t>
    </r>
    <r>
      <rPr>
        <b/>
        <sz val="10"/>
        <color theme="1"/>
        <rFont val="Calibri"/>
        <family val="2"/>
        <scheme val="minor"/>
      </rPr>
      <t>(BULLETIN MP-XX-35-21)</t>
    </r>
  </si>
  <si>
    <r>
      <t xml:space="preserve">NON-GENUINE - 2 WAY TRANSMITTER KIT W/ ANNTENNA &amp; 2 X 5 BUTTOM 2-WAY TRANSMITTERS  </t>
    </r>
    <r>
      <rPr>
        <b/>
        <sz val="10"/>
        <color theme="1"/>
        <rFont val="Calibri"/>
        <family val="2"/>
        <scheme val="minor"/>
      </rPr>
      <t>(BULLETIN MP-XX-35-21)</t>
    </r>
  </si>
  <si>
    <r>
      <t xml:space="preserve">NON GENUINE 2-WAY CREDIT CARD STYLE REMOTE TRANSMITTER  </t>
    </r>
    <r>
      <rPr>
        <b/>
        <sz val="10"/>
        <color theme="1"/>
        <rFont val="Calibri"/>
        <family val="2"/>
        <scheme val="minor"/>
      </rPr>
      <t>(BULLETIN MP-XX-35-21)</t>
    </r>
  </si>
  <si>
    <r>
      <t xml:space="preserve">NON-GENUINE - REQUIRED FOR ALL REMOTE START ACCESSORIES  </t>
    </r>
    <r>
      <rPr>
        <b/>
        <sz val="10"/>
        <color theme="1"/>
        <rFont val="Calibri"/>
        <family val="2"/>
        <scheme val="minor"/>
      </rPr>
      <t>(BULLETIN MP-XX-35-21)</t>
    </r>
  </si>
  <si>
    <r>
      <t xml:space="preserve">SMART CONTROL IPHONE 7 ANDROID VEHICLE CONTROL CREDIT CARD STYLE </t>
    </r>
    <r>
      <rPr>
        <b/>
        <sz val="10"/>
        <color theme="1"/>
        <rFont val="Calibri"/>
        <family val="2"/>
        <scheme val="minor"/>
      </rPr>
      <t xml:space="preserve"> (BULLETIN MP-XX-35-21)</t>
    </r>
  </si>
  <si>
    <r>
      <t>ENGLISH</t>
    </r>
    <r>
      <rPr>
        <b/>
        <sz val="10"/>
        <color theme="1"/>
        <rFont val="Calibri"/>
        <family val="2"/>
        <scheme val="minor"/>
      </rPr>
      <t xml:space="preserve"> (BULLETIN MP-XX-103-23)</t>
    </r>
  </si>
  <si>
    <r>
      <t>ENGLISH</t>
    </r>
    <r>
      <rPr>
        <b/>
        <sz val="10"/>
        <color theme="1"/>
        <rFont val="Calibri"/>
        <family val="2"/>
        <scheme val="minor"/>
      </rPr>
      <t xml:space="preserve"> (BULLETIN MP-XX-101-23)</t>
    </r>
  </si>
  <si>
    <r>
      <t>FRENCH</t>
    </r>
    <r>
      <rPr>
        <b/>
        <sz val="10"/>
        <color theme="1"/>
        <rFont val="Calibri"/>
        <family val="2"/>
        <scheme val="minor"/>
      </rPr>
      <t xml:space="preserve"> (BULLETIN MP-XX-101-23)</t>
    </r>
  </si>
  <si>
    <r>
      <t>ALL SEASON FLOOR MATS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ECLIPSE CROSS</t>
    </r>
  </si>
  <si>
    <r>
      <t xml:space="preserve">NON-GENUINE - 2 WAY TRANSMITTER KIT W/ ANNTENNA &amp; 2 X 5 BUTTOM 2-WAY TRANSMITTERS </t>
    </r>
    <r>
      <rPr>
        <b/>
        <sz val="10"/>
        <color theme="1"/>
        <rFont val="Calibri"/>
        <family val="2"/>
        <scheme val="minor"/>
      </rPr>
      <t>(BULLETIN MP-XX-35-21)</t>
    </r>
  </si>
  <si>
    <r>
      <t xml:space="preserve">NON GENUINE 2-WAY CREDIT CARD STYLE REMOTE TRANSMITTER </t>
    </r>
    <r>
      <rPr>
        <b/>
        <sz val="10"/>
        <color theme="1"/>
        <rFont val="Calibri"/>
        <family val="2"/>
        <scheme val="minor"/>
      </rPr>
      <t>(BULLETIN MP-XX-35-21)</t>
    </r>
  </si>
  <si>
    <r>
      <t xml:space="preserve">SMART CONTROL IPHONE 7 ANDROID VEHICLE CONTROL CREDIT CARD STYLE </t>
    </r>
    <r>
      <rPr>
        <b/>
        <sz val="10"/>
        <color theme="1"/>
        <rFont val="Calibri"/>
        <family val="2"/>
        <scheme val="minor"/>
      </rPr>
      <t>(BULLETIN MP-XX-35-21)</t>
    </r>
  </si>
  <si>
    <r>
      <t xml:space="preserve">NON-GENUINE - REQUIRED FOR ALL REMOTE START ACCESSORIES </t>
    </r>
    <r>
      <rPr>
        <b/>
        <sz val="10"/>
        <color theme="1"/>
        <rFont val="Calibri"/>
        <family val="2"/>
        <scheme val="minor"/>
      </rPr>
      <t>(BULLETIN MP-XX-35-21)</t>
    </r>
  </si>
  <si>
    <r>
      <t xml:space="preserve">NON-GENUINE - SMARTPHONE APP, LONG RANGE, 3 YR SUBSCRIPTION INCLUDED </t>
    </r>
    <r>
      <rPr>
        <b/>
        <sz val="10"/>
        <color theme="1"/>
        <rFont val="Calibri"/>
        <family val="2"/>
        <scheme val="minor"/>
      </rPr>
      <t>(BULLETIN MP-XX-35-21)</t>
    </r>
  </si>
  <si>
    <r>
      <t xml:space="preserve">FOR VEHICLES WITH ROOF RAILS - THULE  BRANDED - </t>
    </r>
    <r>
      <rPr>
        <b/>
        <sz val="10"/>
        <color theme="1"/>
        <rFont val="Calibri"/>
        <family val="2"/>
        <scheme val="minor"/>
      </rPr>
      <t>BLACK</t>
    </r>
  </si>
  <si>
    <r>
      <t xml:space="preserve">SMALL - BEHIND THIRD ROW </t>
    </r>
    <r>
      <rPr>
        <b/>
        <sz val="10"/>
        <color theme="1"/>
        <rFont val="Calibri"/>
        <family val="2"/>
        <scheme val="minor"/>
      </rPr>
      <t>(BULLETIN MP-XX-53-20)</t>
    </r>
  </si>
  <si>
    <r>
      <t xml:space="preserve"> BLACK</t>
    </r>
    <r>
      <rPr>
        <b/>
        <sz val="10"/>
        <rFont val="Calibri"/>
        <family val="2"/>
        <scheme val="minor"/>
      </rPr>
      <t xml:space="preserve"> (BULLETIN MP-XX-53-20)</t>
    </r>
  </si>
  <si>
    <r>
      <t xml:space="preserve"> BLACK </t>
    </r>
    <r>
      <rPr>
        <b/>
        <sz val="10"/>
        <color theme="1"/>
        <rFont val="Calibri"/>
        <family val="2"/>
        <scheme val="minor"/>
      </rPr>
      <t>(BULLETIN MP-XX-53-20)</t>
    </r>
  </si>
  <si>
    <r>
      <t xml:space="preserve">FRONT AND REAR KIT BULLETIN </t>
    </r>
    <r>
      <rPr>
        <b/>
        <sz val="10"/>
        <color theme="1"/>
        <rFont val="Calibri"/>
        <family val="2"/>
        <scheme val="minor"/>
      </rPr>
      <t>(MP-XX-18-24)</t>
    </r>
  </si>
  <si>
    <r>
      <t xml:space="preserve">1.25MM PITCH CHROME LOCK NUTS/4PC </t>
    </r>
    <r>
      <rPr>
        <b/>
        <sz val="10"/>
        <color theme="1"/>
        <rFont val="Calibri"/>
        <family val="2"/>
        <scheme val="minor"/>
      </rPr>
      <t>(BULLETIN MP-XX-03-23)</t>
    </r>
  </si>
  <si>
    <t>PANEAU DÉCORATIF DE CONSOLE</t>
  </si>
  <si>
    <t>JEU  DE PHARES ANTIBROUILLARD</t>
  </si>
  <si>
    <t xml:space="preserve">PROTECTEUR DE SIÈGE D'AUTO POUR ENFANT  WEATHERTECH </t>
  </si>
  <si>
    <r>
      <t xml:space="preserve">TAPIS DE SOL- </t>
    </r>
    <r>
      <rPr>
        <b/>
        <sz val="10"/>
        <rFont val="MMC OFFICE"/>
      </rPr>
      <t>EN TISSU</t>
    </r>
  </si>
  <si>
    <t>MOULURE DE BAS DE PORTE CHROMÉ</t>
  </si>
  <si>
    <t>LAMPE DE HAYON DEL (BLEUE)</t>
  </si>
  <si>
    <t>NÉCESSAIRES D'AJUSTEMENT POUR VEHICULES EQUIPÉS DE POINTS D'ANCRAGE</t>
  </si>
  <si>
    <t>CONTRÔLE DE VÉHICULE MYCAR2 iPHONE ET ANDROID AVEC LOCALISATION GPS</t>
  </si>
  <si>
    <t>DÉMARREUR À DISTANCE-REMPLACEMENT DU FOB SEULEMENT</t>
  </si>
  <si>
    <t xml:space="preserve">MODULE DE DÉMARREUR A DISTANCE AVEC FAISCEAU </t>
  </si>
  <si>
    <t>SIDE MIRROR COVERS - CHROME (W/O SIGNAL)</t>
  </si>
  <si>
    <r>
      <t>RUNNING BOARDS-BLACK</t>
    </r>
    <r>
      <rPr>
        <b/>
        <sz val="10"/>
        <rFont val="MMC OFFICE"/>
      </rPr>
      <t xml:space="preserve"> (SET OF 2)</t>
    </r>
  </si>
  <si>
    <t>MMCAXD250-OBD</t>
  </si>
  <si>
    <t>BULLETIN MP-XX-74-25</t>
  </si>
  <si>
    <t>REAR UNDER GARNISH WITH CORNER EXTENSION - BLACK WITH RED STRIPE</t>
  </si>
  <si>
    <t>REAR UNDER GARNISH WITH CORNER EXTENSION - SILVER</t>
  </si>
  <si>
    <r>
      <t>TAILGATE SPOILER -   TITANUM GREY U17</t>
    </r>
    <r>
      <rPr>
        <b/>
        <sz val="10"/>
        <color theme="1"/>
        <rFont val="MMC OFFICE"/>
      </rPr>
      <t xml:space="preserve"> (REPLACES MZ576858EX)</t>
    </r>
  </si>
  <si>
    <t>MMCAHCGMI4</t>
  </si>
  <si>
    <t>REMOTE START T-HARNESS KIT + GO MODULE</t>
  </si>
  <si>
    <t>MODULE "GO" DE DEMARREUR À DISTANCE AVEC FAISCEAU À CONNECTION TRIPLE</t>
  </si>
  <si>
    <r>
      <t xml:space="preserve">NON-GENUINE -  </t>
    </r>
    <r>
      <rPr>
        <b/>
        <sz val="10"/>
        <color theme="1"/>
        <rFont val="Calibri"/>
        <family val="2"/>
        <scheme val="minor"/>
      </rPr>
      <t>(BULLETIN MP-XX-123-25)</t>
    </r>
  </si>
  <si>
    <r>
      <t xml:space="preserve">MODULE DE COMMANDE DE DÉMARRAGE À DISTANCE AVEC </t>
    </r>
    <r>
      <rPr>
        <b/>
        <sz val="10"/>
        <color theme="1"/>
        <rFont val="MMC OFFICE"/>
      </rPr>
      <t>NOUVEAU</t>
    </r>
    <r>
      <rPr>
        <sz val="10"/>
        <color theme="1"/>
        <rFont val="MMC OFFICE"/>
      </rPr>
      <t xml:space="preserve"> FAISCEAU</t>
    </r>
  </si>
  <si>
    <r>
      <t xml:space="preserve">NON-GENUINE - SMARTPHONE APP, LONG RANGE, 3 YR SUBSCRIPTION INCLUDED  </t>
    </r>
    <r>
      <rPr>
        <b/>
        <sz val="10"/>
        <color theme="1"/>
        <rFont val="Calibri"/>
        <family val="2"/>
        <scheme val="minor"/>
      </rPr>
      <t>(BULLETIN MP-XX-108-25)</t>
    </r>
  </si>
  <si>
    <r>
      <t xml:space="preserve">REMOTE START KIT: MODULE + </t>
    </r>
    <r>
      <rPr>
        <b/>
        <sz val="10"/>
        <color theme="1"/>
        <rFont val="MMC OFFICE"/>
      </rPr>
      <t>NEW</t>
    </r>
    <r>
      <rPr>
        <sz val="10"/>
        <color theme="1"/>
        <rFont val="MMC OFFICE"/>
      </rPr>
      <t xml:space="preserve"> HARNESS</t>
    </r>
  </si>
  <si>
    <t>CAMÉRA DE PLANCHE DE BORD – 2 POSTES 1080P</t>
  </si>
  <si>
    <t>CAMÉRA DE PLANCHE DE BORD – 2 POSTES 4K</t>
  </si>
  <si>
    <t>CAMÉRA DE PLANCHE DE BORD – 2 POSTES 2K</t>
  </si>
  <si>
    <r>
      <t>REQUIRES CORD SET MMCA1008</t>
    </r>
    <r>
      <rPr>
        <b/>
        <sz val="10"/>
        <color theme="1"/>
        <rFont val="MMC OFFICE"/>
      </rPr>
      <t xml:space="preserve"> (BULLETIN WILL BE PROVIDED SOON)</t>
    </r>
  </si>
  <si>
    <r>
      <t xml:space="preserve">REQUIRES HEATER CARTRIDGE MMCA0875  </t>
    </r>
    <r>
      <rPr>
        <b/>
        <sz val="10"/>
        <color theme="1"/>
        <rFont val="MMC OFFICE"/>
      </rPr>
      <t>(BULLETIN WILL BE PROVIDED SOON)</t>
    </r>
  </si>
  <si>
    <t>MP-XX-89-25</t>
  </si>
  <si>
    <t>MZ315510</t>
  </si>
  <si>
    <t>WEATHERTECH CARGO LINER - LARGE</t>
  </si>
  <si>
    <t>PLATEAU DE COFFRE - WEATHERTECH - GRAND</t>
  </si>
  <si>
    <t>PROTECTEUR DE CAPOT TEINTÉ</t>
  </si>
  <si>
    <t>REMOTE START MYCAR2 iPHONE &amp; ANDROID VEHICLE CONTROL W/GPS INSTANT LOCATE</t>
  </si>
  <si>
    <r>
      <t>RUNNING BOARDS-BLACK</t>
    </r>
    <r>
      <rPr>
        <b/>
        <sz val="10"/>
        <rFont val="MMC OFFICE"/>
      </rPr>
      <t xml:space="preserve"> (SET OF  2)</t>
    </r>
  </si>
  <si>
    <t>MMCAHCGMN1</t>
  </si>
  <si>
    <t>2026 Outlander</t>
  </si>
  <si>
    <t>DASH CAM - 2 CHANNEL 2K</t>
  </si>
  <si>
    <t>ENG</t>
  </si>
  <si>
    <t>FRE</t>
  </si>
  <si>
    <t>TÉLÉCOMMANDE INTELLIGENTE AVEC TECHNOLOGIE LORA-BLE</t>
  </si>
  <si>
    <t>TÉLÉCOMMANDES POUR LORA-BLE</t>
  </si>
  <si>
    <t>MMCAHCGMI1</t>
  </si>
  <si>
    <t>MMCAHCGMI2</t>
  </si>
  <si>
    <t>Caméra de planche de bord -  2 Postes 2K</t>
  </si>
  <si>
    <t>WEATHERTECH  CARGO LINER - LARGE</t>
  </si>
  <si>
    <t>PLATEAU DE COFFRE - WEATHERTECH - GRANDE</t>
  </si>
  <si>
    <t>BROCHURE OUTLANDER PHEV 2023 FRANCAIS</t>
  </si>
  <si>
    <t>CAMERA DE PLANCHE DE BORD – 2 POSTES 1080P</t>
  </si>
  <si>
    <t>CAMERA DE PLANCHE DE BORD – 2 POSTES 4K</t>
  </si>
  <si>
    <t xml:space="preserve">MIRROR COVER -CHROME </t>
  </si>
  <si>
    <t>Caméra de planche de bord – 2 Postes 1080P</t>
  </si>
  <si>
    <t>Caméra de planche de bord -  2 Postes 4K</t>
  </si>
  <si>
    <t>2025 Outlander PHEV</t>
  </si>
  <si>
    <t>2026 Outlander  PHEV</t>
  </si>
  <si>
    <t>ACCESSORY ROOF RAILS - SILVER</t>
  </si>
  <si>
    <t>LONGERONS DE TOIT POUR ACCESSOIRES - ARGENT</t>
  </si>
  <si>
    <r>
      <t xml:space="preserve">SMALL - BEHIND THIRD ROW </t>
    </r>
    <r>
      <rPr>
        <b/>
        <sz val="10"/>
        <color theme="1"/>
        <rFont val="MMC OFFICE"/>
      </rPr>
      <t>(BULLETIN MP-XX-53-20)</t>
    </r>
  </si>
  <si>
    <t>PANEAU DÉCORATIF DE LA CONSOLE- CARBONE</t>
  </si>
  <si>
    <t xml:space="preserve">CONSOLE ILLUMINATION </t>
  </si>
  <si>
    <t>MZ360825EX</t>
  </si>
  <si>
    <t>CONSOLE ILLUMINATION - LHD</t>
  </si>
  <si>
    <t>LHD</t>
    <phoneticPr fontId="7"/>
  </si>
  <si>
    <t>EMBLÈME DE CAPOT - NOIR</t>
  </si>
  <si>
    <t>EMBLÈME DE CAPOT - CHROMÉ</t>
  </si>
  <si>
    <t>EMBLÈME DE CAPOT - CHROMÉ SATIN</t>
  </si>
  <si>
    <r>
      <t xml:space="preserve">LED ASH CUP  </t>
    </r>
    <r>
      <rPr>
        <b/>
        <sz val="10"/>
        <color theme="1"/>
        <rFont val="MMC OFFICE"/>
      </rPr>
      <t>(Last 4 remaining)</t>
    </r>
  </si>
  <si>
    <t>***Discontinued***</t>
  </si>
  <si>
    <r>
      <t xml:space="preserve">FRONT AND REAR KIT BULLETIN </t>
    </r>
    <r>
      <rPr>
        <b/>
        <sz val="10"/>
        <color theme="1"/>
        <rFont val="MMC OFFICE"/>
      </rPr>
      <t>(MP-XX-18-24)</t>
    </r>
  </si>
  <si>
    <r>
      <t xml:space="preserve"> BLACK</t>
    </r>
    <r>
      <rPr>
        <b/>
        <sz val="10"/>
        <rFont val="MMC OFFICE"/>
      </rPr>
      <t xml:space="preserve"> (BULLETIN MP-XX-53-20)</t>
    </r>
  </si>
  <si>
    <r>
      <t xml:space="preserve"> BLACK </t>
    </r>
    <r>
      <rPr>
        <b/>
        <sz val="10"/>
        <color theme="1"/>
        <rFont val="MMC OFFICE"/>
      </rPr>
      <t>(BULLETIN MP-XX-53-20)</t>
    </r>
  </si>
  <si>
    <t>PORTE-BAGAGES DE TOIT (REQUIERT LONGERONS DE TOIT D'USINE OU ACCESSOIRES)</t>
  </si>
  <si>
    <t xml:space="preserve">JEU D'ATTACHES DE MARCHEPIED </t>
  </si>
  <si>
    <r>
      <t xml:space="preserve">MARCHEPIEDS-NOIRS </t>
    </r>
    <r>
      <rPr>
        <b/>
        <sz val="10"/>
        <rFont val="MMC OFFICE"/>
      </rPr>
      <t xml:space="preserve">(ENSEMBLE DE 2) </t>
    </r>
  </si>
  <si>
    <r>
      <t xml:space="preserve">RUNNING BOARDS-SILVER  </t>
    </r>
    <r>
      <rPr>
        <b/>
        <sz val="10"/>
        <rFont val="MMC OFFICE"/>
      </rPr>
      <t>(SET OF 2)</t>
    </r>
  </si>
  <si>
    <t>TAILGATE SPOILER - SPORT - BLACK DIAMOND  X47</t>
  </si>
  <si>
    <t>AILERON ARRIÈRE, SPORTIF, NOIR DIAMANT X47</t>
  </si>
  <si>
    <t>TAILGATE SPOILER - SPORT - COSMIC BLUE METALLIC D14</t>
  </si>
  <si>
    <t>AILERON ARRIÈRE, SPORTIF, BLEU COSMIQUE D14</t>
  </si>
  <si>
    <t>TAILGATE SPOILER - SPORT - GRAPHITE GRAY METALLIC U28</t>
  </si>
  <si>
    <t>AILERON ARRIÈRE, SPORTIF, GRIS GRAPHITE U28</t>
  </si>
  <si>
    <t>TAILGATE SPOILER - SPORT - LABRADOR BLACK PEARL X42</t>
  </si>
  <si>
    <t>AILERON ARRIÈRE, SPORTIF, NOIR LABRADOR NACRE X42</t>
  </si>
  <si>
    <t>TAILGATE SPOILER - SPORT - MOON STONE GRAY METALLIC U35</t>
  </si>
  <si>
    <t>AILERON ARRIÈRE, SPORTIF, GRIS PIERRE DE LUNE MÉTALLIQUE U35</t>
  </si>
  <si>
    <t>TAILGATE SPOILER - SPORT - RED DIAMOND P62</t>
  </si>
  <si>
    <t xml:space="preserve">AILERON ARRIÈRE, SPORTIF, ROUGE DIAMANT P62 </t>
  </si>
  <si>
    <t>TAILGATE SPOILER - SPORT - WHITE DIAMOND W85</t>
  </si>
  <si>
    <t>AILERON ARRIÈRE, SPORTIF, BLANC DIAMANT W85</t>
  </si>
  <si>
    <t>TAILGATE SPOILER - STOCK - BLACK DIAMOND X47</t>
  </si>
  <si>
    <t>AILERON ARRIÈRE, D'ORIGINE, NOIR DIAMANT X47</t>
  </si>
  <si>
    <t>TAILGATE SPOILER - STOCK - COSMIC BLUE D14</t>
  </si>
  <si>
    <t>AILERON ARRIÈRE, D'ORIGINE, BLEU COSMIQUE D14</t>
  </si>
  <si>
    <t>TAILGATE SPOILER - STOCK - GRAPHITE GREY U28</t>
  </si>
  <si>
    <t>AILERON ARRIÈRE, D'ORIGINE, GRIS GRAPHITE U28</t>
  </si>
  <si>
    <t>TAILGATE SPOILER - STOCK - LABRADOR BLACK PEARL X42</t>
  </si>
  <si>
    <t>AILERON ARRIÈRE, D'ORIGINE, NOIR LABRADOR NACRE X42</t>
  </si>
  <si>
    <t>TAILGATE SPOILER - STOCK - RED DIAMOND P62</t>
  </si>
  <si>
    <t xml:space="preserve">AILERON ARRIÈRE, D'ORIGINE, ROUGE DIAMANT  P62 </t>
  </si>
  <si>
    <t>TAILGATE SPOILER - STOCK - STERLING SILVER U25</t>
  </si>
  <si>
    <t>AILERON ARRIÈRE, D'ORIGINE, ARGENT STERLING U25</t>
  </si>
  <si>
    <t>TAILGATE SPOILER - STOCK - WHITE DIAMOND W85</t>
  </si>
  <si>
    <t>AILERON ARRIÈRE, D'ORIGINE, BLANC DIAMANT W85</t>
  </si>
  <si>
    <t>CABLE ANTIVOL THULE EN ACIER TRESSÉ 6 PIED</t>
  </si>
  <si>
    <t>PORTE-VELOS (2) CAMBER POUR ATTELAGE THULE</t>
  </si>
  <si>
    <r>
      <t xml:space="preserve">TOW HITCH EXTENSION </t>
    </r>
    <r>
      <rPr>
        <b/>
        <sz val="10"/>
        <color theme="1"/>
        <rFont val="MMC OFFICE"/>
      </rPr>
      <t>(see remarks, Detachable(Vertical) for NAFTA - PHEV)</t>
    </r>
  </si>
  <si>
    <r>
      <t xml:space="preserve">BULLETIN MP-XX-88-23 </t>
    </r>
    <r>
      <rPr>
        <b/>
        <sz val="10"/>
        <color theme="1"/>
        <rFont val="MMC OFFICE"/>
      </rPr>
      <t>(MY26 DGE Accommodation list has it as TOWBAR)</t>
    </r>
  </si>
  <si>
    <t>MZ315490</t>
    <phoneticPr fontId="7"/>
  </si>
  <si>
    <t xml:space="preserve">BOULE DE REMORQUAGE ET PIÈCE DE MONTAGE </t>
  </si>
  <si>
    <t>2 inch, for PHEV</t>
  </si>
  <si>
    <t>MZ313205</t>
  </si>
  <si>
    <t>Detachable(Vertical) for NAFTA - PHEV</t>
  </si>
  <si>
    <r>
      <t xml:space="preserve">WEATHERTECH CARGO LINER </t>
    </r>
    <r>
      <rPr>
        <b/>
        <sz val="10"/>
        <color theme="1"/>
        <rFont val="MMC OFFICE"/>
      </rPr>
      <t>(TO REVIEW FITMENT, DEC.8)</t>
    </r>
  </si>
  <si>
    <r>
      <t xml:space="preserve">1.25MM PITCH CHROME LOCK NUTS/4PC </t>
    </r>
    <r>
      <rPr>
        <b/>
        <sz val="10"/>
        <color theme="1"/>
        <rFont val="MMC OFFICE"/>
      </rPr>
      <t>(BULLETIN MP-XX-03-23)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</si>
</sst>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"/>
    <numFmt numFmtId="165" formatCode="0.0"/>
    <numFmt numFmtId="166" formatCode="#,##0.00\ [$$-C0C]"/>
  </numFmts>
  <fonts count="9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28"/>
      <scheme val="minor"/>
    </font>
    <font>
      <b/>
      <sz val="10"/>
      <color theme="1"/>
      <name val="Trebuchet MS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1"/>
      <color indexed="8"/>
      <name val="ＭＳ Ｐゴシック"/>
      <family val="3"/>
      <charset val="128"/>
    </font>
    <font>
      <sz val="9"/>
      <color indexed="81"/>
      <name val="Tahoma"/>
      <family val="2"/>
    </font>
    <font>
      <b/>
      <sz val="36"/>
      <color theme="0"/>
      <name val="MMC OFFICE"/>
    </font>
    <font>
      <b/>
      <sz val="18"/>
      <color theme="0"/>
      <name val="MMC OFFICE"/>
    </font>
    <font>
      <b/>
      <sz val="18"/>
      <color theme="1"/>
      <name val="MMC OFFICE"/>
    </font>
    <font>
      <sz val="11"/>
      <color rgb="FF006100"/>
      <name val="MMC OFFICE"/>
    </font>
    <font>
      <sz val="11"/>
      <color theme="1"/>
      <name val="MMC OFFICE"/>
    </font>
    <font>
      <b/>
      <sz val="12"/>
      <color theme="1"/>
      <name val="MMC OFFICE"/>
    </font>
    <font>
      <b/>
      <sz val="10"/>
      <color theme="1"/>
      <name val="MMC OFFICE"/>
    </font>
    <font>
      <sz val="10"/>
      <color theme="1"/>
      <name val="MMC OFFICE"/>
    </font>
    <font>
      <sz val="9"/>
      <color theme="1"/>
      <name val="MMC OFFICE"/>
    </font>
    <font>
      <sz val="11"/>
      <color rgb="FF9C0006"/>
      <name val="MMC OFFICE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MMCFFICE"/>
    </font>
    <font>
      <b/>
      <sz val="9"/>
      <color theme="1"/>
      <name val="MMC OFFICE"/>
    </font>
    <font>
      <sz val="9"/>
      <name val="MMC OFFICE"/>
    </font>
    <font>
      <b/>
      <sz val="9"/>
      <name val="MMC OFFICE"/>
    </font>
    <font>
      <b/>
      <sz val="11"/>
      <color theme="1"/>
      <name val="MMC OFFICE"/>
    </font>
    <font>
      <u/>
      <sz val="11"/>
      <color theme="10"/>
      <name val="MMC OFFICE"/>
    </font>
    <font>
      <b/>
      <sz val="11"/>
      <color theme="0"/>
      <name val="MMC OFFICE"/>
    </font>
    <font>
      <u/>
      <sz val="11"/>
      <name val="Calibri"/>
      <family val="2"/>
      <scheme val="minor"/>
    </font>
    <font>
      <b/>
      <sz val="8"/>
      <color rgb="FF595959"/>
      <name val="MMC OFFICE Medium"/>
    </font>
    <font>
      <b/>
      <sz val="8"/>
      <color theme="1"/>
      <name val="MMC OFFICE Medium"/>
    </font>
    <font>
      <sz val="8"/>
      <color theme="1"/>
      <name val="MMC OFFICE"/>
    </font>
    <font>
      <sz val="10"/>
      <color rgb="FF000000"/>
      <name val="Arial"/>
      <family val="2"/>
    </font>
    <font>
      <b/>
      <sz val="12"/>
      <color rgb="FF000000"/>
      <name val="MMC OFFICE"/>
    </font>
    <font>
      <sz val="12"/>
      <color theme="1"/>
      <name val="ヒラギノ角ゴ Std W4"/>
      <family val="2"/>
      <charset val="128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MMC OFFICE"/>
    </font>
    <font>
      <b/>
      <sz val="12"/>
      <name val="MMC OFFICE"/>
    </font>
    <font>
      <b/>
      <sz val="11"/>
      <name val="Calibri"/>
      <family val="2"/>
      <scheme val="minor"/>
    </font>
    <font>
      <b/>
      <sz val="10"/>
      <name val="MMC OFFICE"/>
    </font>
    <font>
      <sz val="10"/>
      <color theme="10"/>
      <name val="MMC OFFICE"/>
    </font>
    <font>
      <sz val="10"/>
      <name val="MMC OFFICE"/>
    </font>
    <font>
      <vertAlign val="superscript"/>
      <sz val="10"/>
      <color theme="1"/>
      <name val="MMC OFFICE"/>
    </font>
    <font>
      <sz val="10"/>
      <color rgb="FF000000"/>
      <name val="MMC OFFICE"/>
    </font>
    <font>
      <b/>
      <sz val="10"/>
      <color rgb="FF000000"/>
      <name val="MMC OFFICE"/>
    </font>
    <font>
      <b/>
      <sz val="10"/>
      <color rgb="FFFF0000"/>
      <name val="MMC OFFICE"/>
    </font>
    <font>
      <b/>
      <sz val="10"/>
      <color theme="3"/>
      <name val="MMC OFFICE"/>
    </font>
    <font>
      <sz val="10"/>
      <color theme="1"/>
      <name val="Calibri"/>
      <family val="2"/>
      <scheme val="minor"/>
    </font>
    <font>
      <b/>
      <sz val="10"/>
      <color theme="1"/>
      <name val="MMCFFICE"/>
    </font>
    <font>
      <u/>
      <sz val="10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9C0006"/>
      <name val="MMC OFFICE"/>
    </font>
    <font>
      <u/>
      <sz val="10"/>
      <color theme="10"/>
      <name val="MMC OFFICE"/>
    </font>
    <font>
      <b/>
      <sz val="10"/>
      <color theme="8" tint="-0.249977111117893"/>
      <name val="MMC OFFICE"/>
    </font>
    <font>
      <b/>
      <sz val="10"/>
      <color theme="3" tint="0.59999389629810485"/>
      <name val="MMC OFFICE"/>
    </font>
    <font>
      <b/>
      <sz val="10"/>
      <color theme="3" tint="0.39997558519241921"/>
      <name val="MMC OFFICE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theme="1"/>
      <name val="MMC OFFICE"/>
    </font>
    <font>
      <b/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93B3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2">
    <xf numFmtId="0" fontId="0" fillId="0" borderId="0"/>
    <xf numFmtId="0" fontId="1" fillId="0" borderId="0"/>
    <xf numFmtId="0" fontId="2" fillId="0" borderId="0">
      <alignment vertical="center"/>
    </xf>
    <xf numFmtId="0" fontId="4" fillId="0" borderId="0">
      <alignment vertical="center"/>
    </xf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9" applyNumberFormat="0" applyAlignment="0" applyProtection="0"/>
    <xf numFmtId="0" fontId="14" fillId="7" borderId="10" applyNumberFormat="0" applyAlignment="0" applyProtection="0"/>
    <xf numFmtId="0" fontId="15" fillId="7" borderId="9" applyNumberFormat="0" applyAlignment="0" applyProtection="0"/>
    <xf numFmtId="0" fontId="16" fillId="0" borderId="11" applyNumberFormat="0" applyFill="0" applyAlignment="0" applyProtection="0"/>
    <xf numFmtId="0" fontId="17" fillId="8" borderId="12" applyNumberFormat="0" applyAlignment="0" applyProtection="0"/>
    <xf numFmtId="0" fontId="18" fillId="0" borderId="0" applyNumberFormat="0" applyFill="0" applyBorder="0" applyAlignment="0" applyProtection="0"/>
    <xf numFmtId="0" fontId="5" fillId="9" borderId="13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4" applyNumberFormat="0" applyFill="0" applyAlignment="0" applyProtection="0"/>
    <xf numFmtId="0" fontId="21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1" fillId="33" borderId="0" applyNumberFormat="0" applyBorder="0" applyAlignment="0" applyProtection="0"/>
    <xf numFmtId="0" fontId="23" fillId="0" borderId="0"/>
    <xf numFmtId="44" fontId="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8" fillId="0" borderId="0"/>
    <xf numFmtId="0" fontId="50" fillId="0" borderId="0">
      <alignment vertical="center"/>
    </xf>
    <xf numFmtId="0" fontId="4" fillId="0" borderId="0">
      <alignment vertical="center"/>
    </xf>
    <xf numFmtId="0" fontId="4" fillId="0" borderId="0"/>
  </cellStyleXfs>
  <cellXfs count="362">
    <xf numFmtId="0" fontId="0" fillId="0" borderId="0" xfId="0"/>
    <xf numFmtId="0" fontId="25" fillId="35" borderId="4" xfId="0" applyFont="1" applyFill="1" applyBorder="1" applyAlignment="1">
      <alignment vertical="center"/>
    </xf>
    <xf numFmtId="0" fontId="29" fillId="0" borderId="0" xfId="0" applyFont="1"/>
    <xf numFmtId="0" fontId="30" fillId="34" borderId="2" xfId="0" applyFont="1" applyFill="1" applyBorder="1" applyAlignment="1">
      <alignment horizontal="center" vertical="center" wrapText="1"/>
    </xf>
    <xf numFmtId="0" fontId="30" fillId="34" borderId="1" xfId="0" applyFont="1" applyFill="1" applyBorder="1" applyAlignment="1">
      <alignment horizontal="center" vertical="center" wrapText="1"/>
    </xf>
    <xf numFmtId="164" fontId="30" fillId="34" borderId="2" xfId="0" applyNumberFormat="1" applyFont="1" applyFill="1" applyBorder="1" applyAlignment="1">
      <alignment horizontal="center" vertical="center" wrapText="1"/>
    </xf>
    <xf numFmtId="164" fontId="30" fillId="34" borderId="15" xfId="0" applyNumberFormat="1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 applyAlignment="1">
      <alignment horizontal="left"/>
    </xf>
    <xf numFmtId="0" fontId="27" fillId="2" borderId="4" xfId="0" applyFont="1" applyFill="1" applyBorder="1" applyAlignment="1">
      <alignment horizontal="center" vertical="center"/>
    </xf>
    <xf numFmtId="0" fontId="30" fillId="34" borderId="16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3" fillId="0" borderId="0" xfId="0" applyFont="1" applyAlignment="1">
      <alignment horizontal="left" wrapText="1"/>
    </xf>
    <xf numFmtId="0" fontId="34" fillId="4" borderId="0" xfId="10" applyFont="1"/>
    <xf numFmtId="0" fontId="32" fillId="0" borderId="0" xfId="0" applyFont="1" applyAlignment="1">
      <alignment horizontal="left" wrapText="1"/>
    </xf>
    <xf numFmtId="0" fontId="32" fillId="0" borderId="0" xfId="0" applyFont="1" applyAlignment="1">
      <alignment horizontal="center" vertical="center"/>
    </xf>
    <xf numFmtId="0" fontId="32" fillId="2" borderId="0" xfId="0" applyFont="1" applyFill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3" fillId="2" borderId="0" xfId="0" applyFont="1" applyFill="1" applyAlignment="1">
      <alignment horizontal="left"/>
    </xf>
    <xf numFmtId="44" fontId="0" fillId="0" borderId="0" xfId="46" applyFont="1"/>
    <xf numFmtId="0" fontId="37" fillId="0" borderId="16" xfId="0" applyFont="1" applyBorder="1" applyAlignment="1">
      <alignment horizontal="left"/>
    </xf>
    <xf numFmtId="0" fontId="38" fillId="2" borderId="2" xfId="0" applyFont="1" applyFill="1" applyBorder="1" applyAlignment="1">
      <alignment horizontal="left"/>
    </xf>
    <xf numFmtId="0" fontId="33" fillId="2" borderId="2" xfId="0" applyFont="1" applyFill="1" applyBorder="1" applyAlignment="1">
      <alignment horizontal="left"/>
    </xf>
    <xf numFmtId="0" fontId="33" fillId="2" borderId="2" xfId="0" applyFont="1" applyFill="1" applyBorder="1" applyAlignment="1">
      <alignment horizontal="center"/>
    </xf>
    <xf numFmtId="0" fontId="38" fillId="2" borderId="16" xfId="0" applyFont="1" applyFill="1" applyBorder="1" applyAlignment="1">
      <alignment horizontal="center"/>
    </xf>
    <xf numFmtId="0" fontId="33" fillId="0" borderId="2" xfId="0" applyFont="1" applyBorder="1" applyAlignment="1">
      <alignment horizontal="center"/>
    </xf>
    <xf numFmtId="164" fontId="33" fillId="0" borderId="2" xfId="0" applyNumberFormat="1" applyFont="1" applyBorder="1" applyAlignment="1">
      <alignment horizontal="center"/>
    </xf>
    <xf numFmtId="164" fontId="38" fillId="0" borderId="2" xfId="0" applyNumberFormat="1" applyFont="1" applyBorder="1" applyAlignment="1">
      <alignment horizontal="center"/>
    </xf>
    <xf numFmtId="0" fontId="38" fillId="0" borderId="2" xfId="0" applyFont="1" applyBorder="1" applyAlignment="1">
      <alignment horizontal="left"/>
    </xf>
    <xf numFmtId="0" fontId="33" fillId="0" borderId="2" xfId="0" applyFont="1" applyBorder="1" applyAlignment="1">
      <alignment horizontal="left"/>
    </xf>
    <xf numFmtId="0" fontId="38" fillId="0" borderId="16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8" fillId="2" borderId="16" xfId="0" applyFont="1" applyFill="1" applyBorder="1" applyAlignment="1">
      <alignment horizontal="left"/>
    </xf>
    <xf numFmtId="0" fontId="33" fillId="2" borderId="16" xfId="0" applyFont="1" applyFill="1" applyBorder="1" applyAlignment="1">
      <alignment horizontal="center"/>
    </xf>
    <xf numFmtId="0" fontId="38" fillId="0" borderId="16" xfId="0" applyFont="1" applyBorder="1" applyAlignment="1">
      <alignment horizontal="left"/>
    </xf>
    <xf numFmtId="0" fontId="33" fillId="0" borderId="16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39" fillId="0" borderId="2" xfId="0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33" fillId="0" borderId="2" xfId="0" applyFont="1" applyBorder="1" applyAlignment="1">
      <alignment horizontal="center" vertical="center"/>
    </xf>
    <xf numFmtId="164" fontId="33" fillId="0" borderId="16" xfId="0" applyNumberFormat="1" applyFont="1" applyBorder="1" applyAlignment="1">
      <alignment horizontal="center"/>
    </xf>
    <xf numFmtId="0" fontId="39" fillId="2" borderId="2" xfId="0" applyFont="1" applyFill="1" applyBorder="1" applyAlignment="1">
      <alignment horizontal="center"/>
    </xf>
    <xf numFmtId="0" fontId="29" fillId="2" borderId="0" xfId="0" applyFont="1" applyFill="1"/>
    <xf numFmtId="0" fontId="27" fillId="2" borderId="16" xfId="0" applyFont="1" applyFill="1" applyBorder="1" applyAlignment="1">
      <alignment horizontal="center" vertical="center"/>
    </xf>
    <xf numFmtId="0" fontId="38" fillId="37" borderId="16" xfId="0" applyFont="1" applyFill="1" applyBorder="1" applyAlignment="1">
      <alignment horizontal="left"/>
    </xf>
    <xf numFmtId="0" fontId="33" fillId="37" borderId="16" xfId="0" applyFont="1" applyFill="1" applyBorder="1" applyAlignment="1">
      <alignment horizontal="left"/>
    </xf>
    <xf numFmtId="0" fontId="37" fillId="37" borderId="16" xfId="0" applyFont="1" applyFill="1" applyBorder="1" applyAlignment="1">
      <alignment horizontal="left"/>
    </xf>
    <xf numFmtId="0" fontId="33" fillId="37" borderId="16" xfId="0" applyFont="1" applyFill="1" applyBorder="1" applyAlignment="1">
      <alignment horizontal="center"/>
    </xf>
    <xf numFmtId="0" fontId="33" fillId="0" borderId="16" xfId="0" applyFont="1" applyBorder="1"/>
    <xf numFmtId="0" fontId="30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left" vertical="center" wrapText="1"/>
    </xf>
    <xf numFmtId="44" fontId="25" fillId="35" borderId="4" xfId="46" applyFont="1" applyFill="1" applyBorder="1" applyAlignment="1">
      <alignment vertical="center"/>
    </xf>
    <xf numFmtId="0" fontId="33" fillId="0" borderId="16" xfId="0" applyFont="1" applyBorder="1" applyAlignment="1">
      <alignment horizontal="center" vertical="center" wrapText="1"/>
    </xf>
    <xf numFmtId="165" fontId="33" fillId="0" borderId="2" xfId="0" applyNumberFormat="1" applyFont="1" applyBorder="1" applyAlignment="1">
      <alignment horizontal="center"/>
    </xf>
    <xf numFmtId="165" fontId="25" fillId="35" borderId="4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41" fillId="34" borderId="16" xfId="0" applyFont="1" applyFill="1" applyBorder="1" applyAlignment="1">
      <alignment horizontal="center" vertical="center" wrapText="1"/>
    </xf>
    <xf numFmtId="0" fontId="41" fillId="0" borderId="16" xfId="0" applyFont="1" applyBorder="1" applyAlignment="1">
      <alignment horizontal="center" vertical="center" wrapText="1"/>
    </xf>
    <xf numFmtId="0" fontId="42" fillId="0" borderId="16" xfId="47" applyFont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164" fontId="42" fillId="0" borderId="16" xfId="47" applyNumberFormat="1" applyFont="1" applyFill="1" applyBorder="1" applyAlignment="1">
      <alignment horizontal="center" vertical="center"/>
    </xf>
    <xf numFmtId="0" fontId="42" fillId="0" borderId="16" xfId="47" applyFont="1" applyFill="1" applyBorder="1" applyAlignment="1">
      <alignment horizontal="center" vertical="center"/>
    </xf>
    <xf numFmtId="0" fontId="42" fillId="0" borderId="16" xfId="47" applyFont="1" applyFill="1" applyBorder="1" applyAlignment="1">
      <alignment horizontal="center"/>
    </xf>
    <xf numFmtId="0" fontId="38" fillId="0" borderId="16" xfId="0" applyFont="1" applyBorder="1" applyAlignment="1">
      <alignment horizontal="justify" vertical="center"/>
    </xf>
    <xf numFmtId="0" fontId="38" fillId="0" borderId="16" xfId="0" applyFont="1" applyBorder="1"/>
    <xf numFmtId="164" fontId="25" fillId="35" borderId="4" xfId="46" applyNumberFormat="1" applyFont="1" applyFill="1" applyBorder="1" applyAlignment="1">
      <alignment vertical="center"/>
    </xf>
    <xf numFmtId="164" fontId="0" fillId="0" borderId="0" xfId="46" applyNumberFormat="1" applyFont="1"/>
    <xf numFmtId="0" fontId="42" fillId="0" borderId="16" xfId="47" applyFont="1" applyBorder="1" applyAlignment="1">
      <alignment horizontal="center"/>
    </xf>
    <xf numFmtId="0" fontId="42" fillId="0" borderId="0" xfId="47" applyFont="1" applyFill="1" applyAlignment="1">
      <alignment horizontal="center"/>
    </xf>
    <xf numFmtId="0" fontId="29" fillId="0" borderId="0" xfId="0" applyFont="1" applyAlignment="1">
      <alignment horizontal="center" vertical="center"/>
    </xf>
    <xf numFmtId="0" fontId="43" fillId="35" borderId="4" xfId="0" applyFont="1" applyFill="1" applyBorder="1" applyAlignment="1">
      <alignment horizontal="center" vertical="center"/>
    </xf>
    <xf numFmtId="0" fontId="42" fillId="2" borderId="16" xfId="47" applyFont="1" applyFill="1" applyBorder="1" applyAlignment="1">
      <alignment horizontal="center"/>
    </xf>
    <xf numFmtId="0" fontId="10" fillId="3" borderId="0" xfId="9"/>
    <xf numFmtId="0" fontId="38" fillId="37" borderId="16" xfId="0" applyFont="1" applyFill="1" applyBorder="1" applyAlignment="1">
      <alignment horizontal="justify" vertical="center"/>
    </xf>
    <xf numFmtId="0" fontId="37" fillId="37" borderId="16" xfId="0" applyFont="1" applyFill="1" applyBorder="1" applyAlignment="1">
      <alignment horizontal="center"/>
    </xf>
    <xf numFmtId="0" fontId="42" fillId="37" borderId="16" xfId="47" applyFont="1" applyFill="1" applyBorder="1" applyAlignment="1">
      <alignment horizontal="center" vertical="center"/>
    </xf>
    <xf numFmtId="0" fontId="36" fillId="37" borderId="16" xfId="47" applyFill="1" applyBorder="1" applyAlignment="1">
      <alignment horizontal="center" vertical="center"/>
    </xf>
    <xf numFmtId="0" fontId="38" fillId="37" borderId="16" xfId="0" applyFont="1" applyFill="1" applyBorder="1" applyAlignment="1">
      <alignment horizontal="center"/>
    </xf>
    <xf numFmtId="164" fontId="33" fillId="37" borderId="16" xfId="0" applyNumberFormat="1" applyFont="1" applyFill="1" applyBorder="1" applyAlignment="1">
      <alignment horizontal="center"/>
    </xf>
    <xf numFmtId="0" fontId="33" fillId="37" borderId="2" xfId="0" applyFont="1" applyFill="1" applyBorder="1" applyAlignment="1">
      <alignment horizontal="center"/>
    </xf>
    <xf numFmtId="164" fontId="33" fillId="37" borderId="2" xfId="0" applyNumberFormat="1" applyFont="1" applyFill="1" applyBorder="1" applyAlignment="1">
      <alignment horizontal="center"/>
    </xf>
    <xf numFmtId="164" fontId="38" fillId="37" borderId="2" xfId="0" applyNumberFormat="1" applyFont="1" applyFill="1" applyBorder="1" applyAlignment="1">
      <alignment horizontal="center"/>
    </xf>
    <xf numFmtId="0" fontId="39" fillId="37" borderId="2" xfId="0" applyFont="1" applyFill="1" applyBorder="1" applyAlignment="1">
      <alignment horizontal="center"/>
    </xf>
    <xf numFmtId="0" fontId="10" fillId="37" borderId="2" xfId="9" applyFill="1" applyBorder="1" applyAlignment="1">
      <alignment horizontal="left"/>
    </xf>
    <xf numFmtId="0" fontId="10" fillId="37" borderId="16" xfId="9" applyFill="1" applyBorder="1" applyAlignment="1">
      <alignment horizontal="center"/>
    </xf>
    <xf numFmtId="0" fontId="10" fillId="37" borderId="2" xfId="9" applyFill="1" applyBorder="1" applyAlignment="1">
      <alignment horizontal="center"/>
    </xf>
    <xf numFmtId="164" fontId="10" fillId="37" borderId="2" xfId="9" applyNumberFormat="1" applyFill="1" applyBorder="1" applyAlignment="1">
      <alignment horizontal="center"/>
    </xf>
    <xf numFmtId="0" fontId="38" fillId="37" borderId="2" xfId="0" applyFont="1" applyFill="1" applyBorder="1" applyAlignment="1">
      <alignment horizontal="left"/>
    </xf>
    <xf numFmtId="0" fontId="33" fillId="37" borderId="2" xfId="0" applyFont="1" applyFill="1" applyBorder="1" applyAlignment="1">
      <alignment horizontal="left"/>
    </xf>
    <xf numFmtId="0" fontId="42" fillId="37" borderId="16" xfId="47" applyFont="1" applyFill="1" applyBorder="1" applyAlignment="1">
      <alignment horizontal="center"/>
    </xf>
    <xf numFmtId="164" fontId="10" fillId="37" borderId="16" xfId="9" applyNumberFormat="1" applyFill="1" applyBorder="1" applyAlignment="1">
      <alignment horizontal="center"/>
    </xf>
    <xf numFmtId="165" fontId="33" fillId="37" borderId="2" xfId="0" applyNumberFormat="1" applyFont="1" applyFill="1" applyBorder="1" applyAlignment="1">
      <alignment horizontal="center"/>
    </xf>
    <xf numFmtId="0" fontId="44" fillId="2" borderId="16" xfId="47" applyFont="1" applyFill="1" applyBorder="1" applyAlignment="1">
      <alignment horizontal="center"/>
    </xf>
    <xf numFmtId="0" fontId="45" fillId="36" borderId="0" xfId="0" applyFont="1" applyFill="1" applyAlignment="1">
      <alignment vertical="center"/>
    </xf>
    <xf numFmtId="0" fontId="46" fillId="36" borderId="0" xfId="0" applyFont="1" applyFill="1"/>
    <xf numFmtId="0" fontId="45" fillId="36" borderId="0" xfId="0" applyFont="1" applyFill="1"/>
    <xf numFmtId="0" fontId="47" fillId="36" borderId="0" xfId="0" applyFont="1" applyFill="1"/>
    <xf numFmtId="0" fontId="46" fillId="36" borderId="0" xfId="0" applyFont="1" applyFill="1" applyAlignment="1">
      <alignment vertical="center"/>
    </xf>
    <xf numFmtId="0" fontId="51" fillId="39" borderId="0" xfId="0" applyFont="1" applyFill="1"/>
    <xf numFmtId="0" fontId="52" fillId="39" borderId="0" xfId="0" applyFont="1" applyFill="1"/>
    <xf numFmtId="0" fontId="52" fillId="0" borderId="0" xfId="0" applyFont="1"/>
    <xf numFmtId="164" fontId="53" fillId="0" borderId="0" xfId="0" applyNumberFormat="1" applyFont="1"/>
    <xf numFmtId="0" fontId="53" fillId="0" borderId="0" xfId="0" applyFont="1" applyAlignment="1">
      <alignment horizontal="center"/>
    </xf>
    <xf numFmtId="0" fontId="53" fillId="0" borderId="0" xfId="0" applyFont="1"/>
    <xf numFmtId="0" fontId="54" fillId="0" borderId="0" xfId="0" applyFont="1"/>
    <xf numFmtId="0" fontId="30" fillId="40" borderId="19" xfId="0" applyFont="1" applyFill="1" applyBorder="1" applyAlignment="1">
      <alignment horizontal="center" vertical="center" wrapText="1"/>
    </xf>
    <xf numFmtId="164" fontId="30" fillId="40" borderId="19" xfId="0" applyNumberFormat="1" applyFont="1" applyFill="1" applyBorder="1" applyAlignment="1">
      <alignment horizontal="center" vertical="center" wrapText="1"/>
    </xf>
    <xf numFmtId="0" fontId="54" fillId="0" borderId="0" xfId="0" applyFont="1" applyAlignment="1">
      <alignment horizontal="left"/>
    </xf>
    <xf numFmtId="164" fontId="54" fillId="0" borderId="0" xfId="0" applyNumberFormat="1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2" fillId="0" borderId="0" xfId="0" applyFont="1" applyAlignment="1">
      <alignment horizontal="left"/>
    </xf>
    <xf numFmtId="0" fontId="52" fillId="38" borderId="0" xfId="0" applyFont="1" applyFill="1" applyAlignment="1">
      <alignment wrapText="1"/>
    </xf>
    <xf numFmtId="0" fontId="54" fillId="0" borderId="0" xfId="0" applyFont="1" applyAlignment="1">
      <alignment wrapText="1"/>
    </xf>
    <xf numFmtId="0" fontId="52" fillId="38" borderId="0" xfId="0" applyFont="1" applyFill="1" applyAlignment="1">
      <alignment horizontal="left"/>
    </xf>
    <xf numFmtId="0" fontId="52" fillId="0" borderId="0" xfId="0" applyFont="1" applyAlignment="1">
      <alignment horizontal="left" wrapText="1"/>
    </xf>
    <xf numFmtId="166" fontId="30" fillId="40" borderId="19" xfId="0" applyNumberFormat="1" applyFont="1" applyFill="1" applyBorder="1" applyAlignment="1">
      <alignment horizontal="center" vertical="center" wrapText="1"/>
    </xf>
    <xf numFmtId="0" fontId="56" fillId="0" borderId="0" xfId="0" applyFont="1"/>
    <xf numFmtId="166" fontId="54" fillId="0" borderId="0" xfId="0" applyNumberFormat="1" applyFont="1" applyAlignment="1">
      <alignment horizontal="left"/>
    </xf>
    <xf numFmtId="0" fontId="57" fillId="39" borderId="0" xfId="0" applyFont="1" applyFill="1"/>
    <xf numFmtId="0" fontId="53" fillId="39" borderId="0" xfId="0" applyFont="1" applyFill="1"/>
    <xf numFmtId="0" fontId="58" fillId="0" borderId="0" xfId="0" applyFont="1"/>
    <xf numFmtId="0" fontId="48" fillId="0" borderId="0" xfId="0" applyFont="1"/>
    <xf numFmtId="0" fontId="59" fillId="36" borderId="0" xfId="0" applyFont="1" applyFill="1"/>
    <xf numFmtId="0" fontId="53" fillId="36" borderId="0" xfId="0" applyFont="1" applyFill="1"/>
    <xf numFmtId="0" fontId="61" fillId="36" borderId="0" xfId="0" applyFont="1" applyFill="1"/>
    <xf numFmtId="0" fontId="62" fillId="0" borderId="0" xfId="0" applyFont="1" applyAlignment="1">
      <alignment horizontal="left"/>
    </xf>
    <xf numFmtId="0" fontId="33" fillId="2" borderId="0" xfId="0" applyFont="1" applyFill="1" applyAlignment="1">
      <alignment horizontal="left" wrapText="1"/>
    </xf>
    <xf numFmtId="0" fontId="30" fillId="34" borderId="18" xfId="0" applyFont="1" applyFill="1" applyBorder="1" applyAlignment="1">
      <alignment horizontal="center" vertical="center" wrapText="1"/>
    </xf>
    <xf numFmtId="164" fontId="30" fillId="34" borderId="18" xfId="0" applyNumberFormat="1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/>
    </xf>
    <xf numFmtId="0" fontId="64" fillId="34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/>
    </xf>
    <xf numFmtId="0" fontId="27" fillId="2" borderId="17" xfId="0" applyFont="1" applyFill="1" applyBorder="1" applyAlignment="1">
      <alignment horizontal="center" vertical="center"/>
    </xf>
    <xf numFmtId="0" fontId="36" fillId="0" borderId="16" xfId="47" applyBorder="1" applyAlignment="1">
      <alignment horizontal="center"/>
    </xf>
    <xf numFmtId="164" fontId="25" fillId="35" borderId="4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wrapText="1"/>
    </xf>
    <xf numFmtId="0" fontId="64" fillId="34" borderId="16" xfId="0" applyFont="1" applyFill="1" applyBorder="1" applyAlignment="1">
      <alignment horizontal="center" vertical="center" wrapText="1"/>
    </xf>
    <xf numFmtId="44" fontId="20" fillId="0" borderId="0" xfId="46" applyFont="1"/>
    <xf numFmtId="0" fontId="30" fillId="34" borderId="20" xfId="0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left" vertical="center" wrapText="1"/>
    </xf>
    <xf numFmtId="0" fontId="32" fillId="0" borderId="16" xfId="0" applyFont="1" applyBorder="1" applyAlignment="1">
      <alignment horizontal="center" vertical="center" wrapText="1"/>
    </xf>
    <xf numFmtId="0" fontId="66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67" fillId="0" borderId="16" xfId="47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44" fontId="32" fillId="0" borderId="16" xfId="46" applyFont="1" applyBorder="1"/>
    <xf numFmtId="0" fontId="32" fillId="0" borderId="16" xfId="0" applyFont="1" applyBorder="1"/>
    <xf numFmtId="44" fontId="31" fillId="0" borderId="16" xfId="46" applyFont="1" applyBorder="1"/>
    <xf numFmtId="44" fontId="31" fillId="0" borderId="16" xfId="46" applyFont="1" applyFill="1" applyBorder="1"/>
    <xf numFmtId="0" fontId="32" fillId="2" borderId="16" xfId="0" applyFont="1" applyFill="1" applyBorder="1" applyAlignment="1">
      <alignment horizontal="left" vertical="center" wrapText="1"/>
    </xf>
    <xf numFmtId="0" fontId="32" fillId="2" borderId="16" xfId="0" applyFont="1" applyFill="1" applyBorder="1"/>
    <xf numFmtId="0" fontId="32" fillId="0" borderId="16" xfId="0" applyFont="1" applyBorder="1" applyAlignment="1">
      <alignment horizontal="left"/>
    </xf>
    <xf numFmtId="0" fontId="68" fillId="2" borderId="16" xfId="0" applyFont="1" applyFill="1" applyBorder="1"/>
    <xf numFmtId="0" fontId="70" fillId="0" borderId="16" xfId="0" applyFont="1" applyBorder="1"/>
    <xf numFmtId="0" fontId="31" fillId="0" borderId="16" xfId="0" applyFont="1" applyBorder="1" applyAlignment="1">
      <alignment horizontal="center" wrapText="1"/>
    </xf>
    <xf numFmtId="0" fontId="31" fillId="2" borderId="16" xfId="0" applyFont="1" applyFill="1" applyBorder="1" applyAlignment="1">
      <alignment horizontal="left"/>
    </xf>
    <xf numFmtId="0" fontId="32" fillId="2" borderId="16" xfId="0" applyFont="1" applyFill="1" applyBorder="1" applyAlignment="1">
      <alignment horizontal="left"/>
    </xf>
    <xf numFmtId="0" fontId="31" fillId="0" borderId="16" xfId="0" applyFont="1" applyBorder="1" applyAlignment="1">
      <alignment horizontal="justify" vertical="center"/>
    </xf>
    <xf numFmtId="0" fontId="30" fillId="34" borderId="16" xfId="0" applyFont="1" applyFill="1" applyBorder="1" applyAlignment="1">
      <alignment horizontal="left" vertical="center" wrapText="1"/>
    </xf>
    <xf numFmtId="0" fontId="31" fillId="41" borderId="16" xfId="0" applyFont="1" applyFill="1" applyBorder="1" applyAlignment="1">
      <alignment horizontal="justify" vertical="center"/>
    </xf>
    <xf numFmtId="0" fontId="32" fillId="41" borderId="16" xfId="0" applyFont="1" applyFill="1" applyBorder="1" applyAlignment="1">
      <alignment horizontal="left" vertical="center" wrapText="1"/>
    </xf>
    <xf numFmtId="0" fontId="31" fillId="0" borderId="16" xfId="0" applyFont="1" applyBorder="1" applyAlignment="1">
      <alignment horizontal="center" vertical="center" wrapText="1"/>
    </xf>
    <xf numFmtId="0" fontId="67" fillId="0" borderId="16" xfId="47" applyFont="1" applyFill="1" applyBorder="1" applyAlignment="1">
      <alignment horizontal="center"/>
    </xf>
    <xf numFmtId="0" fontId="68" fillId="0" borderId="16" xfId="0" applyFont="1" applyBorder="1" applyAlignment="1">
      <alignment horizontal="left" vertical="center" wrapText="1"/>
    </xf>
    <xf numFmtId="44" fontId="32" fillId="0" borderId="16" xfId="46" applyFont="1" applyFill="1" applyBorder="1"/>
    <xf numFmtId="0" fontId="31" fillId="41" borderId="16" xfId="0" applyFont="1" applyFill="1" applyBorder="1" applyAlignment="1">
      <alignment horizontal="left"/>
    </xf>
    <xf numFmtId="0" fontId="32" fillId="41" borderId="16" xfId="0" applyFont="1" applyFill="1" applyBorder="1" applyAlignment="1">
      <alignment horizontal="left"/>
    </xf>
    <xf numFmtId="0" fontId="66" fillId="0" borderId="16" xfId="0" applyFont="1" applyBorder="1" applyAlignment="1">
      <alignment horizontal="center" wrapText="1"/>
    </xf>
    <xf numFmtId="0" fontId="67" fillId="0" borderId="0" xfId="47" applyFont="1" applyBorder="1" applyAlignment="1">
      <alignment horizontal="center"/>
    </xf>
    <xf numFmtId="0" fontId="74" fillId="0" borderId="16" xfId="0" applyFont="1" applyBorder="1" applyAlignment="1">
      <alignment horizontal="center" vertical="center" wrapText="1"/>
    </xf>
    <xf numFmtId="0" fontId="76" fillId="0" borderId="16" xfId="47" applyFont="1" applyBorder="1" applyAlignment="1">
      <alignment horizontal="center"/>
    </xf>
    <xf numFmtId="0" fontId="32" fillId="41" borderId="16" xfId="0" applyFont="1" applyFill="1" applyBorder="1"/>
    <xf numFmtId="0" fontId="25" fillId="35" borderId="3" xfId="0" applyFont="1" applyFill="1" applyBorder="1" applyAlignment="1">
      <alignment vertical="center"/>
    </xf>
    <xf numFmtId="0" fontId="77" fillId="0" borderId="16" xfId="47" applyFont="1" applyBorder="1" applyAlignment="1">
      <alignment horizontal="center"/>
    </xf>
    <xf numFmtId="165" fontId="32" fillId="0" borderId="16" xfId="46" applyNumberFormat="1" applyFont="1" applyFill="1" applyBorder="1" applyAlignment="1">
      <alignment horizontal="center"/>
    </xf>
    <xf numFmtId="0" fontId="31" fillId="41" borderId="16" xfId="0" applyFont="1" applyFill="1" applyBorder="1" applyAlignment="1">
      <alignment horizontal="center"/>
    </xf>
    <xf numFmtId="0" fontId="67" fillId="41" borderId="16" xfId="47" applyFont="1" applyFill="1" applyBorder="1" applyAlignment="1">
      <alignment horizontal="center"/>
    </xf>
    <xf numFmtId="0" fontId="32" fillId="41" borderId="16" xfId="0" applyFont="1" applyFill="1" applyBorder="1" applyAlignment="1">
      <alignment horizontal="center"/>
    </xf>
    <xf numFmtId="44" fontId="32" fillId="41" borderId="16" xfId="46" applyFont="1" applyFill="1" applyBorder="1"/>
    <xf numFmtId="0" fontId="32" fillId="41" borderId="16" xfId="0" applyFont="1" applyFill="1" applyBorder="1" applyAlignment="1">
      <alignment horizontal="center" vertical="center" wrapText="1"/>
    </xf>
    <xf numFmtId="44" fontId="31" fillId="41" borderId="16" xfId="46" applyFont="1" applyFill="1" applyBorder="1"/>
    <xf numFmtId="0" fontId="67" fillId="0" borderId="1" xfId="47" applyFont="1" applyFill="1" applyBorder="1" applyAlignment="1">
      <alignment horizontal="center"/>
    </xf>
    <xf numFmtId="44" fontId="31" fillId="0" borderId="1" xfId="46" applyFont="1" applyFill="1" applyBorder="1"/>
    <xf numFmtId="165" fontId="32" fillId="0" borderId="16" xfId="0" applyNumberFormat="1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/>
    </xf>
    <xf numFmtId="0" fontId="32" fillId="0" borderId="0" xfId="0" applyFont="1" applyAlignment="1">
      <alignment horizontal="left"/>
    </xf>
    <xf numFmtId="0" fontId="79" fillId="0" borderId="16" xfId="47" applyFont="1" applyBorder="1" applyAlignment="1">
      <alignment horizontal="center"/>
    </xf>
    <xf numFmtId="0" fontId="32" fillId="2" borderId="0" xfId="0" applyFont="1" applyFill="1" applyAlignment="1">
      <alignment horizontal="left" wrapText="1"/>
    </xf>
    <xf numFmtId="0" fontId="35" fillId="0" borderId="16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/>
    </xf>
    <xf numFmtId="165" fontId="32" fillId="0" borderId="16" xfId="0" applyNumberFormat="1" applyFont="1" applyBorder="1" applyAlignment="1">
      <alignment horizontal="center"/>
    </xf>
    <xf numFmtId="0" fontId="86" fillId="0" borderId="0" xfId="0" applyFont="1" applyAlignment="1">
      <alignment horizontal="left" wrapText="1"/>
    </xf>
    <xf numFmtId="44" fontId="31" fillId="0" borderId="16" xfId="0" applyNumberFormat="1" applyFont="1" applyBorder="1" applyAlignment="1">
      <alignment horizontal="center" vertical="center"/>
    </xf>
    <xf numFmtId="44" fontId="0" fillId="0" borderId="0" xfId="0" applyNumberFormat="1"/>
    <xf numFmtId="44" fontId="32" fillId="0" borderId="16" xfId="0" applyNumberFormat="1" applyFont="1" applyBorder="1"/>
    <xf numFmtId="0" fontId="34" fillId="0" borderId="0" xfId="10" applyFont="1" applyFill="1"/>
    <xf numFmtId="0" fontId="78" fillId="0" borderId="0" xfId="10" applyFont="1" applyFill="1"/>
    <xf numFmtId="164" fontId="30" fillId="34" borderId="16" xfId="0" applyNumberFormat="1" applyFont="1" applyFill="1" applyBorder="1" applyAlignment="1">
      <alignment horizontal="center" vertical="center" wrapText="1"/>
    </xf>
    <xf numFmtId="0" fontId="67" fillId="0" borderId="0" xfId="47" applyFont="1" applyFill="1" applyBorder="1" applyAlignment="1">
      <alignment horizontal="center"/>
    </xf>
    <xf numFmtId="0" fontId="66" fillId="41" borderId="16" xfId="0" applyFont="1" applyFill="1" applyBorder="1" applyAlignment="1">
      <alignment horizontal="center" wrapText="1"/>
    </xf>
    <xf numFmtId="0" fontId="31" fillId="41" borderId="16" xfId="0" applyFont="1" applyFill="1" applyBorder="1" applyAlignment="1">
      <alignment horizontal="center" wrapText="1"/>
    </xf>
    <xf numFmtId="44" fontId="32" fillId="41" borderId="16" xfId="0" applyNumberFormat="1" applyFont="1" applyFill="1" applyBorder="1" applyAlignment="1">
      <alignment horizontal="center" vertical="center"/>
    </xf>
    <xf numFmtId="165" fontId="32" fillId="41" borderId="16" xfId="0" applyNumberFormat="1" applyFont="1" applyFill="1" applyBorder="1" applyAlignment="1">
      <alignment horizontal="center" vertical="center" wrapText="1"/>
    </xf>
    <xf numFmtId="44" fontId="31" fillId="41" borderId="16" xfId="0" applyNumberFormat="1" applyFont="1" applyFill="1" applyBorder="1" applyAlignment="1">
      <alignment horizontal="center" vertical="center"/>
    </xf>
    <xf numFmtId="0" fontId="68" fillId="41" borderId="16" xfId="0" applyFont="1" applyFill="1" applyBorder="1"/>
    <xf numFmtId="0" fontId="32" fillId="41" borderId="3" xfId="0" applyFont="1" applyFill="1" applyBorder="1" applyAlignment="1">
      <alignment horizontal="center"/>
    </xf>
    <xf numFmtId="44" fontId="32" fillId="41" borderId="16" xfId="0" applyNumberFormat="1" applyFont="1" applyFill="1" applyBorder="1" applyAlignment="1">
      <alignment horizontal="center"/>
    </xf>
    <xf numFmtId="165" fontId="32" fillId="41" borderId="16" xfId="46" applyNumberFormat="1" applyFont="1" applyFill="1" applyBorder="1" applyAlignment="1">
      <alignment horizontal="center"/>
    </xf>
    <xf numFmtId="44" fontId="31" fillId="41" borderId="16" xfId="0" applyNumberFormat="1" applyFont="1" applyFill="1" applyBorder="1" applyAlignment="1">
      <alignment horizontal="center"/>
    </xf>
    <xf numFmtId="164" fontId="32" fillId="41" borderId="16" xfId="0" applyNumberFormat="1" applyFont="1" applyFill="1" applyBorder="1" applyAlignment="1">
      <alignment horizontal="center"/>
    </xf>
    <xf numFmtId="164" fontId="31" fillId="41" borderId="16" xfId="0" applyNumberFormat="1" applyFont="1" applyFill="1" applyBorder="1" applyAlignment="1">
      <alignment horizontal="center"/>
    </xf>
    <xf numFmtId="0" fontId="74" fillId="41" borderId="16" xfId="0" applyFont="1" applyFill="1" applyBorder="1" applyAlignment="1">
      <alignment horizontal="center" vertical="center" wrapText="1"/>
    </xf>
    <xf numFmtId="44" fontId="32" fillId="41" borderId="16" xfId="0" applyNumberFormat="1" applyFont="1" applyFill="1" applyBorder="1"/>
    <xf numFmtId="0" fontId="35" fillId="41" borderId="16" xfId="0" applyFont="1" applyFill="1" applyBorder="1" applyAlignment="1">
      <alignment horizontal="center" vertical="center" wrapText="1"/>
    </xf>
    <xf numFmtId="44" fontId="30" fillId="34" borderId="16" xfId="46" applyFont="1" applyFill="1" applyBorder="1" applyAlignment="1">
      <alignment horizontal="center" vertical="center" wrapText="1"/>
    </xf>
    <xf numFmtId="0" fontId="68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left"/>
    </xf>
    <xf numFmtId="0" fontId="31" fillId="0" borderId="16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6" fillId="0" borderId="16" xfId="47" applyFill="1" applyBorder="1" applyAlignment="1">
      <alignment horizontal="center"/>
    </xf>
    <xf numFmtId="0" fontId="32" fillId="0" borderId="5" xfId="0" applyFont="1" applyBorder="1"/>
    <xf numFmtId="0" fontId="66" fillId="0" borderId="16" xfId="10" applyFont="1" applyFill="1" applyBorder="1" applyAlignment="1">
      <alignment vertical="center"/>
    </xf>
    <xf numFmtId="0" fontId="32" fillId="0" borderId="16" xfId="0" applyFont="1" applyBorder="1" applyAlignment="1">
      <alignment horizontal="left" vertical="center"/>
    </xf>
    <xf numFmtId="0" fontId="75" fillId="0" borderId="16" xfId="0" applyFont="1" applyBorder="1" applyAlignment="1">
      <alignment horizontal="center"/>
    </xf>
    <xf numFmtId="0" fontId="25" fillId="35" borderId="4" xfId="0" applyFont="1" applyFill="1" applyBorder="1" applyAlignment="1">
      <alignment horizontal="center" vertical="center"/>
    </xf>
    <xf numFmtId="0" fontId="31" fillId="42" borderId="16" xfId="0" applyFont="1" applyFill="1" applyBorder="1" applyAlignment="1">
      <alignment horizontal="left"/>
    </xf>
    <xf numFmtId="0" fontId="32" fillId="42" borderId="16" xfId="0" applyFont="1" applyFill="1" applyBorder="1" applyAlignment="1">
      <alignment horizontal="left" vertical="center" wrapText="1"/>
    </xf>
    <xf numFmtId="0" fontId="32" fillId="42" borderId="16" xfId="0" applyFont="1" applyFill="1" applyBorder="1"/>
    <xf numFmtId="0" fontId="74" fillId="42" borderId="16" xfId="0" applyFont="1" applyFill="1" applyBorder="1" applyAlignment="1">
      <alignment horizontal="center" vertical="center" wrapText="1"/>
    </xf>
    <xf numFmtId="0" fontId="31" fillId="42" borderId="16" xfId="0" applyFont="1" applyFill="1" applyBorder="1" applyAlignment="1">
      <alignment horizontal="center" wrapText="1"/>
    </xf>
    <xf numFmtId="0" fontId="67" fillId="42" borderId="16" xfId="47" applyFont="1" applyFill="1" applyBorder="1" applyAlignment="1">
      <alignment horizontal="center"/>
    </xf>
    <xf numFmtId="0" fontId="32" fillId="42" borderId="16" xfId="0" applyFont="1" applyFill="1" applyBorder="1" applyAlignment="1">
      <alignment horizontal="center"/>
    </xf>
    <xf numFmtId="44" fontId="32" fillId="42" borderId="16" xfId="46" applyFont="1" applyFill="1" applyBorder="1"/>
    <xf numFmtId="165" fontId="32" fillId="42" borderId="16" xfId="0" applyNumberFormat="1" applyFont="1" applyFill="1" applyBorder="1" applyAlignment="1">
      <alignment horizontal="center" vertical="center" wrapText="1"/>
    </xf>
    <xf numFmtId="44" fontId="31" fillId="42" borderId="16" xfId="46" applyFont="1" applyFill="1" applyBorder="1"/>
    <xf numFmtId="0" fontId="31" fillId="0" borderId="0" xfId="0" applyFont="1" applyAlignment="1">
      <alignment horizontal="justify" vertical="center"/>
    </xf>
    <xf numFmtId="165" fontId="30" fillId="34" borderId="16" xfId="0" applyNumberFormat="1" applyFont="1" applyFill="1" applyBorder="1" applyAlignment="1">
      <alignment horizontal="center" vertical="center" wrapText="1"/>
    </xf>
    <xf numFmtId="44" fontId="32" fillId="0" borderId="16" xfId="0" applyNumberFormat="1" applyFont="1" applyBorder="1" applyAlignment="1">
      <alignment horizontal="center" vertical="center"/>
    </xf>
    <xf numFmtId="0" fontId="31" fillId="41" borderId="3" xfId="0" applyFont="1" applyFill="1" applyBorder="1" applyAlignment="1">
      <alignment horizontal="center"/>
    </xf>
    <xf numFmtId="0" fontId="68" fillId="0" borderId="16" xfId="0" applyFont="1" applyBorder="1"/>
    <xf numFmtId="0" fontId="32" fillId="41" borderId="0" xfId="0" applyFont="1" applyFill="1"/>
    <xf numFmtId="0" fontId="31" fillId="42" borderId="16" xfId="0" applyFont="1" applyFill="1" applyBorder="1" applyAlignment="1">
      <alignment horizontal="center"/>
    </xf>
    <xf numFmtId="44" fontId="32" fillId="42" borderId="16" xfId="0" applyNumberFormat="1" applyFont="1" applyFill="1" applyBorder="1" applyAlignment="1">
      <alignment horizontal="center" vertical="center"/>
    </xf>
    <xf numFmtId="44" fontId="31" fillId="42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0" applyFont="1"/>
    <xf numFmtId="0" fontId="77" fillId="0" borderId="3" xfId="47" applyFont="1" applyBorder="1" applyAlignment="1">
      <alignment horizontal="center"/>
    </xf>
    <xf numFmtId="44" fontId="32" fillId="0" borderId="16" xfId="0" applyNumberFormat="1" applyFont="1" applyBorder="1" applyAlignment="1">
      <alignment horizontal="center"/>
    </xf>
    <xf numFmtId="44" fontId="31" fillId="0" borderId="16" xfId="0" applyNumberFormat="1" applyFont="1" applyBorder="1" applyAlignment="1">
      <alignment horizontal="center"/>
    </xf>
    <xf numFmtId="0" fontId="77" fillId="41" borderId="16" xfId="47" applyFont="1" applyFill="1" applyBorder="1" applyAlignment="1">
      <alignment horizontal="center"/>
    </xf>
    <xf numFmtId="0" fontId="77" fillId="41" borderId="3" xfId="47" applyFont="1" applyFill="1" applyBorder="1" applyAlignment="1">
      <alignment horizontal="center"/>
    </xf>
    <xf numFmtId="0" fontId="36" fillId="0" borderId="3" xfId="47" applyBorder="1" applyAlignment="1">
      <alignment horizontal="center"/>
    </xf>
    <xf numFmtId="0" fontId="67" fillId="41" borderId="3" xfId="47" applyFont="1" applyFill="1" applyBorder="1" applyAlignment="1">
      <alignment horizontal="center"/>
    </xf>
    <xf numFmtId="0" fontId="76" fillId="0" borderId="3" xfId="47" applyFont="1" applyBorder="1" applyAlignment="1">
      <alignment horizontal="center"/>
    </xf>
    <xf numFmtId="164" fontId="32" fillId="0" borderId="16" xfId="0" applyNumberFormat="1" applyFont="1" applyBorder="1" applyAlignment="1">
      <alignment horizontal="center"/>
    </xf>
    <xf numFmtId="164" fontId="31" fillId="0" borderId="16" xfId="0" applyNumberFormat="1" applyFont="1" applyBorder="1" applyAlignment="1">
      <alignment horizontal="center"/>
    </xf>
    <xf numFmtId="164" fontId="30" fillId="34" borderId="16" xfId="46" applyNumberFormat="1" applyFont="1" applyFill="1" applyBorder="1" applyAlignment="1">
      <alignment horizontal="center" vertical="center" wrapText="1"/>
    </xf>
    <xf numFmtId="0" fontId="67" fillId="0" borderId="3" xfId="47" applyFont="1" applyBorder="1" applyAlignment="1">
      <alignment horizontal="center"/>
    </xf>
    <xf numFmtId="0" fontId="83" fillId="0" borderId="16" xfId="0" applyFont="1" applyBorder="1" applyAlignment="1">
      <alignment horizontal="center"/>
    </xf>
    <xf numFmtId="0" fontId="74" fillId="0" borderId="16" xfId="0" applyFont="1" applyBorder="1" applyAlignment="1">
      <alignment horizontal="center"/>
    </xf>
    <xf numFmtId="0" fontId="31" fillId="0" borderId="18" xfId="0" applyFont="1" applyBorder="1" applyAlignment="1">
      <alignment horizontal="justify" vertical="center"/>
    </xf>
    <xf numFmtId="0" fontId="32" fillId="0" borderId="18" xfId="0" applyFont="1" applyBorder="1" applyAlignment="1">
      <alignment horizontal="left" vertical="center" wrapText="1"/>
    </xf>
    <xf numFmtId="0" fontId="74" fillId="0" borderId="18" xfId="0" applyFont="1" applyBorder="1" applyAlignment="1">
      <alignment horizontal="center" vertical="center" wrapText="1"/>
    </xf>
    <xf numFmtId="0" fontId="66" fillId="0" borderId="18" xfId="0" applyFont="1" applyBorder="1" applyAlignment="1">
      <alignment horizontal="center" wrapText="1"/>
    </xf>
    <xf numFmtId="0" fontId="31" fillId="0" borderId="18" xfId="0" applyFont="1" applyBorder="1" applyAlignment="1">
      <alignment horizontal="center" wrapText="1"/>
    </xf>
    <xf numFmtId="0" fontId="67" fillId="0" borderId="18" xfId="47" applyFont="1" applyBorder="1" applyAlignment="1">
      <alignment horizontal="center"/>
    </xf>
    <xf numFmtId="0" fontId="32" fillId="0" borderId="18" xfId="0" applyFont="1" applyBorder="1" applyAlignment="1">
      <alignment horizontal="center"/>
    </xf>
    <xf numFmtId="44" fontId="32" fillId="0" borderId="18" xfId="46" applyFont="1" applyBorder="1"/>
    <xf numFmtId="165" fontId="32" fillId="0" borderId="18" xfId="0" applyNumberFormat="1" applyFont="1" applyBorder="1" applyAlignment="1">
      <alignment horizontal="center" vertical="center" wrapText="1"/>
    </xf>
    <xf numFmtId="44" fontId="31" fillId="0" borderId="18" xfId="46" applyFont="1" applyBorder="1"/>
    <xf numFmtId="0" fontId="31" fillId="0" borderId="1" xfId="0" applyFont="1" applyBorder="1" applyAlignment="1">
      <alignment horizontal="justify" vertical="center"/>
    </xf>
    <xf numFmtId="0" fontId="32" fillId="0" borderId="1" xfId="0" applyFont="1" applyBorder="1" applyAlignment="1">
      <alignment horizontal="left" vertical="center" wrapText="1"/>
    </xf>
    <xf numFmtId="0" fontId="74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0" fontId="32" fillId="0" borderId="1" xfId="0" applyFont="1" applyBorder="1" applyAlignment="1">
      <alignment horizontal="center"/>
    </xf>
    <xf numFmtId="44" fontId="32" fillId="0" borderId="1" xfId="46" applyFont="1" applyBorder="1"/>
    <xf numFmtId="165" fontId="32" fillId="0" borderId="1" xfId="0" applyNumberFormat="1" applyFont="1" applyBorder="1" applyAlignment="1">
      <alignment horizontal="center" vertical="center" wrapText="1"/>
    </xf>
    <xf numFmtId="0" fontId="31" fillId="41" borderId="16" xfId="0" applyFont="1" applyFill="1" applyBorder="1" applyAlignment="1">
      <alignment horizontal="left" vertical="center" wrapText="1"/>
    </xf>
    <xf numFmtId="0" fontId="31" fillId="0" borderId="16" xfId="0" applyFont="1" applyBorder="1"/>
    <xf numFmtId="0" fontId="66" fillId="0" borderId="16" xfId="49" applyFont="1" applyBorder="1">
      <alignment vertical="center"/>
    </xf>
    <xf numFmtId="0" fontId="68" fillId="0" borderId="16" xfId="0" applyFont="1" applyBorder="1" applyAlignment="1">
      <alignment horizontal="left"/>
    </xf>
    <xf numFmtId="0" fontId="66" fillId="0" borderId="16" xfId="3" applyFont="1" applyBorder="1" applyAlignment="1">
      <alignment horizontal="left" vertical="center" wrapText="1"/>
    </xf>
    <xf numFmtId="0" fontId="31" fillId="0" borderId="16" xfId="49" applyFont="1" applyBorder="1">
      <alignment vertical="center"/>
    </xf>
    <xf numFmtId="44" fontId="32" fillId="42" borderId="16" xfId="0" applyNumberFormat="1" applyFont="1" applyFill="1" applyBorder="1"/>
    <xf numFmtId="0" fontId="71" fillId="0" borderId="16" xfId="0" applyFont="1" applyBorder="1"/>
    <xf numFmtId="0" fontId="31" fillId="34" borderId="16" xfId="0" applyFont="1" applyFill="1" applyBorder="1" applyAlignment="1">
      <alignment horizontal="center" vertical="center" wrapText="1"/>
    </xf>
    <xf numFmtId="44" fontId="32" fillId="0" borderId="16" xfId="46" applyFont="1" applyBorder="1" applyAlignment="1"/>
    <xf numFmtId="44" fontId="32" fillId="0" borderId="16" xfId="46" applyFont="1" applyFill="1" applyBorder="1" applyAlignment="1"/>
    <xf numFmtId="44" fontId="32" fillId="41" borderId="16" xfId="46" applyFont="1" applyFill="1" applyBorder="1" applyAlignment="1"/>
    <xf numFmtId="0" fontId="31" fillId="43" borderId="16" xfId="0" applyFont="1" applyFill="1" applyBorder="1" applyAlignment="1">
      <alignment horizontal="left"/>
    </xf>
    <xf numFmtId="0" fontId="32" fillId="43" borderId="16" xfId="0" applyFont="1" applyFill="1" applyBorder="1" applyAlignment="1">
      <alignment horizontal="left" vertical="center" wrapText="1"/>
    </xf>
    <xf numFmtId="0" fontId="32" fillId="43" borderId="16" xfId="0" applyFont="1" applyFill="1" applyBorder="1"/>
    <xf numFmtId="0" fontId="32" fillId="43" borderId="16" xfId="0" applyFont="1" applyFill="1" applyBorder="1" applyAlignment="1">
      <alignment horizontal="center" vertical="center" wrapText="1"/>
    </xf>
    <xf numFmtId="0" fontId="31" fillId="43" borderId="16" xfId="0" applyFont="1" applyFill="1" applyBorder="1" applyAlignment="1">
      <alignment horizontal="center"/>
    </xf>
    <xf numFmtId="0" fontId="67" fillId="43" borderId="16" xfId="47" applyFont="1" applyFill="1" applyBorder="1" applyAlignment="1">
      <alignment horizontal="center"/>
    </xf>
    <xf numFmtId="0" fontId="32" fillId="43" borderId="16" xfId="0" applyFont="1" applyFill="1" applyBorder="1" applyAlignment="1">
      <alignment horizontal="center"/>
    </xf>
    <xf numFmtId="44" fontId="32" fillId="43" borderId="16" xfId="0" applyNumberFormat="1" applyFont="1" applyFill="1" applyBorder="1" applyAlignment="1">
      <alignment horizontal="center" vertical="center"/>
    </xf>
    <xf numFmtId="165" fontId="32" fillId="43" borderId="16" xfId="0" applyNumberFormat="1" applyFont="1" applyFill="1" applyBorder="1" applyAlignment="1">
      <alignment horizontal="center" vertical="center" wrapText="1"/>
    </xf>
    <xf numFmtId="44" fontId="32" fillId="43" borderId="16" xfId="46" applyFont="1" applyFill="1" applyBorder="1" applyAlignment="1"/>
    <xf numFmtId="44" fontId="31" fillId="43" borderId="16" xfId="0" applyNumberFormat="1" applyFont="1" applyFill="1" applyBorder="1" applyAlignment="1">
      <alignment horizontal="center" vertical="center"/>
    </xf>
    <xf numFmtId="0" fontId="79" fillId="0" borderId="3" xfId="47" applyFont="1" applyBorder="1" applyAlignment="1">
      <alignment horizontal="center"/>
    </xf>
    <xf numFmtId="0" fontId="67" fillId="43" borderId="3" xfId="47" applyFont="1" applyFill="1" applyBorder="1" applyAlignment="1">
      <alignment horizontal="center"/>
    </xf>
    <xf numFmtId="0" fontId="32" fillId="43" borderId="3" xfId="0" applyFont="1" applyFill="1" applyBorder="1" applyAlignment="1">
      <alignment horizontal="center"/>
    </xf>
    <xf numFmtId="44" fontId="32" fillId="43" borderId="16" xfId="0" applyNumberFormat="1" applyFont="1" applyFill="1" applyBorder="1" applyAlignment="1">
      <alignment horizontal="center"/>
    </xf>
    <xf numFmtId="165" fontId="32" fillId="43" borderId="16" xfId="46" applyNumberFormat="1" applyFont="1" applyFill="1" applyBorder="1" applyAlignment="1">
      <alignment horizontal="center"/>
    </xf>
    <xf numFmtId="164" fontId="32" fillId="43" borderId="16" xfId="0" applyNumberFormat="1" applyFont="1" applyFill="1" applyBorder="1" applyAlignment="1">
      <alignment horizontal="center"/>
    </xf>
    <xf numFmtId="164" fontId="31" fillId="43" borderId="16" xfId="0" applyNumberFormat="1" applyFont="1" applyFill="1" applyBorder="1" applyAlignment="1">
      <alignment horizontal="center"/>
    </xf>
    <xf numFmtId="0" fontId="66" fillId="42" borderId="16" xfId="0" applyFont="1" applyFill="1" applyBorder="1" applyAlignment="1">
      <alignment horizontal="center" wrapText="1"/>
    </xf>
    <xf numFmtId="0" fontId="31" fillId="0" borderId="16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" fillId="0" borderId="16" xfId="3" applyFont="1" applyBorder="1" applyAlignment="1">
      <alignment horizontal="left" vertical="center"/>
    </xf>
    <xf numFmtId="0" fontId="1" fillId="0" borderId="16" xfId="3" applyFont="1" applyBorder="1" applyAlignment="1">
      <alignment horizontal="left" vertical="center" shrinkToFit="1"/>
    </xf>
    <xf numFmtId="0" fontId="1" fillId="0" borderId="16" xfId="3" applyFont="1" applyBorder="1" applyAlignment="1">
      <alignment horizontal="right" vertical="center"/>
    </xf>
    <xf numFmtId="0" fontId="31" fillId="43" borderId="16" xfId="0" applyFont="1" applyFill="1" applyBorder="1" applyAlignment="1">
      <alignment horizontal="justify" vertical="center"/>
    </xf>
    <xf numFmtId="0" fontId="32" fillId="43" borderId="16" xfId="0" applyFont="1" applyFill="1" applyBorder="1" applyAlignment="1">
      <alignment horizontal="left"/>
    </xf>
    <xf numFmtId="0" fontId="31" fillId="43" borderId="16" xfId="0" applyFont="1" applyFill="1" applyBorder="1" applyAlignment="1">
      <alignment horizontal="center" vertical="center" wrapText="1"/>
    </xf>
    <xf numFmtId="0" fontId="66" fillId="43" borderId="16" xfId="0" applyFont="1" applyFill="1" applyBorder="1" applyAlignment="1">
      <alignment horizontal="center"/>
    </xf>
    <xf numFmtId="44" fontId="32" fillId="43" borderId="16" xfId="46" applyFont="1" applyFill="1" applyBorder="1"/>
    <xf numFmtId="44" fontId="32" fillId="43" borderId="16" xfId="0" applyNumberFormat="1" applyFont="1" applyFill="1" applyBorder="1"/>
    <xf numFmtId="44" fontId="31" fillId="43" borderId="16" xfId="46" applyFont="1" applyFill="1" applyBorder="1"/>
    <xf numFmtId="0" fontId="31" fillId="36" borderId="16" xfId="0" applyFont="1" applyFill="1" applyBorder="1"/>
    <xf numFmtId="0" fontId="68" fillId="36" borderId="16" xfId="0" applyFont="1" applyFill="1" applyBorder="1"/>
    <xf numFmtId="0" fontId="68" fillId="36" borderId="16" xfId="0" applyFont="1" applyFill="1" applyBorder="1" applyAlignment="1">
      <alignment horizontal="left"/>
    </xf>
    <xf numFmtId="0" fontId="32" fillId="36" borderId="16" xfId="0" applyFont="1" applyFill="1" applyBorder="1" applyAlignment="1">
      <alignment horizontal="center" vertical="center" wrapText="1"/>
    </xf>
    <xf numFmtId="0" fontId="66" fillId="36" borderId="16" xfId="0" applyFont="1" applyFill="1" applyBorder="1" applyAlignment="1">
      <alignment horizontal="center"/>
    </xf>
    <xf numFmtId="0" fontId="31" fillId="36" borderId="16" xfId="0" applyFont="1" applyFill="1" applyBorder="1" applyAlignment="1">
      <alignment horizontal="center"/>
    </xf>
    <xf numFmtId="0" fontId="67" fillId="36" borderId="16" xfId="47" applyFont="1" applyFill="1" applyBorder="1" applyAlignment="1">
      <alignment horizontal="center"/>
    </xf>
    <xf numFmtId="0" fontId="32" fillId="36" borderId="16" xfId="0" applyFont="1" applyFill="1" applyBorder="1" applyAlignment="1">
      <alignment horizontal="center"/>
    </xf>
    <xf numFmtId="44" fontId="32" fillId="36" borderId="16" xfId="46" applyFont="1" applyFill="1" applyBorder="1"/>
    <xf numFmtId="44" fontId="32" fillId="36" borderId="16" xfId="0" applyNumberFormat="1" applyFont="1" applyFill="1" applyBorder="1"/>
    <xf numFmtId="44" fontId="31" fillId="36" borderId="16" xfId="46" applyFont="1" applyFill="1" applyBorder="1"/>
    <xf numFmtId="0" fontId="87" fillId="41" borderId="16" xfId="3" applyFont="1" applyFill="1" applyBorder="1" applyAlignment="1">
      <alignment horizontal="left" vertical="center" wrapText="1"/>
    </xf>
    <xf numFmtId="0" fontId="1" fillId="41" borderId="16" xfId="3" applyFont="1" applyFill="1" applyBorder="1" applyAlignment="1">
      <alignment horizontal="left" vertical="center"/>
    </xf>
    <xf numFmtId="0" fontId="1" fillId="41" borderId="16" xfId="3" applyFont="1" applyFill="1" applyBorder="1" applyAlignment="1">
      <alignment horizontal="left" vertical="center" shrinkToFit="1"/>
    </xf>
    <xf numFmtId="0" fontId="1" fillId="41" borderId="16" xfId="3" applyFont="1" applyFill="1" applyBorder="1" applyAlignment="1">
      <alignment horizontal="right" vertical="center"/>
    </xf>
    <xf numFmtId="0" fontId="1" fillId="41" borderId="16" xfId="3" applyFont="1" applyFill="1" applyBorder="1" applyAlignment="1">
      <alignment horizontal="center" vertical="center"/>
    </xf>
    <xf numFmtId="0" fontId="1" fillId="41" borderId="16" xfId="3" applyFont="1" applyFill="1" applyBorder="1" applyAlignment="1">
      <alignment horizontal="center" vertical="center" shrinkToFit="1"/>
    </xf>
    <xf numFmtId="0" fontId="88" fillId="41" borderId="16" xfId="50" applyFont="1" applyFill="1" applyBorder="1" applyAlignment="1">
      <alignment horizontal="center" vertical="center"/>
    </xf>
    <xf numFmtId="0" fontId="89" fillId="41" borderId="16" xfId="51" applyFont="1" applyFill="1" applyBorder="1" applyAlignment="1">
      <alignment horizontal="center" vertical="center"/>
    </xf>
    <xf numFmtId="0" fontId="67" fillId="0" borderId="3" xfId="47" applyFont="1" applyFill="1" applyBorder="1" applyAlignment="1">
      <alignment horizontal="center"/>
    </xf>
    <xf numFmtId="0" fontId="25" fillId="35" borderId="3" xfId="0" applyFont="1" applyFill="1" applyBorder="1" applyAlignment="1">
      <alignment horizontal="left" vertical="center"/>
    </xf>
    <xf numFmtId="0" fontId="25" fillId="35" borderId="4" xfId="0" applyFont="1" applyFill="1" applyBorder="1" applyAlignment="1">
      <alignment horizontal="left" vertical="center"/>
    </xf>
    <xf numFmtId="0" fontId="26" fillId="35" borderId="0" xfId="0" applyFont="1" applyFill="1" applyAlignment="1">
      <alignment horizontal="right" vertical="center" wrapText="1"/>
    </xf>
    <xf numFmtId="0" fontId="28" fillId="3" borderId="4" xfId="9" applyFont="1" applyBorder="1" applyAlignment="1">
      <alignment horizontal="center" vertical="center" wrapText="1"/>
    </xf>
    <xf numFmtId="0" fontId="28" fillId="3" borderId="5" xfId="9" applyFont="1" applyBorder="1" applyAlignment="1">
      <alignment horizontal="center" vertical="center" wrapText="1"/>
    </xf>
    <xf numFmtId="0" fontId="64" fillId="34" borderId="3" xfId="0" applyFont="1" applyFill="1" applyBorder="1" applyAlignment="1">
      <alignment horizontal="center" vertical="center" wrapText="1"/>
    </xf>
    <xf numFmtId="0" fontId="64" fillId="34" borderId="5" xfId="0" applyFont="1" applyFill="1" applyBorder="1" applyAlignment="1">
      <alignment horizontal="center" vertical="center" wrapText="1"/>
    </xf>
    <xf numFmtId="0" fontId="28" fillId="41" borderId="4" xfId="9" applyFont="1" applyFill="1" applyBorder="1" applyAlignment="1">
      <alignment horizontal="center" vertical="center" wrapText="1"/>
    </xf>
    <xf numFmtId="0" fontId="28" fillId="41" borderId="5" xfId="9" applyFont="1" applyFill="1" applyBorder="1" applyAlignment="1">
      <alignment horizontal="center" vertical="center" wrapText="1"/>
    </xf>
    <xf numFmtId="0" fontId="30" fillId="34" borderId="3" xfId="0" applyFont="1" applyFill="1" applyBorder="1" applyAlignment="1">
      <alignment horizontal="center" vertical="center" wrapText="1"/>
    </xf>
    <xf numFmtId="0" fontId="30" fillId="34" borderId="5" xfId="0" applyFont="1" applyFill="1" applyBorder="1" applyAlignment="1">
      <alignment horizontal="center" vertical="center" wrapText="1"/>
    </xf>
    <xf numFmtId="0" fontId="26" fillId="35" borderId="21" xfId="0" applyFont="1" applyFill="1" applyBorder="1" applyAlignment="1">
      <alignment horizontal="right" vertical="center"/>
    </xf>
    <xf numFmtId="0" fontId="26" fillId="35" borderId="22" xfId="0" applyFont="1" applyFill="1" applyBorder="1" applyAlignment="1">
      <alignment horizontal="right" vertical="center"/>
    </xf>
    <xf numFmtId="0" fontId="25" fillId="35" borderId="3" xfId="0" applyFont="1" applyFill="1" applyBorder="1" applyAlignment="1">
      <alignment horizontal="center" vertical="center"/>
    </xf>
    <xf numFmtId="0" fontId="25" fillId="35" borderId="4" xfId="0" applyFont="1" applyFill="1" applyBorder="1" applyAlignment="1">
      <alignment horizontal="center" vertical="center"/>
    </xf>
    <xf numFmtId="0" fontId="26" fillId="35" borderId="0" xfId="0" applyFont="1" applyFill="1" applyAlignment="1">
      <alignment horizontal="center" vertical="center"/>
    </xf>
  </cellXfs>
  <cellStyles count="52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urrency" xfId="46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47" builtinId="8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25000000}"/>
    <cellStyle name="Normal 3" xfId="48" xr:uid="{86835E8F-078F-46D9-8157-7939A81CD205}"/>
    <cellStyle name="Normal 3 2_20120831_SU事業計画_暫定版【AC】ZC次期車　用品要求仕様リスト_暫定版【AC】ZC次期車　用品要求仕様リスト" xfId="45" xr:uid="{00000000-0005-0000-0000-000026000000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  <cellStyle name="標準 10" xfId="2" xr:uid="{00000000-0005-0000-0000-00002D000000}"/>
    <cellStyle name="標準 2" xfId="3" xr:uid="{00000000-0005-0000-0000-00002E000000}"/>
    <cellStyle name="標準 2 2" xfId="50" xr:uid="{50B38BE2-4E85-471F-BCC4-06A9E1C13826}"/>
    <cellStyle name="標準 42" xfId="49" xr:uid="{88FA26F5-E8BE-42B0-9A66-0E7E84CF6E1A}"/>
    <cellStyle name="標準_12MY TQ-MiEV ﾅﾋﾞ_ｵｰﾃﾞｨｵ関連流用性調査結果" xfId="51" xr:uid="{4B9BBF1B-E28B-456E-94FE-67FC269015D6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8E8E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AMSHS-HQFS1\Aftersales\AftersalesMarketing\Accessory%20Reference%20Guide%20-%20Project\ACCESSORY%20REFERENCE%20GUIDE\Master%20Price.xlsx" TargetMode="External"/><Relationship Id="rId1" Type="http://schemas.openxmlformats.org/officeDocument/2006/relationships/externalLinkPath" Target="file:///\\CAMSHS-HQFS1\Aftersales\AftersalesMarketing\Accessory%20Reference%20Guide%20-%20Project\ACCESSORY%20REFERENCE%20GUIDE\Master%20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essoryList"/>
    </sheetNames>
    <sheetDataSet>
      <sheetData sheetId="0">
        <row r="1">
          <cell r="A1" t="str">
            <v>Item-No</v>
          </cell>
          <cell r="B1" t="str">
            <v>Class</v>
          </cell>
          <cell r="C1" t="str">
            <v>Description1</v>
          </cell>
          <cell r="D1" t="str">
            <v>Price1</v>
          </cell>
          <cell r="E1" t="str">
            <v>Price10</v>
          </cell>
          <cell r="F1" t="str">
            <v>Qty-On-Hand</v>
          </cell>
          <cell r="G1" t="str">
            <v>Qty-On-PO</v>
          </cell>
        </row>
        <row r="2">
          <cell r="A2" t="str">
            <v>04874469</v>
          </cell>
          <cell r="B2" t="str">
            <v>F</v>
          </cell>
          <cell r="C2" t="str">
            <v>AXLE GEAR - SYNTHETIC (75W-140)</v>
          </cell>
          <cell r="D2">
            <v>30.19</v>
          </cell>
          <cell r="E2">
            <v>50.31</v>
          </cell>
          <cell r="F2">
            <v>0</v>
          </cell>
          <cell r="G2">
            <v>0</v>
          </cell>
        </row>
        <row r="3">
          <cell r="A3" t="str">
            <v>1500A086</v>
          </cell>
          <cell r="B3" t="str">
            <v>C</v>
          </cell>
          <cell r="C3" t="str">
            <v>ELEMENT-AIR CLEANER(NON WOVEN</v>
          </cell>
          <cell r="D3">
            <v>46.17</v>
          </cell>
          <cell r="E3">
            <v>76.95</v>
          </cell>
          <cell r="F3">
            <v>18</v>
          </cell>
          <cell r="G3">
            <v>0</v>
          </cell>
        </row>
        <row r="4">
          <cell r="A4" t="str">
            <v>1500A513</v>
          </cell>
          <cell r="B4" t="str">
            <v>U</v>
          </cell>
          <cell r="C4" t="str">
            <v>ELEMENT-AIR CLEANER</v>
          </cell>
          <cell r="D4">
            <v>25.97</v>
          </cell>
          <cell r="E4">
            <v>39.950000000000003</v>
          </cell>
          <cell r="F4">
            <v>0</v>
          </cell>
          <cell r="G4">
            <v>0</v>
          </cell>
        </row>
        <row r="5">
          <cell r="A5" t="str">
            <v>1500A617</v>
          </cell>
          <cell r="B5" t="str">
            <v>B</v>
          </cell>
          <cell r="C5" t="str">
            <v>ELEMENT-AIR CLEANER</v>
          </cell>
          <cell r="D5">
            <v>23.97</v>
          </cell>
          <cell r="E5">
            <v>39.950000000000003</v>
          </cell>
          <cell r="F5">
            <v>0</v>
          </cell>
          <cell r="G5">
            <v>600</v>
          </cell>
        </row>
        <row r="6">
          <cell r="A6" t="str">
            <v>1570A700</v>
          </cell>
          <cell r="B6" t="str">
            <v>E</v>
          </cell>
          <cell r="C6" t="str">
            <v>DIFFUSER-EXHAUST TAIL PIPE</v>
          </cell>
          <cell r="D6">
            <v>57.57</v>
          </cell>
          <cell r="E6">
            <v>95.95</v>
          </cell>
          <cell r="F6">
            <v>2</v>
          </cell>
          <cell r="G6">
            <v>0</v>
          </cell>
        </row>
        <row r="7">
          <cell r="A7" t="str">
            <v>2020PHEVBROE</v>
          </cell>
          <cell r="B7" t="str">
            <v>S</v>
          </cell>
          <cell r="C7" t="str">
            <v>OUTLANDER PHEV ACCESSORY BROCH</v>
          </cell>
          <cell r="D7">
            <v>1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>2020PHEVBROF</v>
          </cell>
          <cell r="B8" t="str">
            <v>S</v>
          </cell>
          <cell r="C8" t="str">
            <v>OUTLANDER PHEV ACCESSORY BROCH</v>
          </cell>
          <cell r="D8">
            <v>1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3P01Z3307</v>
          </cell>
          <cell r="B9" t="str">
            <v>X</v>
          </cell>
          <cell r="C9" t="str">
            <v>Engine Block Heater Kit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A10" t="str">
            <v>4P01Z3307</v>
          </cell>
          <cell r="B10" t="str">
            <v>U</v>
          </cell>
          <cell r="C10" t="str">
            <v>ENGINE BLOCK HEATER KIT</v>
          </cell>
          <cell r="D10">
            <v>77</v>
          </cell>
          <cell r="E10">
            <v>128.94999999999999</v>
          </cell>
          <cell r="F10">
            <v>0</v>
          </cell>
          <cell r="G10">
            <v>0</v>
          </cell>
        </row>
        <row r="11">
          <cell r="A11" t="str">
            <v>5228A219</v>
          </cell>
          <cell r="B11" t="str">
            <v>S</v>
          </cell>
          <cell r="C11" t="str">
            <v>FILM- PROTECTOR- 'C' LH</v>
          </cell>
          <cell r="D11">
            <v>17.97</v>
          </cell>
          <cell r="E11">
            <v>29.95</v>
          </cell>
          <cell r="F11">
            <v>0</v>
          </cell>
          <cell r="G11">
            <v>0</v>
          </cell>
        </row>
        <row r="12">
          <cell r="A12" t="str">
            <v>5228A220</v>
          </cell>
          <cell r="B12" t="str">
            <v>S</v>
          </cell>
          <cell r="C12" t="str">
            <v>FILM- PROTECTOR- 'C' RH</v>
          </cell>
          <cell r="D12">
            <v>17.97</v>
          </cell>
          <cell r="E12">
            <v>29.95</v>
          </cell>
          <cell r="F12">
            <v>0</v>
          </cell>
          <cell r="G12">
            <v>0</v>
          </cell>
        </row>
        <row r="13">
          <cell r="A13" t="str">
            <v>5228A221</v>
          </cell>
          <cell r="B13" t="str">
            <v>S</v>
          </cell>
          <cell r="C13" t="str">
            <v>FILM- PROTECTOR- 'D' LH</v>
          </cell>
          <cell r="D13">
            <v>34.770000000000003</v>
          </cell>
          <cell r="E13">
            <v>57.95</v>
          </cell>
          <cell r="F13">
            <v>0</v>
          </cell>
          <cell r="G13">
            <v>0</v>
          </cell>
        </row>
        <row r="14">
          <cell r="A14" t="str">
            <v>5228A222</v>
          </cell>
          <cell r="B14" t="str">
            <v>S</v>
          </cell>
          <cell r="C14" t="str">
            <v>FILM- PROTECTOR- 'D' RH</v>
          </cell>
          <cell r="D14">
            <v>34.770000000000003</v>
          </cell>
          <cell r="E14">
            <v>57.95</v>
          </cell>
          <cell r="F14">
            <v>0</v>
          </cell>
          <cell r="G14">
            <v>0</v>
          </cell>
        </row>
        <row r="15">
          <cell r="A15" t="str">
            <v>5228A223</v>
          </cell>
          <cell r="B15" t="str">
            <v>S</v>
          </cell>
          <cell r="C15" t="str">
            <v>FILM- PROTECTOR- 'E' LH</v>
          </cell>
          <cell r="D15">
            <v>37.17</v>
          </cell>
          <cell r="E15">
            <v>61.95</v>
          </cell>
          <cell r="F15">
            <v>0</v>
          </cell>
          <cell r="G15">
            <v>0</v>
          </cell>
        </row>
        <row r="16">
          <cell r="A16" t="str">
            <v>5228A224</v>
          </cell>
          <cell r="B16" t="str">
            <v>S</v>
          </cell>
          <cell r="C16" t="str">
            <v>FILM- PROTECTOR- 'E' RH</v>
          </cell>
          <cell r="D16">
            <v>37.17</v>
          </cell>
          <cell r="E16">
            <v>61.95</v>
          </cell>
          <cell r="F16">
            <v>0</v>
          </cell>
          <cell r="G16">
            <v>0</v>
          </cell>
        </row>
        <row r="17">
          <cell r="A17" t="str">
            <v>5228A227</v>
          </cell>
          <cell r="B17" t="str">
            <v>S</v>
          </cell>
          <cell r="C17" t="str">
            <v>FILM- S/AIR DAM PROTECTOR'A'LH</v>
          </cell>
          <cell r="D17">
            <v>17.37</v>
          </cell>
          <cell r="E17">
            <v>28.95</v>
          </cell>
          <cell r="F17">
            <v>0</v>
          </cell>
          <cell r="G17">
            <v>0</v>
          </cell>
        </row>
        <row r="18">
          <cell r="A18" t="str">
            <v>5228A228</v>
          </cell>
          <cell r="B18" t="str">
            <v>S</v>
          </cell>
          <cell r="C18" t="str">
            <v>FILM- S/AIR DAM PROTECTOR'A'RH</v>
          </cell>
          <cell r="D18">
            <v>17.37</v>
          </cell>
          <cell r="E18">
            <v>28.95</v>
          </cell>
          <cell r="F18">
            <v>0</v>
          </cell>
          <cell r="G18">
            <v>0</v>
          </cell>
        </row>
        <row r="19">
          <cell r="A19" t="str">
            <v>5228A229</v>
          </cell>
          <cell r="B19" t="str">
            <v>S</v>
          </cell>
          <cell r="C19" t="str">
            <v>FILM- PROTECTOR 'F' LH</v>
          </cell>
          <cell r="D19">
            <v>13.17</v>
          </cell>
          <cell r="E19">
            <v>21.95</v>
          </cell>
          <cell r="F19">
            <v>0</v>
          </cell>
          <cell r="G19">
            <v>0</v>
          </cell>
        </row>
        <row r="20">
          <cell r="A20" t="str">
            <v>5228A230</v>
          </cell>
          <cell r="B20" t="str">
            <v>S</v>
          </cell>
          <cell r="C20" t="str">
            <v>FILM- PROTECTOR 'F' RH</v>
          </cell>
          <cell r="D20">
            <v>13.17</v>
          </cell>
          <cell r="E20">
            <v>21.95</v>
          </cell>
          <cell r="F20">
            <v>0</v>
          </cell>
          <cell r="G20">
            <v>0</v>
          </cell>
        </row>
        <row r="21">
          <cell r="A21" t="str">
            <v>5228A231</v>
          </cell>
          <cell r="B21" t="str">
            <v>S</v>
          </cell>
          <cell r="C21" t="str">
            <v>FILM- R/DR PROTECTOR 'B' LH</v>
          </cell>
          <cell r="D21">
            <v>40.770000000000003</v>
          </cell>
          <cell r="E21">
            <v>67.95</v>
          </cell>
          <cell r="F21">
            <v>0</v>
          </cell>
          <cell r="G21">
            <v>0</v>
          </cell>
        </row>
        <row r="22">
          <cell r="A22" t="str">
            <v>5228A232</v>
          </cell>
          <cell r="B22" t="str">
            <v>S</v>
          </cell>
          <cell r="C22" t="str">
            <v>FILM- R/DR PROTECTOR 'B' RH</v>
          </cell>
          <cell r="D22">
            <v>40.770000000000003</v>
          </cell>
          <cell r="E22">
            <v>67.95</v>
          </cell>
          <cell r="F22">
            <v>0</v>
          </cell>
          <cell r="G22">
            <v>0</v>
          </cell>
        </row>
        <row r="23">
          <cell r="A23" t="str">
            <v>5228A233</v>
          </cell>
          <cell r="B23" t="str">
            <v>S</v>
          </cell>
          <cell r="C23" t="str">
            <v>FILM- S/AIR DAM PROTECTOR'B'LH</v>
          </cell>
          <cell r="D23">
            <v>19.170000000000002</v>
          </cell>
          <cell r="E23">
            <v>31.95</v>
          </cell>
          <cell r="F23">
            <v>0</v>
          </cell>
          <cell r="G23">
            <v>0</v>
          </cell>
        </row>
        <row r="24">
          <cell r="A24" t="str">
            <v>5228A234</v>
          </cell>
          <cell r="B24" t="str">
            <v>S</v>
          </cell>
          <cell r="C24" t="str">
            <v>FILM- S/AIR DAM PROTECTOR'B'RH</v>
          </cell>
          <cell r="D24">
            <v>19.170000000000002</v>
          </cell>
          <cell r="E24">
            <v>31.95</v>
          </cell>
          <cell r="F24">
            <v>0</v>
          </cell>
          <cell r="G24">
            <v>0</v>
          </cell>
        </row>
        <row r="25">
          <cell r="A25" t="str">
            <v>5290C184</v>
          </cell>
          <cell r="B25" t="str">
            <v>F</v>
          </cell>
          <cell r="C25" t="str">
            <v>BOW-ROOF</v>
          </cell>
          <cell r="D25">
            <v>32.97</v>
          </cell>
          <cell r="E25">
            <v>54.95</v>
          </cell>
          <cell r="F25">
            <v>0</v>
          </cell>
          <cell r="G25">
            <v>0</v>
          </cell>
        </row>
        <row r="26">
          <cell r="A26" t="str">
            <v>5290C185</v>
          </cell>
          <cell r="B26" t="str">
            <v>F</v>
          </cell>
          <cell r="C26" t="str">
            <v>RAIL-ROOF-FR</v>
          </cell>
          <cell r="D26">
            <v>57.57</v>
          </cell>
          <cell r="E26">
            <v>95.95</v>
          </cell>
          <cell r="F26">
            <v>0</v>
          </cell>
          <cell r="G26">
            <v>0</v>
          </cell>
        </row>
        <row r="27">
          <cell r="A27" t="str">
            <v>5290C186</v>
          </cell>
          <cell r="B27" t="str">
            <v>F</v>
          </cell>
          <cell r="C27" t="str">
            <v>RAIL-ROOF-RR</v>
          </cell>
          <cell r="D27">
            <v>51.57</v>
          </cell>
          <cell r="E27">
            <v>85.95</v>
          </cell>
          <cell r="F27">
            <v>0</v>
          </cell>
          <cell r="G27">
            <v>0</v>
          </cell>
        </row>
        <row r="28">
          <cell r="A28" t="str">
            <v>5290C187</v>
          </cell>
          <cell r="B28" t="str">
            <v>F</v>
          </cell>
          <cell r="C28" t="str">
            <v>BOW-ROOF</v>
          </cell>
          <cell r="D28">
            <v>70.78</v>
          </cell>
          <cell r="E28">
            <v>117.95</v>
          </cell>
          <cell r="F28">
            <v>0</v>
          </cell>
          <cell r="G28">
            <v>0</v>
          </cell>
        </row>
        <row r="29">
          <cell r="A29" t="str">
            <v>5290C195</v>
          </cell>
          <cell r="B29" t="str">
            <v>F</v>
          </cell>
          <cell r="C29" t="str">
            <v>RAIL-ROOF-FR</v>
          </cell>
          <cell r="D29">
            <v>61.17</v>
          </cell>
          <cell r="E29">
            <v>101.95</v>
          </cell>
          <cell r="F29">
            <v>0</v>
          </cell>
          <cell r="G29">
            <v>0</v>
          </cell>
        </row>
        <row r="30">
          <cell r="A30" t="str">
            <v>5290C197</v>
          </cell>
          <cell r="B30" t="str">
            <v>F</v>
          </cell>
          <cell r="C30" t="str">
            <v>RAIL-ROOF SIDE-INR LH</v>
          </cell>
          <cell r="D30">
            <v>124.16</v>
          </cell>
          <cell r="E30">
            <v>206.95</v>
          </cell>
          <cell r="F30">
            <v>0</v>
          </cell>
          <cell r="G30">
            <v>0</v>
          </cell>
        </row>
        <row r="31">
          <cell r="A31" t="str">
            <v>5290C198</v>
          </cell>
          <cell r="B31" t="str">
            <v>F</v>
          </cell>
          <cell r="C31" t="str">
            <v>RAIL-ROOF SIDE-INR RH</v>
          </cell>
          <cell r="D31">
            <v>124.16</v>
          </cell>
          <cell r="E31">
            <v>206.95</v>
          </cell>
          <cell r="F31">
            <v>0</v>
          </cell>
          <cell r="G31">
            <v>0</v>
          </cell>
        </row>
        <row r="32">
          <cell r="A32" t="str">
            <v>5370A885</v>
          </cell>
          <cell r="B32" t="str">
            <v>D</v>
          </cell>
          <cell r="C32" t="str">
            <v>SHIELD-FR FENDER SPLASH-FR LH</v>
          </cell>
          <cell r="D32">
            <v>54.57</v>
          </cell>
          <cell r="E32">
            <v>90.95</v>
          </cell>
          <cell r="F32">
            <v>2</v>
          </cell>
          <cell r="G32">
            <v>0</v>
          </cell>
        </row>
        <row r="33">
          <cell r="A33" t="str">
            <v>5370A886</v>
          </cell>
          <cell r="B33" t="str">
            <v>D</v>
          </cell>
          <cell r="C33" t="str">
            <v>SHIELD-FR FENDER SPLASH-FR RH</v>
          </cell>
          <cell r="D33">
            <v>54.57</v>
          </cell>
          <cell r="E33">
            <v>90.95</v>
          </cell>
          <cell r="F33">
            <v>2</v>
          </cell>
          <cell r="G33">
            <v>0</v>
          </cell>
        </row>
        <row r="34">
          <cell r="A34" t="str">
            <v>5370A887</v>
          </cell>
          <cell r="B34" t="str">
            <v>D</v>
          </cell>
          <cell r="C34" t="str">
            <v>SHIELD-RR WHEELHOUSE SPLASH-LH</v>
          </cell>
          <cell r="D34">
            <v>52.17</v>
          </cell>
          <cell r="E34">
            <v>86.95</v>
          </cell>
          <cell r="F34">
            <v>3</v>
          </cell>
          <cell r="G34">
            <v>0</v>
          </cell>
        </row>
        <row r="35">
          <cell r="A35" t="str">
            <v>5370A888</v>
          </cell>
          <cell r="B35" t="str">
            <v>S</v>
          </cell>
          <cell r="C35" t="str">
            <v>SHIELD-RR WHEELHOUSE SPLASH-RH</v>
          </cell>
          <cell r="D35">
            <v>52.17</v>
          </cell>
          <cell r="E35">
            <v>86.95</v>
          </cell>
          <cell r="F35">
            <v>1</v>
          </cell>
          <cell r="G35">
            <v>0</v>
          </cell>
        </row>
        <row r="36">
          <cell r="A36" t="str">
            <v>5817A011HE</v>
          </cell>
          <cell r="B36" t="str">
            <v>D</v>
          </cell>
          <cell r="C36" t="str">
            <v>GARNISH-TAILGATE-LWR       GRAY(M)</v>
          </cell>
          <cell r="D36">
            <v>742.19</v>
          </cell>
          <cell r="E36">
            <v>1237.95</v>
          </cell>
          <cell r="F36">
            <v>2</v>
          </cell>
          <cell r="G36">
            <v>0</v>
          </cell>
        </row>
        <row r="37">
          <cell r="A37" t="str">
            <v>5817A024HE</v>
          </cell>
          <cell r="B37" t="str">
            <v>F</v>
          </cell>
          <cell r="C37" t="str">
            <v>GARNISH-TAILGATE           GRAY(M)</v>
          </cell>
          <cell r="D37">
            <v>321.82</v>
          </cell>
          <cell r="E37">
            <v>536.37</v>
          </cell>
          <cell r="F37">
            <v>0</v>
          </cell>
          <cell r="G37">
            <v>0</v>
          </cell>
        </row>
        <row r="38">
          <cell r="A38" t="str">
            <v>5903A004BC</v>
          </cell>
          <cell r="B38" t="str">
            <v>F</v>
          </cell>
          <cell r="C38" t="str">
            <v>GARNISH-HOOD AIR INLET</v>
          </cell>
          <cell r="D38">
            <v>253.57</v>
          </cell>
          <cell r="E38">
            <v>422.62</v>
          </cell>
          <cell r="F38">
            <v>0</v>
          </cell>
          <cell r="G38">
            <v>0</v>
          </cell>
        </row>
        <row r="39">
          <cell r="A39" t="str">
            <v>6402A276</v>
          </cell>
          <cell r="B39" t="str">
            <v>B</v>
          </cell>
          <cell r="C39" t="str">
            <v>GARNISH-FR BUMPER-CTR</v>
          </cell>
          <cell r="D39">
            <v>237.57</v>
          </cell>
          <cell r="E39">
            <v>395.95</v>
          </cell>
          <cell r="F39">
            <v>14</v>
          </cell>
          <cell r="G39">
            <v>0</v>
          </cell>
        </row>
        <row r="40">
          <cell r="A40" t="str">
            <v>6410B999HC</v>
          </cell>
          <cell r="B40" t="str">
            <v>U</v>
          </cell>
          <cell r="C40" t="str">
            <v>COVER-RR FOG LAMP</v>
          </cell>
          <cell r="D40">
            <v>14.97</v>
          </cell>
          <cell r="E40">
            <v>24.95</v>
          </cell>
          <cell r="F40">
            <v>0</v>
          </cell>
          <cell r="G40">
            <v>0</v>
          </cell>
        </row>
        <row r="41">
          <cell r="A41" t="str">
            <v>6512A349BD</v>
          </cell>
          <cell r="B41" t="str">
            <v>Z</v>
          </cell>
          <cell r="C41" t="str">
            <v>AIR DAM-SIDE-LH            D-BLUE(P)</v>
          </cell>
          <cell r="D41">
            <v>336.57</v>
          </cell>
          <cell r="E41">
            <v>560.95000000000005</v>
          </cell>
          <cell r="F41">
            <v>0</v>
          </cell>
          <cell r="G41">
            <v>0</v>
          </cell>
        </row>
        <row r="42">
          <cell r="A42" t="str">
            <v>6512A350BD</v>
          </cell>
          <cell r="B42" t="str">
            <v>Z</v>
          </cell>
          <cell r="C42" t="str">
            <v>AIR DAM-SIDE-RH            D-BLUE(P)</v>
          </cell>
          <cell r="D42">
            <v>336.57</v>
          </cell>
          <cell r="E42">
            <v>560.95000000000005</v>
          </cell>
          <cell r="F42">
            <v>0</v>
          </cell>
          <cell r="G42">
            <v>0</v>
          </cell>
        </row>
        <row r="43">
          <cell r="A43" t="str">
            <v>6512A415BA</v>
          </cell>
          <cell r="B43" t="str">
            <v>F</v>
          </cell>
          <cell r="C43" t="str">
            <v>AIR DAM-SIDE-LH            BLUE(M)</v>
          </cell>
          <cell r="D43">
            <v>339.56</v>
          </cell>
          <cell r="E43">
            <v>565.95000000000005</v>
          </cell>
          <cell r="F43">
            <v>0</v>
          </cell>
          <cell r="G43">
            <v>0</v>
          </cell>
        </row>
        <row r="44">
          <cell r="A44" t="str">
            <v>6512A416BA</v>
          </cell>
          <cell r="B44" t="str">
            <v>F</v>
          </cell>
          <cell r="C44" t="str">
            <v>AIR DAM-SIDE-RH            BLUE(M)</v>
          </cell>
          <cell r="D44">
            <v>336.57</v>
          </cell>
          <cell r="E44">
            <v>560.95000000000005</v>
          </cell>
          <cell r="F44">
            <v>0</v>
          </cell>
          <cell r="G44">
            <v>0</v>
          </cell>
        </row>
        <row r="45">
          <cell r="A45" t="str">
            <v>6512A507XA</v>
          </cell>
          <cell r="B45" t="str">
            <v>U</v>
          </cell>
          <cell r="C45" t="str">
            <v>AIR DAM-SIDE-LH</v>
          </cell>
          <cell r="D45">
            <v>303.26</v>
          </cell>
          <cell r="E45">
            <v>505.44</v>
          </cell>
          <cell r="F45">
            <v>0</v>
          </cell>
          <cell r="G45">
            <v>0</v>
          </cell>
        </row>
        <row r="46">
          <cell r="A46" t="str">
            <v>6512A508XA</v>
          </cell>
          <cell r="B46" t="str">
            <v>U</v>
          </cell>
          <cell r="C46" t="str">
            <v>AIR DAM-SIDE-RH</v>
          </cell>
          <cell r="D46">
            <v>303.26</v>
          </cell>
          <cell r="E46">
            <v>505.44</v>
          </cell>
          <cell r="F46">
            <v>0</v>
          </cell>
          <cell r="G46">
            <v>0</v>
          </cell>
        </row>
        <row r="47">
          <cell r="A47" t="str">
            <v>6515A012HE</v>
          </cell>
          <cell r="B47" t="str">
            <v>F</v>
          </cell>
          <cell r="C47" t="str">
            <v>AIR SPOILER-ROOF           GRAY(M)</v>
          </cell>
          <cell r="D47">
            <v>488.37</v>
          </cell>
          <cell r="E47">
            <v>813.95</v>
          </cell>
          <cell r="F47">
            <v>0</v>
          </cell>
          <cell r="G47">
            <v>0</v>
          </cell>
        </row>
        <row r="48">
          <cell r="A48" t="str">
            <v>6515A034BF</v>
          </cell>
          <cell r="B48" t="str">
            <v>D</v>
          </cell>
          <cell r="C48" t="str">
            <v>AIR SPOILER-RR</v>
          </cell>
          <cell r="D48">
            <v>547.77</v>
          </cell>
          <cell r="E48">
            <v>912.95</v>
          </cell>
          <cell r="F48">
            <v>2</v>
          </cell>
          <cell r="G48">
            <v>0</v>
          </cell>
        </row>
        <row r="49">
          <cell r="A49" t="str">
            <v>6515A034HL</v>
          </cell>
          <cell r="B49" t="str">
            <v>D</v>
          </cell>
          <cell r="C49" t="str">
            <v>AIR SPOILER-RR</v>
          </cell>
          <cell r="D49">
            <v>547.77</v>
          </cell>
          <cell r="E49">
            <v>912.95</v>
          </cell>
          <cell r="F49">
            <v>5</v>
          </cell>
          <cell r="G49">
            <v>0</v>
          </cell>
        </row>
        <row r="50">
          <cell r="A50" t="str">
            <v>6515A037HE</v>
          </cell>
          <cell r="B50" t="str">
            <v>F</v>
          </cell>
          <cell r="C50" t="str">
            <v>GARNISH-ROOF-RR            GRAY(M)</v>
          </cell>
          <cell r="D50">
            <v>46.17</v>
          </cell>
          <cell r="E50">
            <v>76.95</v>
          </cell>
          <cell r="F50">
            <v>0</v>
          </cell>
          <cell r="G50">
            <v>0</v>
          </cell>
        </row>
        <row r="51">
          <cell r="A51" t="str">
            <v>6515A111HE</v>
          </cell>
          <cell r="B51" t="str">
            <v>U</v>
          </cell>
          <cell r="C51" t="str">
            <v>AIR SPOILER-RR</v>
          </cell>
          <cell r="D51">
            <v>2059.58</v>
          </cell>
          <cell r="E51">
            <v>3432.64</v>
          </cell>
          <cell r="F51">
            <v>0</v>
          </cell>
          <cell r="G51">
            <v>0</v>
          </cell>
        </row>
        <row r="52">
          <cell r="A52" t="str">
            <v>6515A147</v>
          </cell>
          <cell r="B52" t="str">
            <v>D</v>
          </cell>
          <cell r="C52" t="str">
            <v>GASKET-AIR SPOILER SIDE-LH</v>
          </cell>
          <cell r="D52">
            <v>4.76</v>
          </cell>
          <cell r="E52">
            <v>7.95</v>
          </cell>
          <cell r="F52">
            <v>10</v>
          </cell>
          <cell r="G52">
            <v>0</v>
          </cell>
        </row>
        <row r="53">
          <cell r="A53" t="str">
            <v>6515A148</v>
          </cell>
          <cell r="B53" t="str">
            <v>D</v>
          </cell>
          <cell r="C53" t="str">
            <v>GASKET-AIR SPOILER SIDE-RH</v>
          </cell>
          <cell r="D53">
            <v>4.76</v>
          </cell>
          <cell r="E53">
            <v>7.95</v>
          </cell>
          <cell r="F53">
            <v>8</v>
          </cell>
          <cell r="G53">
            <v>0</v>
          </cell>
        </row>
        <row r="54">
          <cell r="A54" t="str">
            <v>6515A319RA</v>
          </cell>
          <cell r="B54" t="str">
            <v>S</v>
          </cell>
          <cell r="C54" t="str">
            <v>AIR SPOILER-ROOF</v>
          </cell>
          <cell r="D54">
            <v>631.77</v>
          </cell>
          <cell r="E54">
            <v>1052.95</v>
          </cell>
          <cell r="F54">
            <v>0</v>
          </cell>
          <cell r="G54">
            <v>0</v>
          </cell>
        </row>
        <row r="55">
          <cell r="A55" t="str">
            <v>7230A228</v>
          </cell>
          <cell r="B55" t="str">
            <v>Z</v>
          </cell>
          <cell r="C55" t="str">
            <v>DEFLECTOR- RR WIND</v>
          </cell>
          <cell r="D55">
            <v>462.12</v>
          </cell>
          <cell r="E55">
            <v>710.95</v>
          </cell>
          <cell r="F55">
            <v>0</v>
          </cell>
          <cell r="G55">
            <v>0</v>
          </cell>
        </row>
        <row r="56">
          <cell r="A56" t="str">
            <v>7237A023HA</v>
          </cell>
          <cell r="B56" t="str">
            <v>Q</v>
          </cell>
          <cell r="C56" t="str">
            <v>TRIM-RR SHELF</v>
          </cell>
          <cell r="D56">
            <v>191.64</v>
          </cell>
          <cell r="E56">
            <v>319.95</v>
          </cell>
          <cell r="F56">
            <v>7</v>
          </cell>
          <cell r="G56">
            <v>0</v>
          </cell>
        </row>
        <row r="57">
          <cell r="A57" t="str">
            <v>7237A023YA</v>
          </cell>
          <cell r="B57" t="str">
            <v>F</v>
          </cell>
          <cell r="C57" t="str">
            <v>TRIM-RR SHELF</v>
          </cell>
          <cell r="D57">
            <v>191.64</v>
          </cell>
          <cell r="E57">
            <v>319.39999999999998</v>
          </cell>
          <cell r="F57">
            <v>0</v>
          </cell>
          <cell r="G57">
            <v>0</v>
          </cell>
        </row>
        <row r="58">
          <cell r="A58" t="str">
            <v>7237A087</v>
          </cell>
          <cell r="B58" t="str">
            <v>D</v>
          </cell>
          <cell r="C58" t="str">
            <v>TONNEAU COVER</v>
          </cell>
          <cell r="D58">
            <v>122.37</v>
          </cell>
          <cell r="E58">
            <v>203.95</v>
          </cell>
          <cell r="F58">
            <v>2</v>
          </cell>
          <cell r="G58">
            <v>1</v>
          </cell>
        </row>
        <row r="59">
          <cell r="A59" t="str">
            <v>7271A050XA</v>
          </cell>
          <cell r="B59" t="str">
            <v>Z</v>
          </cell>
          <cell r="C59" t="str">
            <v>MAT- FLOOR (BLACK) - 4 PC</v>
          </cell>
          <cell r="D59">
            <v>67.77</v>
          </cell>
          <cell r="E59">
            <v>112.95</v>
          </cell>
          <cell r="F59">
            <v>0</v>
          </cell>
          <cell r="G59">
            <v>0</v>
          </cell>
        </row>
        <row r="60">
          <cell r="A60" t="str">
            <v>7415A162</v>
          </cell>
          <cell r="B60" t="str">
            <v>D</v>
          </cell>
          <cell r="C60" t="str">
            <v>BADGE- EVO MR</v>
          </cell>
          <cell r="D60">
            <v>17.37</v>
          </cell>
          <cell r="E60">
            <v>28.95</v>
          </cell>
          <cell r="F60">
            <v>2</v>
          </cell>
          <cell r="G60">
            <v>0</v>
          </cell>
        </row>
        <row r="61">
          <cell r="A61" t="str">
            <v>7415A479</v>
          </cell>
          <cell r="B61" t="str">
            <v>A</v>
          </cell>
          <cell r="C61" t="str">
            <v>MARK-MITSUBISHI</v>
          </cell>
          <cell r="D61">
            <v>45.57</v>
          </cell>
          <cell r="E61">
            <v>75.95</v>
          </cell>
          <cell r="F61">
            <v>88</v>
          </cell>
          <cell r="G61">
            <v>99</v>
          </cell>
        </row>
        <row r="62">
          <cell r="A62" t="str">
            <v>7450A609</v>
          </cell>
          <cell r="B62" t="str">
            <v>C</v>
          </cell>
          <cell r="C62" t="str">
            <v>GRILLE-RADIATOR</v>
          </cell>
          <cell r="D62">
            <v>158.82</v>
          </cell>
          <cell r="E62">
            <v>264.95</v>
          </cell>
          <cell r="F62">
            <v>3</v>
          </cell>
          <cell r="G62">
            <v>1</v>
          </cell>
        </row>
        <row r="63">
          <cell r="A63" t="str">
            <v>7661A201</v>
          </cell>
          <cell r="B63" t="str">
            <v>D</v>
          </cell>
          <cell r="C63" t="str">
            <v>CROSSBAR-ROOF RACK</v>
          </cell>
          <cell r="D63">
            <v>76.67</v>
          </cell>
          <cell r="E63">
            <v>117.95</v>
          </cell>
          <cell r="F63">
            <v>3</v>
          </cell>
          <cell r="G63">
            <v>0</v>
          </cell>
        </row>
        <row r="64">
          <cell r="A64" t="str">
            <v>7810A117</v>
          </cell>
          <cell r="B64" t="str">
            <v>F</v>
          </cell>
          <cell r="C64" t="str">
            <v>A/C KIT- LANCER (GS41)</v>
          </cell>
          <cell r="D64">
            <v>911.37</v>
          </cell>
          <cell r="E64">
            <v>1518.95</v>
          </cell>
          <cell r="F64">
            <v>0</v>
          </cell>
          <cell r="G64">
            <v>0</v>
          </cell>
        </row>
        <row r="65">
          <cell r="A65" t="str">
            <v>7815A712</v>
          </cell>
          <cell r="B65" t="str">
            <v>S</v>
          </cell>
          <cell r="C65" t="str">
            <v>A/C KIT- LANCER (GS41)</v>
          </cell>
          <cell r="D65">
            <v>730.17</v>
          </cell>
          <cell r="E65">
            <v>1216.95</v>
          </cell>
          <cell r="F65">
            <v>0</v>
          </cell>
          <cell r="G65">
            <v>0</v>
          </cell>
        </row>
        <row r="66">
          <cell r="A66" t="str">
            <v>7815A714</v>
          </cell>
          <cell r="B66" t="str">
            <v>U</v>
          </cell>
          <cell r="C66" t="str">
            <v>7815A714</v>
          </cell>
          <cell r="D66">
            <v>739.17</v>
          </cell>
          <cell r="E66">
            <v>1231.95</v>
          </cell>
          <cell r="F66">
            <v>0</v>
          </cell>
          <cell r="G66">
            <v>0</v>
          </cell>
        </row>
        <row r="67">
          <cell r="A67" t="str">
            <v>7815A760</v>
          </cell>
          <cell r="B67" t="str">
            <v>Q</v>
          </cell>
          <cell r="C67" t="str">
            <v>A/C KIT- LANCER (GS41)</v>
          </cell>
          <cell r="D67">
            <v>739.17</v>
          </cell>
          <cell r="E67">
            <v>1231.95</v>
          </cell>
          <cell r="F67">
            <v>4</v>
          </cell>
          <cell r="G67">
            <v>0</v>
          </cell>
        </row>
        <row r="68">
          <cell r="A68" t="str">
            <v>8321A513</v>
          </cell>
          <cell r="B68" t="str">
            <v>U</v>
          </cell>
          <cell r="C68" t="str">
            <v>GARNISH-FR BUMPER-LH</v>
          </cell>
          <cell r="D68">
            <v>17.04</v>
          </cell>
          <cell r="E68">
            <v>28.4</v>
          </cell>
          <cell r="F68">
            <v>0</v>
          </cell>
          <cell r="G68">
            <v>0</v>
          </cell>
        </row>
        <row r="69">
          <cell r="A69" t="str">
            <v>8321A514</v>
          </cell>
          <cell r="B69" t="str">
            <v>D</v>
          </cell>
          <cell r="C69" t="str">
            <v>GARNISH-FR BUMPER-RH</v>
          </cell>
          <cell r="D69">
            <v>14.37</v>
          </cell>
          <cell r="E69">
            <v>23.95</v>
          </cell>
          <cell r="F69">
            <v>5</v>
          </cell>
          <cell r="G69">
            <v>0</v>
          </cell>
        </row>
        <row r="70">
          <cell r="A70" t="str">
            <v>8321A515</v>
          </cell>
          <cell r="B70" t="str">
            <v>U</v>
          </cell>
          <cell r="C70" t="str">
            <v>GARNISH-FR BUMPER-LH</v>
          </cell>
          <cell r="D70">
            <v>62.78</v>
          </cell>
          <cell r="E70">
            <v>104.64</v>
          </cell>
          <cell r="F70">
            <v>0</v>
          </cell>
          <cell r="G70">
            <v>0</v>
          </cell>
        </row>
        <row r="71">
          <cell r="A71" t="str">
            <v>8321A516</v>
          </cell>
          <cell r="B71" t="str">
            <v>B</v>
          </cell>
          <cell r="C71" t="str">
            <v>GARNISH-FR BUMPER-RH(BL/CHR PL</v>
          </cell>
          <cell r="D71">
            <v>57.18</v>
          </cell>
          <cell r="E71">
            <v>95.95</v>
          </cell>
          <cell r="F71">
            <v>40</v>
          </cell>
          <cell r="G71">
            <v>0</v>
          </cell>
        </row>
        <row r="72">
          <cell r="A72" t="str">
            <v>8701A299</v>
          </cell>
          <cell r="B72" t="str">
            <v>U</v>
          </cell>
          <cell r="C72" t="str">
            <v>6 DISC CD CHANGER</v>
          </cell>
          <cell r="D72">
            <v>1765.72</v>
          </cell>
          <cell r="E72">
            <v>2942.87</v>
          </cell>
          <cell r="F72">
            <v>0</v>
          </cell>
          <cell r="G72">
            <v>0</v>
          </cell>
        </row>
        <row r="73">
          <cell r="A73" t="str">
            <v>8701A351</v>
          </cell>
          <cell r="B73" t="str">
            <v>U</v>
          </cell>
          <cell r="C73" t="str">
            <v>6 DISC CHANGER / RADIO</v>
          </cell>
          <cell r="D73">
            <v>1765.72</v>
          </cell>
          <cell r="E73">
            <v>2942.87</v>
          </cell>
          <cell r="F73">
            <v>0</v>
          </cell>
          <cell r="G73">
            <v>0</v>
          </cell>
        </row>
        <row r="74">
          <cell r="A74" t="str">
            <v>8723A082</v>
          </cell>
          <cell r="B74" t="str">
            <v>D</v>
          </cell>
          <cell r="C74" t="str">
            <v>BASE-ANTENNA</v>
          </cell>
          <cell r="D74">
            <v>73.17</v>
          </cell>
          <cell r="E74">
            <v>121.95</v>
          </cell>
          <cell r="F74">
            <v>2</v>
          </cell>
          <cell r="G74">
            <v>0</v>
          </cell>
        </row>
        <row r="75">
          <cell r="A75" t="str">
            <v>8723A099</v>
          </cell>
          <cell r="B75" t="str">
            <v>S</v>
          </cell>
          <cell r="C75" t="str">
            <v>FEEDER-ANTENNA</v>
          </cell>
          <cell r="D75">
            <v>79.77</v>
          </cell>
          <cell r="E75">
            <v>132.94999999999999</v>
          </cell>
          <cell r="F75">
            <v>0</v>
          </cell>
          <cell r="G75">
            <v>0</v>
          </cell>
        </row>
        <row r="76">
          <cell r="A76" t="str">
            <v>8750A075</v>
          </cell>
          <cell r="B76" t="str">
            <v>S</v>
          </cell>
          <cell r="C76" t="str">
            <v>COMPACT DISC-NAVIGATION</v>
          </cell>
          <cell r="D76">
            <v>224.97</v>
          </cell>
          <cell r="E76">
            <v>374.95</v>
          </cell>
          <cell r="F76">
            <v>0</v>
          </cell>
          <cell r="G76">
            <v>0</v>
          </cell>
        </row>
        <row r="77">
          <cell r="A77" t="str">
            <v>8755A049</v>
          </cell>
          <cell r="B77" t="str">
            <v>S</v>
          </cell>
          <cell r="C77" t="str">
            <v>CABLE-USB</v>
          </cell>
          <cell r="D77">
            <v>97.77</v>
          </cell>
          <cell r="E77">
            <v>162.94999999999999</v>
          </cell>
          <cell r="F77">
            <v>0</v>
          </cell>
          <cell r="G77">
            <v>0</v>
          </cell>
        </row>
        <row r="78">
          <cell r="A78" t="str">
            <v>8761A002</v>
          </cell>
          <cell r="B78" t="str">
            <v>C</v>
          </cell>
          <cell r="C78" t="str">
            <v>MICROPHONE-INTERPHONE</v>
          </cell>
          <cell r="D78">
            <v>42.57</v>
          </cell>
          <cell r="E78">
            <v>70.95</v>
          </cell>
          <cell r="F78">
            <v>8</v>
          </cell>
          <cell r="G78">
            <v>0</v>
          </cell>
        </row>
        <row r="79">
          <cell r="A79" t="str">
            <v>8781A057</v>
          </cell>
          <cell r="B79" t="str">
            <v>C</v>
          </cell>
          <cell r="C79" t="str">
            <v>CAMERA-RR VIEW</v>
          </cell>
          <cell r="D79">
            <v>314.37</v>
          </cell>
          <cell r="E79">
            <v>523.95000000000005</v>
          </cell>
          <cell r="F79">
            <v>4</v>
          </cell>
          <cell r="G79">
            <v>4</v>
          </cell>
        </row>
        <row r="80">
          <cell r="A80" t="str">
            <v>8785A049</v>
          </cell>
          <cell r="B80" t="str">
            <v>U</v>
          </cell>
          <cell r="C80" t="str">
            <v>TELEPHONE ASSY</v>
          </cell>
          <cell r="D80">
            <v>617.39</v>
          </cell>
          <cell r="E80">
            <v>1028.99</v>
          </cell>
          <cell r="F80">
            <v>0</v>
          </cell>
          <cell r="G80">
            <v>0</v>
          </cell>
        </row>
        <row r="81">
          <cell r="A81" t="str">
            <v>A0000PTS11</v>
          </cell>
          <cell r="B81" t="str">
            <v>F</v>
          </cell>
          <cell r="C81" t="str">
            <v>PAINT- PEN-STERLING SILVER A68</v>
          </cell>
          <cell r="D81">
            <v>15.57</v>
          </cell>
          <cell r="E81">
            <v>23.95</v>
          </cell>
          <cell r="F81">
            <v>0</v>
          </cell>
          <cell r="G81">
            <v>0</v>
          </cell>
        </row>
        <row r="82">
          <cell r="A82" t="str">
            <v>A0002PTW11</v>
          </cell>
          <cell r="B82" t="str">
            <v>U</v>
          </cell>
          <cell r="C82" t="str">
            <v>TOUCH-UP PAINT-PEN-WHTE(P)-W13</v>
          </cell>
          <cell r="D82">
            <v>15.57</v>
          </cell>
          <cell r="E82">
            <v>23.95</v>
          </cell>
          <cell r="F82">
            <v>0</v>
          </cell>
          <cell r="G82">
            <v>0</v>
          </cell>
        </row>
        <row r="83">
          <cell r="A83" t="str">
            <v>A0003FHX35</v>
          </cell>
          <cell r="B83" t="str">
            <v>Z</v>
          </cell>
          <cell r="C83" t="str">
            <v>HEATER- ENGINE BLOCK</v>
          </cell>
          <cell r="D83">
            <v>31.17</v>
          </cell>
          <cell r="E83">
            <v>51.95</v>
          </cell>
          <cell r="F83">
            <v>0</v>
          </cell>
          <cell r="G83">
            <v>0</v>
          </cell>
        </row>
        <row r="84">
          <cell r="A84" t="str">
            <v>A0003FHX41</v>
          </cell>
          <cell r="B84" t="str">
            <v>Z</v>
          </cell>
          <cell r="C84" t="str">
            <v>HEATER- ENGINE BLOCK- 41MM</v>
          </cell>
          <cell r="D84">
            <v>54.57</v>
          </cell>
          <cell r="E84">
            <v>90.95</v>
          </cell>
          <cell r="F84">
            <v>0</v>
          </cell>
          <cell r="G84">
            <v>0</v>
          </cell>
        </row>
        <row r="85">
          <cell r="A85" t="str">
            <v>A0003HPB01</v>
          </cell>
          <cell r="B85" t="str">
            <v>Z</v>
          </cell>
          <cell r="C85" t="str">
            <v>ADAPTER KIT- RACK</v>
          </cell>
          <cell r="D85">
            <v>157.16999999999999</v>
          </cell>
          <cell r="E85">
            <v>261.95</v>
          </cell>
          <cell r="F85">
            <v>0</v>
          </cell>
          <cell r="G85">
            <v>0</v>
          </cell>
        </row>
        <row r="86">
          <cell r="A86" t="str">
            <v>A0003PTD11</v>
          </cell>
          <cell r="B86" t="str">
            <v>S</v>
          </cell>
          <cell r="C86" t="str">
            <v>PAINT- PEN- URBAN GRAY (T12)</v>
          </cell>
          <cell r="D86">
            <v>15.57</v>
          </cell>
          <cell r="E86">
            <v>23.95</v>
          </cell>
          <cell r="F86">
            <v>0</v>
          </cell>
          <cell r="G86">
            <v>0</v>
          </cell>
        </row>
        <row r="87">
          <cell r="A87" t="str">
            <v>A0004PTD11</v>
          </cell>
          <cell r="B87" t="str">
            <v>S</v>
          </cell>
          <cell r="C87" t="str">
            <v>PAINT- PEN- NQZ CLADDING (CMH)</v>
          </cell>
          <cell r="D87">
            <v>15.57</v>
          </cell>
          <cell r="E87">
            <v>23.95</v>
          </cell>
          <cell r="F87">
            <v>0</v>
          </cell>
          <cell r="G87">
            <v>0</v>
          </cell>
        </row>
        <row r="88">
          <cell r="A88" t="str">
            <v>A0005PTD11</v>
          </cell>
          <cell r="B88" t="str">
            <v>S</v>
          </cell>
          <cell r="C88" t="str">
            <v>PAINT- PEN-CLAD'G CMH18025 H25</v>
          </cell>
          <cell r="D88">
            <v>13.16</v>
          </cell>
          <cell r="E88">
            <v>21.95</v>
          </cell>
          <cell r="F88">
            <v>0</v>
          </cell>
          <cell r="G88">
            <v>0</v>
          </cell>
        </row>
        <row r="89">
          <cell r="A89" t="str">
            <v>A1987PTW01</v>
          </cell>
          <cell r="B89" t="str">
            <v>F</v>
          </cell>
          <cell r="C89" t="str">
            <v>PAINT- PEN-GLACIER WHITE(P)W75</v>
          </cell>
          <cell r="D89">
            <v>15.57</v>
          </cell>
          <cell r="E89">
            <v>23.95</v>
          </cell>
          <cell r="F89">
            <v>0</v>
          </cell>
          <cell r="G89">
            <v>0</v>
          </cell>
        </row>
        <row r="90">
          <cell r="A90" t="str">
            <v>A1988PTE11</v>
          </cell>
          <cell r="B90" t="str">
            <v>F</v>
          </cell>
          <cell r="C90" t="str">
            <v>PAINT- PEN- SUMMIT WHITE (W09)</v>
          </cell>
          <cell r="D90">
            <v>15.57</v>
          </cell>
          <cell r="E90">
            <v>23.95</v>
          </cell>
          <cell r="F90">
            <v>0</v>
          </cell>
          <cell r="G90">
            <v>0</v>
          </cell>
        </row>
        <row r="91">
          <cell r="A91" t="str">
            <v>A1989PTB01</v>
          </cell>
          <cell r="B91" t="str">
            <v>F</v>
          </cell>
          <cell r="C91" t="str">
            <v>PAINT- PEN- SABLE BLACK (X94)</v>
          </cell>
          <cell r="D91">
            <v>13.16</v>
          </cell>
          <cell r="E91">
            <v>21.95</v>
          </cell>
          <cell r="F91">
            <v>0</v>
          </cell>
          <cell r="G91">
            <v>0</v>
          </cell>
        </row>
        <row r="92">
          <cell r="A92" t="str">
            <v>A9900EBX01</v>
          </cell>
          <cell r="B92" t="str">
            <v>Z</v>
          </cell>
          <cell r="C92" t="str">
            <v>BLUETOOTH- PORTABLE HANDSFREE</v>
          </cell>
          <cell r="D92">
            <v>136.16999999999999</v>
          </cell>
          <cell r="E92">
            <v>226.95</v>
          </cell>
          <cell r="F92">
            <v>0</v>
          </cell>
          <cell r="G92">
            <v>0</v>
          </cell>
        </row>
        <row r="93">
          <cell r="A93" t="str">
            <v>A9905XXX01</v>
          </cell>
          <cell r="B93" t="str">
            <v>U</v>
          </cell>
          <cell r="C93" t="str">
            <v>APPLICATOR- CCC- ULTI-FLEX</v>
          </cell>
          <cell r="D93">
            <v>192.84</v>
          </cell>
          <cell r="E93">
            <v>321.39999999999998</v>
          </cell>
          <cell r="F93">
            <v>0</v>
          </cell>
          <cell r="G93">
            <v>0</v>
          </cell>
        </row>
        <row r="94">
          <cell r="A94" t="str">
            <v>A9906PTS01</v>
          </cell>
          <cell r="B94" t="str">
            <v>F</v>
          </cell>
          <cell r="C94" t="str">
            <v>PAINT- PEN- ALLOY SILVER</v>
          </cell>
          <cell r="D94">
            <v>15.57</v>
          </cell>
          <cell r="E94">
            <v>23.95</v>
          </cell>
          <cell r="F94">
            <v>0</v>
          </cell>
          <cell r="G94">
            <v>0</v>
          </cell>
        </row>
        <row r="95">
          <cell r="A95" t="str">
            <v>A9907HPX02</v>
          </cell>
          <cell r="B95" t="str">
            <v>F</v>
          </cell>
          <cell r="C95" t="str">
            <v>ADAPT-BIKE ATTACH TUBE W/AERO</v>
          </cell>
          <cell r="D95">
            <v>28.78</v>
          </cell>
          <cell r="E95">
            <v>47.95</v>
          </cell>
          <cell r="F95">
            <v>0</v>
          </cell>
          <cell r="G95">
            <v>0</v>
          </cell>
        </row>
        <row r="96">
          <cell r="A96" t="str">
            <v>A9907HPX09</v>
          </cell>
          <cell r="B96" t="str">
            <v>F</v>
          </cell>
          <cell r="C96" t="str">
            <v>ADAPT-BIKE ATTACH FORK W/AERO</v>
          </cell>
          <cell r="D96">
            <v>17.97</v>
          </cell>
          <cell r="E96">
            <v>29.95</v>
          </cell>
          <cell r="F96">
            <v>0</v>
          </cell>
          <cell r="G96">
            <v>0</v>
          </cell>
        </row>
        <row r="97">
          <cell r="A97" t="str">
            <v>A9907KIX01</v>
          </cell>
          <cell r="B97" t="str">
            <v>Z</v>
          </cell>
          <cell r="C97" t="str">
            <v>CORROSION INHIBITOR</v>
          </cell>
          <cell r="D97">
            <v>20.98</v>
          </cell>
          <cell r="E97">
            <v>34.950000000000003</v>
          </cell>
          <cell r="F97">
            <v>0</v>
          </cell>
          <cell r="G97">
            <v>0</v>
          </cell>
        </row>
        <row r="98">
          <cell r="A98" t="str">
            <v>A9908PTL01</v>
          </cell>
          <cell r="B98" t="str">
            <v>F</v>
          </cell>
          <cell r="C98" t="str">
            <v>PAINT- PEN- ELECTRIC BLUE PB5</v>
          </cell>
          <cell r="D98">
            <v>15.57</v>
          </cell>
          <cell r="E98">
            <v>23.95</v>
          </cell>
          <cell r="F98">
            <v>0</v>
          </cell>
          <cell r="G98">
            <v>0</v>
          </cell>
        </row>
        <row r="99">
          <cell r="A99" t="str">
            <v>A990WL1C02</v>
          </cell>
          <cell r="B99" t="str">
            <v>U</v>
          </cell>
          <cell r="C99" t="str">
            <v>WHEEL LOCK- 4PC- SHRT CONE</v>
          </cell>
          <cell r="D99">
            <v>44</v>
          </cell>
          <cell r="E99">
            <v>65.95</v>
          </cell>
          <cell r="F99">
            <v>0</v>
          </cell>
          <cell r="G99">
            <v>0</v>
          </cell>
        </row>
        <row r="100">
          <cell r="A100" t="str">
            <v>A990WL2C02</v>
          </cell>
          <cell r="B100" t="str">
            <v>U</v>
          </cell>
          <cell r="C100" t="str">
            <v>WHEEL LOCK- 4PC- MAG</v>
          </cell>
          <cell r="D100">
            <v>53</v>
          </cell>
          <cell r="E100">
            <v>88.95</v>
          </cell>
          <cell r="F100">
            <v>0</v>
          </cell>
          <cell r="G100">
            <v>0</v>
          </cell>
        </row>
        <row r="101">
          <cell r="A101" t="str">
            <v>A9911SLC01</v>
          </cell>
          <cell r="B101" t="str">
            <v>O</v>
          </cell>
          <cell r="C101" t="str">
            <v>BADGE- AWC</v>
          </cell>
          <cell r="D101">
            <v>8.36</v>
          </cell>
          <cell r="E101">
            <v>13.95</v>
          </cell>
          <cell r="F101">
            <v>4880</v>
          </cell>
          <cell r="G101">
            <v>2000</v>
          </cell>
        </row>
        <row r="102">
          <cell r="A102" t="str">
            <v>A9911SLC02</v>
          </cell>
          <cell r="B102" t="str">
            <v>L</v>
          </cell>
          <cell r="C102" t="str">
            <v>BADGE- S-AWC - MY20</v>
          </cell>
          <cell r="D102">
            <v>10.77</v>
          </cell>
          <cell r="E102">
            <v>17.95</v>
          </cell>
          <cell r="F102">
            <v>345</v>
          </cell>
          <cell r="G102">
            <v>0</v>
          </cell>
        </row>
        <row r="103">
          <cell r="A103" t="str">
            <v>A9913SLC01</v>
          </cell>
          <cell r="B103" t="str">
            <v>O</v>
          </cell>
          <cell r="C103" t="str">
            <v>BADGE- LIMITED EDITION</v>
          </cell>
          <cell r="D103">
            <v>31.77</v>
          </cell>
          <cell r="E103">
            <v>52.95</v>
          </cell>
          <cell r="F103">
            <v>2933</v>
          </cell>
          <cell r="G103">
            <v>0</v>
          </cell>
        </row>
        <row r="104">
          <cell r="A104" t="str">
            <v>A994PT1L01</v>
          </cell>
          <cell r="B104" t="str">
            <v>Z</v>
          </cell>
          <cell r="C104" t="str">
            <v>PAINT- BALBOA BLUE(P) (T88)</v>
          </cell>
          <cell r="D104">
            <v>8.3699999999999992</v>
          </cell>
          <cell r="E104">
            <v>13.95</v>
          </cell>
          <cell r="F104">
            <v>0</v>
          </cell>
          <cell r="G104">
            <v>0</v>
          </cell>
        </row>
        <row r="105">
          <cell r="A105" t="str">
            <v>A995PT1S02</v>
          </cell>
          <cell r="B105" t="str">
            <v>D</v>
          </cell>
          <cell r="C105" t="str">
            <v>PAINT- CORONADO SILVER/SANDA26</v>
          </cell>
          <cell r="D105">
            <v>11.37</v>
          </cell>
          <cell r="E105">
            <v>18.95</v>
          </cell>
          <cell r="F105">
            <v>11</v>
          </cell>
          <cell r="G105">
            <v>0</v>
          </cell>
        </row>
        <row r="106">
          <cell r="A106" t="str">
            <v>A996PT1B01</v>
          </cell>
          <cell r="B106" t="str">
            <v>Z</v>
          </cell>
          <cell r="C106" t="str">
            <v>PAINT- SOLANO BLACK(P) (X08)</v>
          </cell>
          <cell r="D106">
            <v>13.2</v>
          </cell>
          <cell r="E106">
            <v>21.95</v>
          </cell>
          <cell r="F106">
            <v>0</v>
          </cell>
          <cell r="G106">
            <v>0</v>
          </cell>
        </row>
        <row r="107">
          <cell r="A107" t="str">
            <v>A996PT1R12</v>
          </cell>
          <cell r="B107" t="str">
            <v>U</v>
          </cell>
          <cell r="C107" t="str">
            <v>PAINT- PHOENIX RED (P85)</v>
          </cell>
          <cell r="D107">
            <v>14.37</v>
          </cell>
          <cell r="E107">
            <v>23.95</v>
          </cell>
          <cell r="F107">
            <v>0</v>
          </cell>
          <cell r="G107">
            <v>0</v>
          </cell>
        </row>
        <row r="108">
          <cell r="A108" t="str">
            <v>A996PT1S01</v>
          </cell>
          <cell r="B108" t="str">
            <v>Z</v>
          </cell>
          <cell r="C108" t="str">
            <v>PAINT- SEATTLE SILVER (A71)</v>
          </cell>
          <cell r="D108">
            <v>13.17</v>
          </cell>
          <cell r="E108">
            <v>21.95</v>
          </cell>
          <cell r="F108">
            <v>0</v>
          </cell>
          <cell r="G108">
            <v>0</v>
          </cell>
        </row>
        <row r="109">
          <cell r="A109" t="str">
            <v>A997PT1R01</v>
          </cell>
          <cell r="B109" t="str">
            <v>Z</v>
          </cell>
          <cell r="C109" t="str">
            <v>PAINT- CAYENNE RED(P) (P88)</v>
          </cell>
          <cell r="D109">
            <v>8.3699999999999992</v>
          </cell>
          <cell r="E109">
            <v>13.95</v>
          </cell>
          <cell r="F109">
            <v>0</v>
          </cell>
          <cell r="G109">
            <v>0</v>
          </cell>
        </row>
        <row r="110">
          <cell r="A110" t="str">
            <v>A997PT1S11</v>
          </cell>
          <cell r="B110" t="str">
            <v>D</v>
          </cell>
          <cell r="C110" t="str">
            <v>PAINT- PEN-MUNICH SILVER (A69)</v>
          </cell>
          <cell r="D110">
            <v>15.57</v>
          </cell>
          <cell r="E110">
            <v>23.95</v>
          </cell>
          <cell r="F110">
            <v>6</v>
          </cell>
          <cell r="G110">
            <v>0</v>
          </cell>
        </row>
        <row r="111">
          <cell r="A111" t="str">
            <v>A998HB1B01</v>
          </cell>
          <cell r="B111" t="str">
            <v>Z</v>
          </cell>
          <cell r="C111" t="str">
            <v>BIKE RACK- UPRIGHT MOUNT</v>
          </cell>
          <cell r="D111">
            <v>85.77</v>
          </cell>
          <cell r="E111">
            <v>142.94999999999999</v>
          </cell>
          <cell r="F111">
            <v>0</v>
          </cell>
          <cell r="G111">
            <v>0</v>
          </cell>
        </row>
        <row r="112">
          <cell r="A112" t="str">
            <v>A998HP1B01</v>
          </cell>
          <cell r="B112" t="str">
            <v>Z</v>
          </cell>
          <cell r="C112" t="str">
            <v>CROSSBAR- ROOF RACK- 48"- 2 PC</v>
          </cell>
          <cell r="D112">
            <v>38.97</v>
          </cell>
          <cell r="E112">
            <v>64.95</v>
          </cell>
          <cell r="F112">
            <v>0</v>
          </cell>
          <cell r="G112">
            <v>0</v>
          </cell>
        </row>
        <row r="113">
          <cell r="A113" t="str">
            <v>A998HP1X01</v>
          </cell>
          <cell r="B113" t="str">
            <v>F</v>
          </cell>
          <cell r="C113" t="str">
            <v>LOCKING CORES (8)</v>
          </cell>
          <cell r="D113">
            <v>60.57</v>
          </cell>
          <cell r="E113">
            <v>100.95</v>
          </cell>
          <cell r="F113">
            <v>0</v>
          </cell>
          <cell r="G113">
            <v>0</v>
          </cell>
        </row>
        <row r="114">
          <cell r="A114" t="str">
            <v>A998HS6B01</v>
          </cell>
          <cell r="B114" t="str">
            <v>F</v>
          </cell>
          <cell r="C114" t="str">
            <v>SKI RACK- 6 PAIR</v>
          </cell>
          <cell r="D114">
            <v>106.17</v>
          </cell>
          <cell r="E114">
            <v>176.95</v>
          </cell>
          <cell r="F114">
            <v>0</v>
          </cell>
          <cell r="G114">
            <v>0</v>
          </cell>
        </row>
        <row r="115">
          <cell r="A115" t="str">
            <v>A998PT1E01</v>
          </cell>
          <cell r="B115" t="str">
            <v>Z</v>
          </cell>
          <cell r="C115" t="str">
            <v>PAINT- BODEGA BEIGE(M) (S23)</v>
          </cell>
          <cell r="D115">
            <v>7.17</v>
          </cell>
          <cell r="E115">
            <v>11.95</v>
          </cell>
          <cell r="F115">
            <v>0</v>
          </cell>
          <cell r="G115">
            <v>0</v>
          </cell>
        </row>
        <row r="116">
          <cell r="A116" t="str">
            <v>A999PT1L12</v>
          </cell>
          <cell r="B116" t="str">
            <v>S</v>
          </cell>
          <cell r="C116" t="str">
            <v>PAINT- PEN- ROYAL BLUE (T38)</v>
          </cell>
          <cell r="D116">
            <v>15.57</v>
          </cell>
          <cell r="E116">
            <v>23.95</v>
          </cell>
          <cell r="F116">
            <v>0</v>
          </cell>
          <cell r="G116">
            <v>0</v>
          </cell>
        </row>
        <row r="117">
          <cell r="A117" t="str">
            <v>ACU03CLB01</v>
          </cell>
          <cell r="B117" t="str">
            <v>F</v>
          </cell>
          <cell r="C117" t="str">
            <v>CARGO LINER- SOFT</v>
          </cell>
          <cell r="D117">
            <v>60.57</v>
          </cell>
          <cell r="E117">
            <v>100.95</v>
          </cell>
          <cell r="F117">
            <v>0</v>
          </cell>
          <cell r="G117">
            <v>0</v>
          </cell>
        </row>
        <row r="118">
          <cell r="A118" t="str">
            <v>ACU03CNB01</v>
          </cell>
          <cell r="B118" t="str">
            <v>F</v>
          </cell>
          <cell r="C118" t="str">
            <v>CARGO NET- ENVELOPE</v>
          </cell>
          <cell r="D118">
            <v>27.57</v>
          </cell>
          <cell r="E118">
            <v>45.95</v>
          </cell>
          <cell r="F118">
            <v>0</v>
          </cell>
          <cell r="G118">
            <v>0</v>
          </cell>
        </row>
        <row r="119">
          <cell r="A119" t="str">
            <v>ACU03CNB02</v>
          </cell>
          <cell r="B119" t="str">
            <v>F</v>
          </cell>
          <cell r="C119" t="str">
            <v>CARGO NET- FLOOR</v>
          </cell>
          <cell r="D119">
            <v>23.37</v>
          </cell>
          <cell r="E119">
            <v>38.950000000000003</v>
          </cell>
          <cell r="F119">
            <v>0</v>
          </cell>
          <cell r="G119">
            <v>0</v>
          </cell>
        </row>
        <row r="120">
          <cell r="A120" t="str">
            <v>ACU03CTB01</v>
          </cell>
          <cell r="B120" t="str">
            <v>U</v>
          </cell>
          <cell r="C120" t="str">
            <v>CARGO TRAY</v>
          </cell>
          <cell r="D120">
            <v>73.77</v>
          </cell>
          <cell r="E120">
            <v>122.95</v>
          </cell>
          <cell r="F120">
            <v>0</v>
          </cell>
          <cell r="G120">
            <v>0</v>
          </cell>
        </row>
        <row r="121">
          <cell r="A121" t="str">
            <v>ACU03XFB01</v>
          </cell>
          <cell r="B121" t="str">
            <v>F</v>
          </cell>
          <cell r="C121" t="str">
            <v>FLOOR MAT- CHARCOAL</v>
          </cell>
          <cell r="D121">
            <v>62.97</v>
          </cell>
          <cell r="E121">
            <v>104.95</v>
          </cell>
          <cell r="F121">
            <v>0</v>
          </cell>
          <cell r="G121">
            <v>0</v>
          </cell>
        </row>
        <row r="122">
          <cell r="A122" t="str">
            <v>ACU03XFB02</v>
          </cell>
          <cell r="B122" t="str">
            <v>S</v>
          </cell>
          <cell r="C122" t="str">
            <v>FLOOR MAT- CHARCOAL W/HTRDUCTS</v>
          </cell>
          <cell r="D122">
            <v>62.97</v>
          </cell>
          <cell r="E122">
            <v>104.95</v>
          </cell>
          <cell r="F122">
            <v>0</v>
          </cell>
          <cell r="G122">
            <v>0</v>
          </cell>
        </row>
        <row r="123">
          <cell r="A123" t="str">
            <v>ACU03YHB01</v>
          </cell>
          <cell r="B123" t="str">
            <v>Z</v>
          </cell>
          <cell r="C123" t="str">
            <v>TRAILER HITCH</v>
          </cell>
          <cell r="D123">
            <v>189.57</v>
          </cell>
          <cell r="E123">
            <v>315.95</v>
          </cell>
          <cell r="F123">
            <v>0</v>
          </cell>
          <cell r="G123">
            <v>0</v>
          </cell>
        </row>
        <row r="124">
          <cell r="A124" t="str">
            <v>ACU03YHX03</v>
          </cell>
          <cell r="B124" t="str">
            <v>F</v>
          </cell>
          <cell r="C124" t="str">
            <v>WIRING HARNESS- TRAILER HITCH</v>
          </cell>
          <cell r="D124">
            <v>104.97</v>
          </cell>
          <cell r="E124">
            <v>174.95</v>
          </cell>
          <cell r="F124">
            <v>0</v>
          </cell>
          <cell r="G124">
            <v>0</v>
          </cell>
        </row>
        <row r="125">
          <cell r="A125" t="str">
            <v>ACU03YKX01</v>
          </cell>
          <cell r="B125" t="str">
            <v>D</v>
          </cell>
          <cell r="C125" t="str">
            <v>DEFLECTOR- HOOD</v>
          </cell>
          <cell r="D125">
            <v>103.17</v>
          </cell>
          <cell r="E125">
            <v>171.95</v>
          </cell>
          <cell r="F125">
            <v>1</v>
          </cell>
          <cell r="G125">
            <v>0</v>
          </cell>
        </row>
        <row r="126">
          <cell r="A126" t="str">
            <v>ACU03YKX11</v>
          </cell>
          <cell r="B126" t="str">
            <v>S</v>
          </cell>
          <cell r="C126" t="str">
            <v>DEFLECTOR- HOOD- SERV KIT</v>
          </cell>
          <cell r="D126">
            <v>22.77</v>
          </cell>
          <cell r="E126">
            <v>37.950000000000003</v>
          </cell>
          <cell r="F126">
            <v>0</v>
          </cell>
          <cell r="G126">
            <v>0</v>
          </cell>
        </row>
        <row r="127">
          <cell r="A127" t="str">
            <v>ACU03YMB01</v>
          </cell>
          <cell r="B127" t="str">
            <v>U</v>
          </cell>
          <cell r="C127" t="str">
            <v>NOSEMASK- FULL</v>
          </cell>
          <cell r="D127">
            <v>140.97</v>
          </cell>
          <cell r="E127">
            <v>234.95</v>
          </cell>
          <cell r="F127">
            <v>0</v>
          </cell>
          <cell r="G127">
            <v>0</v>
          </cell>
        </row>
        <row r="128">
          <cell r="A128" t="str">
            <v>ACU03YMB03</v>
          </cell>
          <cell r="B128" t="str">
            <v>F</v>
          </cell>
          <cell r="C128" t="str">
            <v>NOSE MASK- W/LICENSE</v>
          </cell>
          <cell r="D128">
            <v>140.97</v>
          </cell>
          <cell r="E128">
            <v>234.95</v>
          </cell>
          <cell r="F128">
            <v>0</v>
          </cell>
          <cell r="G128">
            <v>0</v>
          </cell>
        </row>
        <row r="129">
          <cell r="A129" t="str">
            <v>ACU06SLR02</v>
          </cell>
          <cell r="B129" t="str">
            <v>D</v>
          </cell>
          <cell r="C129" t="str">
            <v>BADGE- SE- PDC</v>
          </cell>
          <cell r="D129">
            <v>42.57</v>
          </cell>
          <cell r="E129">
            <v>70.95</v>
          </cell>
          <cell r="F129">
            <v>3</v>
          </cell>
          <cell r="G129">
            <v>0</v>
          </cell>
        </row>
        <row r="130">
          <cell r="A130" t="str">
            <v>ACU06XXS01</v>
          </cell>
          <cell r="B130" t="str">
            <v>S</v>
          </cell>
          <cell r="C130" t="str">
            <v>KEY TAG- OUTLANDER- BRUSHED</v>
          </cell>
          <cell r="D130">
            <v>15.01</v>
          </cell>
          <cell r="E130">
            <v>25.03</v>
          </cell>
          <cell r="F130">
            <v>0</v>
          </cell>
          <cell r="G130">
            <v>0</v>
          </cell>
        </row>
        <row r="131">
          <cell r="A131" t="str">
            <v>ADM02YCC01</v>
          </cell>
          <cell r="B131" t="str">
            <v>Z</v>
          </cell>
          <cell r="C131" t="str">
            <v>LICENSE PLATE FRAME- DIAMANTE</v>
          </cell>
          <cell r="D131">
            <v>41.36</v>
          </cell>
          <cell r="E131">
            <v>68.95</v>
          </cell>
          <cell r="F131">
            <v>0</v>
          </cell>
          <cell r="G131">
            <v>0</v>
          </cell>
        </row>
        <row r="132">
          <cell r="A132" t="str">
            <v>ADS-USB-ECO-MITS</v>
          </cell>
          <cell r="B132" t="str">
            <v>Q</v>
          </cell>
          <cell r="C132" t="str">
            <v>ADS WELCOME KIT</v>
          </cell>
          <cell r="D132">
            <v>0.01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AEC00CNB01</v>
          </cell>
          <cell r="B133" t="str">
            <v>Z</v>
          </cell>
          <cell r="C133" t="str">
            <v>CARGO NET- ECLIPSE</v>
          </cell>
          <cell r="D133">
            <v>28.78</v>
          </cell>
          <cell r="E133">
            <v>47.95</v>
          </cell>
          <cell r="F133">
            <v>0</v>
          </cell>
          <cell r="G133">
            <v>0</v>
          </cell>
        </row>
        <row r="134">
          <cell r="A134" t="str">
            <v>AEC00YDX02</v>
          </cell>
          <cell r="B134" t="str">
            <v>F</v>
          </cell>
          <cell r="C134" t="str">
            <v>FUEL DOOR- ALUMINUM- ECLIPSE</v>
          </cell>
          <cell r="D134">
            <v>83.37</v>
          </cell>
          <cell r="E134">
            <v>138.94999999999999</v>
          </cell>
          <cell r="F134">
            <v>0</v>
          </cell>
          <cell r="G134">
            <v>0</v>
          </cell>
        </row>
        <row r="135">
          <cell r="A135" t="str">
            <v>AEC00YKX01</v>
          </cell>
          <cell r="B135" t="str">
            <v>Z</v>
          </cell>
          <cell r="C135" t="str">
            <v>DEFLECTOR- SUNROOF- WIND</v>
          </cell>
          <cell r="D135">
            <v>51.57</v>
          </cell>
          <cell r="E135">
            <v>85.95</v>
          </cell>
          <cell r="F135">
            <v>0</v>
          </cell>
          <cell r="G135">
            <v>0</v>
          </cell>
        </row>
        <row r="136">
          <cell r="A136" t="str">
            <v>AEC01XFB01</v>
          </cell>
          <cell r="B136" t="str">
            <v>Z</v>
          </cell>
          <cell r="C136" t="str">
            <v>FLOOR MAT- BLACK</v>
          </cell>
          <cell r="D136">
            <v>56.97</v>
          </cell>
          <cell r="E136">
            <v>94.95</v>
          </cell>
          <cell r="F136">
            <v>0</v>
          </cell>
          <cell r="G136">
            <v>0</v>
          </cell>
        </row>
        <row r="137">
          <cell r="A137" t="str">
            <v>AEC01XFB02</v>
          </cell>
          <cell r="B137" t="str">
            <v>S</v>
          </cell>
          <cell r="C137" t="str">
            <v>FLOOR MAT- BLACK</v>
          </cell>
          <cell r="D137">
            <v>79.17</v>
          </cell>
          <cell r="E137">
            <v>131.94999999999999</v>
          </cell>
          <cell r="F137">
            <v>0</v>
          </cell>
          <cell r="G137">
            <v>0</v>
          </cell>
        </row>
        <row r="138">
          <cell r="A138" t="str">
            <v>AEC01XFB03</v>
          </cell>
          <cell r="B138" t="str">
            <v>F</v>
          </cell>
          <cell r="C138" t="str">
            <v>FLOOR MAT- BLACK</v>
          </cell>
          <cell r="D138">
            <v>73.77</v>
          </cell>
          <cell r="E138">
            <v>122.95</v>
          </cell>
          <cell r="F138">
            <v>0</v>
          </cell>
          <cell r="G138">
            <v>0</v>
          </cell>
        </row>
        <row r="139">
          <cell r="A139" t="str">
            <v>AEC01XFE01</v>
          </cell>
          <cell r="B139" t="str">
            <v>Z</v>
          </cell>
          <cell r="C139" t="str">
            <v>FLOOR MAT- BEIGE</v>
          </cell>
          <cell r="D139">
            <v>57.57</v>
          </cell>
          <cell r="E139">
            <v>95.95</v>
          </cell>
          <cell r="F139">
            <v>0</v>
          </cell>
          <cell r="G139">
            <v>0</v>
          </cell>
        </row>
        <row r="140">
          <cell r="A140" t="str">
            <v>AEC01YCD01</v>
          </cell>
          <cell r="B140" t="str">
            <v>F</v>
          </cell>
          <cell r="C140" t="str">
            <v>COVER- CAR- SPYDER</v>
          </cell>
          <cell r="D140">
            <v>227.97</v>
          </cell>
          <cell r="E140">
            <v>379.95</v>
          </cell>
          <cell r="F140">
            <v>0</v>
          </cell>
          <cell r="G140">
            <v>0</v>
          </cell>
        </row>
        <row r="141">
          <cell r="A141" t="str">
            <v>AEC02YCC02</v>
          </cell>
          <cell r="B141" t="str">
            <v>U</v>
          </cell>
          <cell r="C141" t="str">
            <v>LICENSE PLATE FRAME- SPYDER</v>
          </cell>
          <cell r="D141">
            <v>44.97</v>
          </cell>
          <cell r="E141">
            <v>74.95</v>
          </cell>
          <cell r="F141">
            <v>0</v>
          </cell>
          <cell r="G141">
            <v>0</v>
          </cell>
        </row>
        <row r="142">
          <cell r="A142" t="str">
            <v>AEC02YMB01</v>
          </cell>
          <cell r="B142" t="str">
            <v>F</v>
          </cell>
          <cell r="C142" t="str">
            <v>NOSE MASK- ECLIPSE</v>
          </cell>
          <cell r="D142">
            <v>133.16999999999999</v>
          </cell>
          <cell r="E142">
            <v>221.95</v>
          </cell>
          <cell r="F142">
            <v>0</v>
          </cell>
          <cell r="G142">
            <v>0</v>
          </cell>
        </row>
        <row r="143">
          <cell r="A143" t="str">
            <v>AEC02YMB02</v>
          </cell>
          <cell r="B143" t="str">
            <v>F</v>
          </cell>
          <cell r="C143" t="str">
            <v>NOSE MASK- ECLIPSE W/LICENSE</v>
          </cell>
          <cell r="D143">
            <v>133.16999999999999</v>
          </cell>
          <cell r="E143">
            <v>221.95</v>
          </cell>
          <cell r="F143">
            <v>0</v>
          </cell>
          <cell r="G143">
            <v>0</v>
          </cell>
        </row>
        <row r="144">
          <cell r="A144" t="str">
            <v>AEC03FHX35</v>
          </cell>
          <cell r="B144" t="str">
            <v>F</v>
          </cell>
          <cell r="C144" t="str">
            <v>HEATER- ENGINE BLOCK- 35MM</v>
          </cell>
          <cell r="D144">
            <v>28.78</v>
          </cell>
          <cell r="E144">
            <v>47.95</v>
          </cell>
          <cell r="F144">
            <v>0</v>
          </cell>
          <cell r="G144">
            <v>0</v>
          </cell>
        </row>
        <row r="145">
          <cell r="A145" t="str">
            <v>AEC03YMB01</v>
          </cell>
          <cell r="B145" t="str">
            <v>F</v>
          </cell>
          <cell r="C145" t="str">
            <v>NOSE MASK- W/O LICENSE C/F</v>
          </cell>
          <cell r="D145">
            <v>151.77000000000001</v>
          </cell>
          <cell r="E145">
            <v>252.95</v>
          </cell>
          <cell r="F145">
            <v>0</v>
          </cell>
          <cell r="G145">
            <v>0</v>
          </cell>
        </row>
        <row r="146">
          <cell r="A146" t="str">
            <v>AEC03YMB02</v>
          </cell>
          <cell r="B146" t="str">
            <v>F</v>
          </cell>
          <cell r="C146" t="str">
            <v>NOSE MASK- W/LICENSE C/F</v>
          </cell>
          <cell r="D146">
            <v>151.77000000000001</v>
          </cell>
          <cell r="E146">
            <v>252.95</v>
          </cell>
          <cell r="F146">
            <v>0</v>
          </cell>
          <cell r="G146">
            <v>0</v>
          </cell>
        </row>
        <row r="147">
          <cell r="A147" t="str">
            <v>AEC03YMB03</v>
          </cell>
          <cell r="B147" t="str">
            <v>Z</v>
          </cell>
          <cell r="C147" t="str">
            <v>HOOD MASK- ECLIPSE C/F</v>
          </cell>
          <cell r="D147">
            <v>65.37</v>
          </cell>
          <cell r="E147">
            <v>108.95</v>
          </cell>
          <cell r="F147">
            <v>0</v>
          </cell>
          <cell r="G147">
            <v>0</v>
          </cell>
        </row>
        <row r="148">
          <cell r="A148" t="str">
            <v>AEC06XXS01</v>
          </cell>
          <cell r="B148" t="str">
            <v>S</v>
          </cell>
          <cell r="C148" t="str">
            <v>KEY TAG- ECLIPSE- BRUSHED</v>
          </cell>
          <cell r="D148">
            <v>13.16</v>
          </cell>
          <cell r="E148">
            <v>21.95</v>
          </cell>
          <cell r="F148">
            <v>0</v>
          </cell>
          <cell r="G148">
            <v>0</v>
          </cell>
        </row>
        <row r="149">
          <cell r="A149" t="str">
            <v>AEC2YG1B01</v>
          </cell>
          <cell r="B149" t="str">
            <v>Z</v>
          </cell>
          <cell r="C149" t="str">
            <v>MUDGUARD- ECLIPSE- NON-CLADDED</v>
          </cell>
          <cell r="D149">
            <v>65.37</v>
          </cell>
          <cell r="E149">
            <v>108.95</v>
          </cell>
          <cell r="F149">
            <v>0</v>
          </cell>
          <cell r="G149">
            <v>0</v>
          </cell>
        </row>
        <row r="150">
          <cell r="A150" t="str">
            <v>AEC2YG1B02</v>
          </cell>
          <cell r="B150" t="str">
            <v>Z</v>
          </cell>
          <cell r="C150" t="str">
            <v>MUDGUARD- ECLIP- CLAD FR/ RR</v>
          </cell>
          <cell r="D150">
            <v>65.97</v>
          </cell>
          <cell r="E150">
            <v>109.95</v>
          </cell>
          <cell r="F150">
            <v>0</v>
          </cell>
          <cell r="G150">
            <v>0</v>
          </cell>
        </row>
        <row r="151">
          <cell r="A151" t="str">
            <v>AEC5XF1D01</v>
          </cell>
          <cell r="B151" t="str">
            <v>F</v>
          </cell>
          <cell r="C151" t="str">
            <v>FLOOR MAT- GRAY</v>
          </cell>
          <cell r="D151">
            <v>81.569999999999993</v>
          </cell>
          <cell r="E151">
            <v>135.94999999999999</v>
          </cell>
          <cell r="F151">
            <v>0</v>
          </cell>
          <cell r="G151">
            <v>0</v>
          </cell>
        </row>
        <row r="152">
          <cell r="A152" t="str">
            <v>AEN04CLB01</v>
          </cell>
          <cell r="B152" t="str">
            <v>S</v>
          </cell>
          <cell r="C152" t="str">
            <v>CARGO LINER- SOFT</v>
          </cell>
          <cell r="D152">
            <v>103.76</v>
          </cell>
          <cell r="E152">
            <v>172.95</v>
          </cell>
          <cell r="F152">
            <v>0</v>
          </cell>
          <cell r="G152">
            <v>0</v>
          </cell>
        </row>
        <row r="153">
          <cell r="A153" t="str">
            <v>AEN04CNB01</v>
          </cell>
          <cell r="B153" t="str">
            <v>F</v>
          </cell>
          <cell r="C153" t="str">
            <v>CARGO NET</v>
          </cell>
          <cell r="D153">
            <v>28.78</v>
          </cell>
          <cell r="E153">
            <v>47.95</v>
          </cell>
          <cell r="F153">
            <v>0</v>
          </cell>
          <cell r="G153">
            <v>0</v>
          </cell>
        </row>
        <row r="154">
          <cell r="A154" t="str">
            <v>AEN04CTB01</v>
          </cell>
          <cell r="B154" t="str">
            <v>S</v>
          </cell>
          <cell r="C154" t="str">
            <v>CARGO TRAY</v>
          </cell>
          <cell r="D154">
            <v>100.77</v>
          </cell>
          <cell r="E154">
            <v>167.95</v>
          </cell>
          <cell r="F154">
            <v>0</v>
          </cell>
          <cell r="G154">
            <v>0</v>
          </cell>
        </row>
        <row r="155">
          <cell r="A155" t="str">
            <v>AEN04EFX01</v>
          </cell>
          <cell r="B155" t="str">
            <v>S</v>
          </cell>
          <cell r="C155" t="str">
            <v>FOGLIGHT KIT</v>
          </cell>
          <cell r="D155">
            <v>164.36</v>
          </cell>
          <cell r="E155">
            <v>273.95</v>
          </cell>
          <cell r="F155">
            <v>0</v>
          </cell>
          <cell r="G155">
            <v>0</v>
          </cell>
        </row>
        <row r="156">
          <cell r="A156" t="str">
            <v>AEN04YAB01</v>
          </cell>
          <cell r="B156" t="str">
            <v>Z</v>
          </cell>
          <cell r="C156" t="str">
            <v>SIDE STEP- BLACK</v>
          </cell>
          <cell r="D156">
            <v>548.97</v>
          </cell>
          <cell r="E156">
            <v>914.95</v>
          </cell>
          <cell r="F156">
            <v>0</v>
          </cell>
          <cell r="G156">
            <v>0</v>
          </cell>
        </row>
        <row r="157">
          <cell r="A157" t="str">
            <v>AEN04YAS01</v>
          </cell>
          <cell r="B157" t="str">
            <v>Z</v>
          </cell>
          <cell r="C157" t="str">
            <v>SIDE STEP- TITANIUM</v>
          </cell>
          <cell r="D157">
            <v>714.57</v>
          </cell>
          <cell r="E157">
            <v>1190.95</v>
          </cell>
          <cell r="F157">
            <v>0</v>
          </cell>
          <cell r="G157">
            <v>0</v>
          </cell>
        </row>
        <row r="158">
          <cell r="A158" t="str">
            <v>AEN04YCC01</v>
          </cell>
          <cell r="B158" t="str">
            <v>U</v>
          </cell>
          <cell r="C158" t="str">
            <v>LICENSE PLATE FRAME- ENDEAVOR</v>
          </cell>
          <cell r="D158">
            <v>41.38</v>
          </cell>
          <cell r="E158">
            <v>68.95</v>
          </cell>
          <cell r="F158">
            <v>0</v>
          </cell>
          <cell r="G158">
            <v>0</v>
          </cell>
        </row>
        <row r="159">
          <cell r="A159" t="str">
            <v>AEN04YGB01</v>
          </cell>
          <cell r="B159" t="str">
            <v>S</v>
          </cell>
          <cell r="C159" t="str">
            <v>MUDGUARD- REAR- 2 PCS</v>
          </cell>
          <cell r="D159">
            <v>41.97</v>
          </cell>
          <cell r="E159">
            <v>69.95</v>
          </cell>
          <cell r="F159">
            <v>0</v>
          </cell>
          <cell r="G159">
            <v>0</v>
          </cell>
        </row>
        <row r="160">
          <cell r="A160" t="str">
            <v>AEN04YHB01</v>
          </cell>
          <cell r="B160" t="str">
            <v>Z</v>
          </cell>
          <cell r="C160" t="str">
            <v>TRAILER HITCH-W/OPREPPKG-CLS-1</v>
          </cell>
          <cell r="D160">
            <v>232.17</v>
          </cell>
          <cell r="E160">
            <v>386.95</v>
          </cell>
          <cell r="F160">
            <v>0</v>
          </cell>
          <cell r="G160">
            <v>0</v>
          </cell>
        </row>
        <row r="161">
          <cell r="A161" t="str">
            <v>AEN04YHB02</v>
          </cell>
          <cell r="B161" t="str">
            <v>Z</v>
          </cell>
          <cell r="C161" t="str">
            <v>TRAILER HITCH- W/PREPPKG-CLS-2</v>
          </cell>
          <cell r="D161">
            <v>256.77999999999997</v>
          </cell>
          <cell r="E161">
            <v>427.95</v>
          </cell>
          <cell r="F161">
            <v>0</v>
          </cell>
          <cell r="G161">
            <v>0</v>
          </cell>
        </row>
        <row r="162">
          <cell r="A162" t="str">
            <v>AEN04YKX01</v>
          </cell>
          <cell r="B162" t="str">
            <v>Z</v>
          </cell>
          <cell r="C162" t="str">
            <v>DEFLECTOR- SIDE WINDOW</v>
          </cell>
          <cell r="D162">
            <v>94.17</v>
          </cell>
          <cell r="E162">
            <v>156.94999999999999</v>
          </cell>
          <cell r="F162">
            <v>0</v>
          </cell>
          <cell r="G162">
            <v>0</v>
          </cell>
        </row>
        <row r="163">
          <cell r="A163" t="str">
            <v>AEN04YKX02</v>
          </cell>
          <cell r="B163" t="str">
            <v>D</v>
          </cell>
          <cell r="C163" t="str">
            <v>DEFLECTOR- SUNROOF- WIND</v>
          </cell>
          <cell r="D163">
            <v>164.22</v>
          </cell>
          <cell r="E163">
            <v>273.95</v>
          </cell>
          <cell r="F163">
            <v>0</v>
          </cell>
          <cell r="G163">
            <v>0</v>
          </cell>
        </row>
        <row r="164">
          <cell r="A164" t="str">
            <v>AEN04YKX03</v>
          </cell>
          <cell r="B164" t="str">
            <v>C</v>
          </cell>
          <cell r="C164" t="str">
            <v>DEFLECTOR- HOOD</v>
          </cell>
          <cell r="D164">
            <v>102.77</v>
          </cell>
          <cell r="E164">
            <v>158.94999999999999</v>
          </cell>
          <cell r="F164">
            <v>1</v>
          </cell>
          <cell r="G164">
            <v>0</v>
          </cell>
        </row>
        <row r="165">
          <cell r="A165" t="str">
            <v>AEN06XXS01</v>
          </cell>
          <cell r="B165" t="str">
            <v>F</v>
          </cell>
          <cell r="C165" t="str">
            <v>KEY TAG- ENDEAVOR- BRUSHED</v>
          </cell>
          <cell r="D165">
            <v>13.16</v>
          </cell>
          <cell r="E165">
            <v>21.95</v>
          </cell>
          <cell r="F165">
            <v>0</v>
          </cell>
          <cell r="G165">
            <v>0</v>
          </cell>
        </row>
        <row r="166">
          <cell r="A166" t="str">
            <v>AGL00YSS01</v>
          </cell>
          <cell r="B166" t="str">
            <v>F</v>
          </cell>
          <cell r="C166" t="str">
            <v>SPOILER- REAR- STERLING SILVER</v>
          </cell>
          <cell r="D166">
            <v>346.77</v>
          </cell>
          <cell r="E166">
            <v>577.95000000000005</v>
          </cell>
          <cell r="F166">
            <v>0</v>
          </cell>
          <cell r="G166">
            <v>0</v>
          </cell>
        </row>
        <row r="167">
          <cell r="A167" t="str">
            <v>AGL02YMB01</v>
          </cell>
          <cell r="B167" t="str">
            <v>S</v>
          </cell>
          <cell r="C167" t="str">
            <v>NOSE MASK- GALANT</v>
          </cell>
          <cell r="D167">
            <v>143.97</v>
          </cell>
          <cell r="E167">
            <v>239.95</v>
          </cell>
          <cell r="F167">
            <v>0</v>
          </cell>
          <cell r="G167">
            <v>0</v>
          </cell>
        </row>
        <row r="168">
          <cell r="A168" t="str">
            <v>AGL06XXS01</v>
          </cell>
          <cell r="B168" t="str">
            <v>F</v>
          </cell>
          <cell r="C168" t="str">
            <v>KEY TAG- GALANT- BRUSHED</v>
          </cell>
          <cell r="D168">
            <v>13.16</v>
          </cell>
          <cell r="E168">
            <v>21.95</v>
          </cell>
          <cell r="F168">
            <v>0</v>
          </cell>
          <cell r="G168">
            <v>0</v>
          </cell>
        </row>
        <row r="169">
          <cell r="A169" t="str">
            <v>AGL9XF1D03</v>
          </cell>
          <cell r="B169" t="str">
            <v>F</v>
          </cell>
          <cell r="C169" t="str">
            <v>FLOOR MAT SET- GRAY W/O DUCTS</v>
          </cell>
          <cell r="D169">
            <v>119.37</v>
          </cell>
          <cell r="E169">
            <v>198.95</v>
          </cell>
          <cell r="F169">
            <v>0</v>
          </cell>
          <cell r="G169">
            <v>0</v>
          </cell>
        </row>
        <row r="170">
          <cell r="A170" t="str">
            <v>AGL9XF1D04</v>
          </cell>
          <cell r="B170" t="str">
            <v>F</v>
          </cell>
          <cell r="C170" t="str">
            <v>FLOOR MAT SET- GRAY W/DUCTS</v>
          </cell>
          <cell r="D170">
            <v>74.37</v>
          </cell>
          <cell r="E170">
            <v>123.95</v>
          </cell>
          <cell r="F170">
            <v>0</v>
          </cell>
          <cell r="G170">
            <v>0</v>
          </cell>
        </row>
        <row r="171">
          <cell r="A171" t="str">
            <v>AGT2PT1G01</v>
          </cell>
          <cell r="B171" t="str">
            <v>Z</v>
          </cell>
          <cell r="C171" t="str">
            <v>PAINT- PANAMA GREEN(P) (G84)</v>
          </cell>
          <cell r="D171">
            <v>7.17</v>
          </cell>
          <cell r="E171">
            <v>11.95</v>
          </cell>
          <cell r="F171">
            <v>0</v>
          </cell>
          <cell r="G171">
            <v>0</v>
          </cell>
        </row>
        <row r="172">
          <cell r="A172" t="str">
            <v>ALN02YEC01</v>
          </cell>
          <cell r="B172" t="str">
            <v>S</v>
          </cell>
          <cell r="C172" t="str">
            <v>EXHAUST FINISHER</v>
          </cell>
          <cell r="D172">
            <v>22.77</v>
          </cell>
          <cell r="E172">
            <v>37.950000000000003</v>
          </cell>
          <cell r="F172">
            <v>0</v>
          </cell>
          <cell r="G172">
            <v>0</v>
          </cell>
        </row>
        <row r="173">
          <cell r="A173" t="str">
            <v>ALN03XFB07</v>
          </cell>
          <cell r="B173" t="str">
            <v>F</v>
          </cell>
          <cell r="C173" t="str">
            <v>FLOOR MAT- LANCER EVOLUTION</v>
          </cell>
          <cell r="D173">
            <v>67.77</v>
          </cell>
          <cell r="E173">
            <v>112.95</v>
          </cell>
          <cell r="F173">
            <v>0</v>
          </cell>
          <cell r="G173">
            <v>0</v>
          </cell>
        </row>
        <row r="174">
          <cell r="A174" t="str">
            <v>ALN03XFD01</v>
          </cell>
          <cell r="B174" t="str">
            <v>F</v>
          </cell>
          <cell r="C174" t="str">
            <v>FLOOR MAT- GRAY-W/RR HTR DUCTS</v>
          </cell>
          <cell r="D174">
            <v>71.98</v>
          </cell>
          <cell r="E174">
            <v>119.95</v>
          </cell>
          <cell r="F174">
            <v>0</v>
          </cell>
          <cell r="G174">
            <v>0</v>
          </cell>
        </row>
        <row r="175">
          <cell r="A175" t="str">
            <v>ALN04SLR02</v>
          </cell>
          <cell r="B175" t="str">
            <v>F</v>
          </cell>
          <cell r="C175" t="str">
            <v>BADGE- OZ- PDC</v>
          </cell>
          <cell r="D175">
            <v>25.77</v>
          </cell>
          <cell r="E175">
            <v>42.95</v>
          </cell>
          <cell r="F175">
            <v>0</v>
          </cell>
          <cell r="G175">
            <v>0</v>
          </cell>
        </row>
        <row r="176">
          <cell r="A176" t="str">
            <v>ALN04YSB01</v>
          </cell>
          <cell r="B176" t="str">
            <v>Z</v>
          </cell>
          <cell r="C176" t="str">
            <v>SPOILER- REAR WING- LABRAD BLK</v>
          </cell>
          <cell r="D176">
            <v>452.36</v>
          </cell>
          <cell r="E176">
            <v>753.95</v>
          </cell>
          <cell r="F176">
            <v>0</v>
          </cell>
          <cell r="G176">
            <v>0</v>
          </cell>
        </row>
        <row r="177">
          <cell r="A177" t="str">
            <v>ALN04YSX21</v>
          </cell>
          <cell r="B177" t="str">
            <v>Z</v>
          </cell>
          <cell r="C177" t="str">
            <v>SPOILER- REAR WING- UNPAINTED</v>
          </cell>
          <cell r="D177">
            <v>307.77</v>
          </cell>
          <cell r="E177">
            <v>512.95000000000005</v>
          </cell>
          <cell r="F177">
            <v>0</v>
          </cell>
          <cell r="G177">
            <v>0</v>
          </cell>
        </row>
        <row r="178">
          <cell r="A178" t="str">
            <v>ALN06XXS01</v>
          </cell>
          <cell r="B178" t="str">
            <v>S</v>
          </cell>
          <cell r="C178" t="str">
            <v>KEY TAG- LANCER- BRUSHED</v>
          </cell>
          <cell r="D178">
            <v>20</v>
          </cell>
          <cell r="E178">
            <v>33.33</v>
          </cell>
          <cell r="F178">
            <v>0</v>
          </cell>
          <cell r="G178">
            <v>0</v>
          </cell>
        </row>
        <row r="179">
          <cell r="A179" t="str">
            <v>ALN08ETX01</v>
          </cell>
          <cell r="B179" t="str">
            <v>S</v>
          </cell>
          <cell r="C179" t="str">
            <v>TAIL LIGHT KIT- RALLIART</v>
          </cell>
          <cell r="D179">
            <v>453.57</v>
          </cell>
          <cell r="E179">
            <v>755.95</v>
          </cell>
          <cell r="F179">
            <v>0</v>
          </cell>
          <cell r="G179">
            <v>0</v>
          </cell>
        </row>
        <row r="180">
          <cell r="A180" t="str">
            <v>ALN08YXB01</v>
          </cell>
          <cell r="B180" t="str">
            <v>Z</v>
          </cell>
          <cell r="C180" t="str">
            <v>BLACK-OUT KIT- FRONT</v>
          </cell>
          <cell r="D180">
            <v>135.57</v>
          </cell>
          <cell r="E180">
            <v>225.95</v>
          </cell>
          <cell r="F180">
            <v>0</v>
          </cell>
          <cell r="G180">
            <v>0</v>
          </cell>
        </row>
        <row r="181">
          <cell r="A181" t="str">
            <v>ALN08YXX01</v>
          </cell>
          <cell r="B181" t="str">
            <v>Z</v>
          </cell>
          <cell r="C181" t="str">
            <v>FILM KIT- PROTECTIVE</v>
          </cell>
          <cell r="D181">
            <v>131.97</v>
          </cell>
          <cell r="E181">
            <v>219.95</v>
          </cell>
          <cell r="F181">
            <v>0</v>
          </cell>
          <cell r="G181">
            <v>0</v>
          </cell>
        </row>
        <row r="182">
          <cell r="A182" t="str">
            <v>ALN13SLZ01</v>
          </cell>
          <cell r="B182" t="str">
            <v>Z</v>
          </cell>
          <cell r="C182" t="str">
            <v>BADGE- 10TH ANNIVERSARY</v>
          </cell>
          <cell r="D182">
            <v>10.17</v>
          </cell>
          <cell r="E182">
            <v>16.95</v>
          </cell>
          <cell r="F182">
            <v>0</v>
          </cell>
          <cell r="G182">
            <v>0</v>
          </cell>
        </row>
        <row r="183">
          <cell r="A183" t="str">
            <v>AMR01SLR01</v>
          </cell>
          <cell r="B183" t="str">
            <v>Z</v>
          </cell>
          <cell r="C183" t="str">
            <v>BADGE- TIRE COVER- SERV KIT</v>
          </cell>
          <cell r="D183">
            <v>48.57</v>
          </cell>
          <cell r="E183">
            <v>80.95</v>
          </cell>
          <cell r="F183">
            <v>0</v>
          </cell>
          <cell r="G183">
            <v>0</v>
          </cell>
        </row>
        <row r="184">
          <cell r="A184" t="str">
            <v>AMR01VCX02</v>
          </cell>
          <cell r="B184" t="str">
            <v>S</v>
          </cell>
          <cell r="C184" t="str">
            <v>FASTENERS- TIRE COVER- 2- SERV</v>
          </cell>
          <cell r="D184">
            <v>48.83</v>
          </cell>
          <cell r="E184">
            <v>81.95</v>
          </cell>
          <cell r="F184">
            <v>0</v>
          </cell>
          <cell r="G184">
            <v>0</v>
          </cell>
        </row>
        <row r="185">
          <cell r="A185" t="str">
            <v>AMR01WLC01</v>
          </cell>
          <cell r="B185" t="str">
            <v>F</v>
          </cell>
          <cell r="C185" t="str">
            <v>WHEEL LOCK- SPARE TIRE</v>
          </cell>
          <cell r="D185">
            <v>21.71</v>
          </cell>
          <cell r="E185">
            <v>28.95</v>
          </cell>
          <cell r="F185">
            <v>0</v>
          </cell>
          <cell r="G185">
            <v>0</v>
          </cell>
        </row>
        <row r="186">
          <cell r="A186" t="str">
            <v>AMR01YKX04</v>
          </cell>
          <cell r="B186" t="str">
            <v>F</v>
          </cell>
          <cell r="C186" t="str">
            <v>DEFLECTOR- SIDE WINDOW</v>
          </cell>
          <cell r="D186">
            <v>94.17</v>
          </cell>
          <cell r="E186">
            <v>156.94999999999999</v>
          </cell>
          <cell r="F186">
            <v>0</v>
          </cell>
          <cell r="G186">
            <v>0</v>
          </cell>
        </row>
        <row r="187">
          <cell r="A187" t="str">
            <v>AMR02YCC01</v>
          </cell>
          <cell r="B187" t="str">
            <v>Z</v>
          </cell>
          <cell r="C187" t="str">
            <v>LICENSE PLATE FRAME- MONTERO</v>
          </cell>
          <cell r="D187">
            <v>35.97</v>
          </cell>
          <cell r="E187">
            <v>59.95</v>
          </cell>
          <cell r="F187">
            <v>0</v>
          </cell>
          <cell r="G187">
            <v>0</v>
          </cell>
        </row>
        <row r="188">
          <cell r="A188" t="str">
            <v>AMR03VCB02</v>
          </cell>
          <cell r="B188" t="str">
            <v>D</v>
          </cell>
          <cell r="C188" t="str">
            <v>COVER- TIRE- BLACK- PDC</v>
          </cell>
          <cell r="D188">
            <v>446.47</v>
          </cell>
          <cell r="E188">
            <v>744.95</v>
          </cell>
          <cell r="F188">
            <v>0</v>
          </cell>
          <cell r="G188">
            <v>0</v>
          </cell>
        </row>
        <row r="189">
          <cell r="A189" t="str">
            <v>AMR03VCE02</v>
          </cell>
          <cell r="B189" t="str">
            <v>U</v>
          </cell>
          <cell r="C189" t="str">
            <v>COVER- TIRE- BEIGE- PDC</v>
          </cell>
          <cell r="D189">
            <v>446.47</v>
          </cell>
          <cell r="E189">
            <v>744.95</v>
          </cell>
          <cell r="F189">
            <v>0</v>
          </cell>
          <cell r="G189">
            <v>0</v>
          </cell>
        </row>
        <row r="190">
          <cell r="A190" t="str">
            <v>AMR03VCS02</v>
          </cell>
          <cell r="B190" t="str">
            <v>S</v>
          </cell>
          <cell r="C190" t="str">
            <v>COVER- TIRE- SILVER- PDC</v>
          </cell>
          <cell r="D190">
            <v>359.97</v>
          </cell>
          <cell r="E190">
            <v>599.95000000000005</v>
          </cell>
          <cell r="F190">
            <v>0</v>
          </cell>
          <cell r="G190">
            <v>0</v>
          </cell>
        </row>
        <row r="191">
          <cell r="A191" t="str">
            <v>AMR03VCW02</v>
          </cell>
          <cell r="B191" t="str">
            <v>Z</v>
          </cell>
          <cell r="C191" t="str">
            <v>COVER- TIRE- WHITE- PDC</v>
          </cell>
          <cell r="D191">
            <v>340.17</v>
          </cell>
          <cell r="E191">
            <v>566.95000000000005</v>
          </cell>
          <cell r="F191">
            <v>0</v>
          </cell>
          <cell r="G191">
            <v>0</v>
          </cell>
        </row>
        <row r="192">
          <cell r="A192" t="str">
            <v>AMR03XFD01</v>
          </cell>
          <cell r="B192" t="str">
            <v>F</v>
          </cell>
          <cell r="C192" t="str">
            <v>FLOOR MAT- CHARCOAL</v>
          </cell>
          <cell r="D192">
            <v>94.17</v>
          </cell>
          <cell r="E192">
            <v>156.94999999999999</v>
          </cell>
          <cell r="F192">
            <v>0</v>
          </cell>
          <cell r="G192">
            <v>0</v>
          </cell>
        </row>
        <row r="193">
          <cell r="A193" t="str">
            <v>AMR03XFE01</v>
          </cell>
          <cell r="B193" t="str">
            <v>Z</v>
          </cell>
          <cell r="C193" t="str">
            <v>FLOOR MAT- BEIGE</v>
          </cell>
          <cell r="D193">
            <v>94.17</v>
          </cell>
          <cell r="E193">
            <v>156.94999999999999</v>
          </cell>
          <cell r="F193">
            <v>0</v>
          </cell>
          <cell r="G193">
            <v>0</v>
          </cell>
        </row>
        <row r="194">
          <cell r="A194" t="str">
            <v>AMR03YHX02</v>
          </cell>
          <cell r="B194" t="str">
            <v>F</v>
          </cell>
          <cell r="C194" t="str">
            <v>WIRING HARNESS- TRAILER HITCH</v>
          </cell>
          <cell r="D194">
            <v>145.77000000000001</v>
          </cell>
          <cell r="E194">
            <v>242.95</v>
          </cell>
          <cell r="F194">
            <v>0</v>
          </cell>
          <cell r="G194">
            <v>0</v>
          </cell>
        </row>
        <row r="195">
          <cell r="A195" t="str">
            <v>AMR05VCD02</v>
          </cell>
          <cell r="B195" t="str">
            <v>U</v>
          </cell>
          <cell r="C195" t="str">
            <v>COVER- TIRE- GRAPHITE GRAY-PDC</v>
          </cell>
          <cell r="D195">
            <v>446.47</v>
          </cell>
          <cell r="E195">
            <v>744.95</v>
          </cell>
          <cell r="F195">
            <v>0</v>
          </cell>
          <cell r="G195">
            <v>0</v>
          </cell>
        </row>
        <row r="196">
          <cell r="A196" t="str">
            <v>AMR2PT1D01</v>
          </cell>
          <cell r="B196" t="str">
            <v>F</v>
          </cell>
          <cell r="C196" t="str">
            <v>PAINT- CALGARY GRAY (A51)</v>
          </cell>
          <cell r="D196">
            <v>8.3699999999999992</v>
          </cell>
          <cell r="E196">
            <v>13.95</v>
          </cell>
          <cell r="F196">
            <v>0</v>
          </cell>
          <cell r="G196">
            <v>0</v>
          </cell>
        </row>
        <row r="197">
          <cell r="A197" t="str">
            <v>AMR6VC1B02</v>
          </cell>
          <cell r="B197" t="str">
            <v>Z</v>
          </cell>
          <cell r="C197" t="str">
            <v>COVER- TIRE- SR- BLK</v>
          </cell>
          <cell r="D197">
            <v>193.77</v>
          </cell>
          <cell r="E197">
            <v>322.95</v>
          </cell>
          <cell r="F197">
            <v>0</v>
          </cell>
          <cell r="G197">
            <v>0</v>
          </cell>
        </row>
        <row r="198">
          <cell r="A198" t="str">
            <v>AMT01YKX01</v>
          </cell>
          <cell r="B198" t="str">
            <v>S</v>
          </cell>
          <cell r="C198" t="str">
            <v>DEFLECTOR- SIDE WINDOW- 4 PCS</v>
          </cell>
          <cell r="D198">
            <v>93.57</v>
          </cell>
          <cell r="E198">
            <v>155.94999999999999</v>
          </cell>
          <cell r="F198">
            <v>0</v>
          </cell>
          <cell r="G198">
            <v>0</v>
          </cell>
        </row>
        <row r="199">
          <cell r="A199" t="str">
            <v>AMT02CLD03</v>
          </cell>
          <cell r="B199" t="str">
            <v>Z</v>
          </cell>
          <cell r="C199" t="str">
            <v>CARGO LINER- SOFT- GRAY</v>
          </cell>
          <cell r="D199">
            <v>88.77</v>
          </cell>
          <cell r="E199">
            <v>147.94999999999999</v>
          </cell>
          <cell r="F199">
            <v>0</v>
          </cell>
          <cell r="G199">
            <v>0</v>
          </cell>
        </row>
        <row r="200">
          <cell r="A200" t="str">
            <v>AMT0XF1E01</v>
          </cell>
          <cell r="B200" t="str">
            <v>F</v>
          </cell>
          <cell r="C200" t="str">
            <v>FLOOR MAT- BEIGE</v>
          </cell>
          <cell r="D200">
            <v>71.97</v>
          </cell>
          <cell r="E200">
            <v>119.95</v>
          </cell>
          <cell r="F200">
            <v>0</v>
          </cell>
          <cell r="G200">
            <v>0</v>
          </cell>
        </row>
        <row r="201">
          <cell r="A201" t="str">
            <v>AMT7CC2D01</v>
          </cell>
          <cell r="B201" t="str">
            <v>Z</v>
          </cell>
          <cell r="C201" t="str">
            <v>CARGO COVER- GREY- PDC</v>
          </cell>
          <cell r="D201">
            <v>167.37</v>
          </cell>
          <cell r="E201">
            <v>278.95</v>
          </cell>
          <cell r="F201">
            <v>0</v>
          </cell>
          <cell r="G201">
            <v>0</v>
          </cell>
        </row>
        <row r="202">
          <cell r="A202" t="str">
            <v>AMT7CC2E01</v>
          </cell>
          <cell r="B202" t="str">
            <v>Z</v>
          </cell>
          <cell r="C202" t="str">
            <v>CARGO COVER- BEIGE- PDC</v>
          </cell>
          <cell r="D202">
            <v>167.37</v>
          </cell>
          <cell r="E202">
            <v>278.95</v>
          </cell>
          <cell r="F202">
            <v>0</v>
          </cell>
          <cell r="G202">
            <v>0</v>
          </cell>
        </row>
        <row r="203">
          <cell r="A203" t="str">
            <v>AMT7YA1X01</v>
          </cell>
          <cell r="B203" t="str">
            <v>Z</v>
          </cell>
          <cell r="C203" t="str">
            <v>SIDE STEP SET</v>
          </cell>
          <cell r="D203">
            <v>433.77</v>
          </cell>
          <cell r="E203">
            <v>722.95</v>
          </cell>
          <cell r="F203">
            <v>0</v>
          </cell>
          <cell r="G203">
            <v>0</v>
          </cell>
        </row>
        <row r="204">
          <cell r="A204" t="str">
            <v>AMT7YH1X02</v>
          </cell>
          <cell r="B204" t="str">
            <v>Z</v>
          </cell>
          <cell r="C204" t="str">
            <v>WIRING HARNESS- TRAILER HITCH</v>
          </cell>
          <cell r="D204">
            <v>65.37</v>
          </cell>
          <cell r="E204">
            <v>108.95</v>
          </cell>
          <cell r="F204">
            <v>0</v>
          </cell>
          <cell r="G204">
            <v>0</v>
          </cell>
        </row>
        <row r="205">
          <cell r="A205" t="str">
            <v>AMT7YK1X01</v>
          </cell>
          <cell r="B205" t="str">
            <v>F</v>
          </cell>
          <cell r="C205" t="str">
            <v>DEFLECTOR- SUNROOF- WIND</v>
          </cell>
          <cell r="D205">
            <v>43.17</v>
          </cell>
          <cell r="E205">
            <v>71.95</v>
          </cell>
          <cell r="F205">
            <v>0</v>
          </cell>
          <cell r="G205">
            <v>0</v>
          </cell>
        </row>
        <row r="206">
          <cell r="A206" t="str">
            <v>AMT8YF2B02</v>
          </cell>
          <cell r="B206" t="str">
            <v>X</v>
          </cell>
          <cell r="C206" t="str">
            <v>MUDGUARD- RF</v>
          </cell>
          <cell r="D206">
            <v>65.97</v>
          </cell>
          <cell r="E206">
            <v>109.95</v>
          </cell>
          <cell r="F206">
            <v>0</v>
          </cell>
          <cell r="G206">
            <v>0</v>
          </cell>
        </row>
        <row r="207">
          <cell r="A207" t="str">
            <v>AMT8YF2B03</v>
          </cell>
          <cell r="B207" t="str">
            <v>X</v>
          </cell>
          <cell r="C207" t="str">
            <v>MUDGUARD- LF</v>
          </cell>
          <cell r="D207">
            <v>82.2</v>
          </cell>
          <cell r="E207">
            <v>137.94999999999999</v>
          </cell>
          <cell r="F207">
            <v>0</v>
          </cell>
          <cell r="G207">
            <v>0</v>
          </cell>
        </row>
        <row r="208">
          <cell r="A208" t="str">
            <v>AMT8YF2B04</v>
          </cell>
          <cell r="B208" t="str">
            <v>S</v>
          </cell>
          <cell r="C208" t="str">
            <v>MUDGUARD- RR</v>
          </cell>
          <cell r="D208">
            <v>41.37</v>
          </cell>
          <cell r="E208">
            <v>68.95</v>
          </cell>
          <cell r="F208">
            <v>0</v>
          </cell>
          <cell r="G208">
            <v>0</v>
          </cell>
        </row>
        <row r="209">
          <cell r="A209" t="str">
            <v>AMT8YF2B05</v>
          </cell>
          <cell r="B209" t="str">
            <v>F</v>
          </cell>
          <cell r="C209" t="str">
            <v>MUDGUARD- LR</v>
          </cell>
          <cell r="D209">
            <v>41.37</v>
          </cell>
          <cell r="E209">
            <v>68.95</v>
          </cell>
          <cell r="F209">
            <v>0</v>
          </cell>
          <cell r="G209">
            <v>0</v>
          </cell>
        </row>
        <row r="210">
          <cell r="A210" t="str">
            <v>AMT8YF2B06</v>
          </cell>
          <cell r="B210" t="str">
            <v>S</v>
          </cell>
          <cell r="C210" t="str">
            <v>FENDER FLARE- RF</v>
          </cell>
          <cell r="D210">
            <v>55.16</v>
          </cell>
          <cell r="E210">
            <v>91.95</v>
          </cell>
          <cell r="F210">
            <v>0</v>
          </cell>
          <cell r="G210">
            <v>0</v>
          </cell>
        </row>
        <row r="211">
          <cell r="A211" t="str">
            <v>AMT8YF2B07</v>
          </cell>
          <cell r="B211" t="str">
            <v>S</v>
          </cell>
          <cell r="C211" t="str">
            <v>FENDER FLARE- LF</v>
          </cell>
          <cell r="D211">
            <v>55.16</v>
          </cell>
          <cell r="E211">
            <v>91.95</v>
          </cell>
          <cell r="F211">
            <v>0</v>
          </cell>
          <cell r="G211">
            <v>0</v>
          </cell>
        </row>
        <row r="212">
          <cell r="A212" t="str">
            <v>AMT8YF2B08</v>
          </cell>
          <cell r="B212" t="str">
            <v>F</v>
          </cell>
          <cell r="C212" t="str">
            <v>FENDER FLARE- RR</v>
          </cell>
          <cell r="D212">
            <v>55.16</v>
          </cell>
          <cell r="E212">
            <v>91.95</v>
          </cell>
          <cell r="F212">
            <v>0</v>
          </cell>
          <cell r="G212">
            <v>0</v>
          </cell>
        </row>
        <row r="213">
          <cell r="A213" t="str">
            <v>AMT8YF2B09</v>
          </cell>
          <cell r="B213" t="str">
            <v>F</v>
          </cell>
          <cell r="C213" t="str">
            <v>FENDER FLARE- LR</v>
          </cell>
          <cell r="D213">
            <v>55.17</v>
          </cell>
          <cell r="E213">
            <v>91.95</v>
          </cell>
          <cell r="F213">
            <v>0</v>
          </cell>
          <cell r="G213">
            <v>0</v>
          </cell>
        </row>
        <row r="214">
          <cell r="A214" t="str">
            <v>ANM06YAT10</v>
          </cell>
          <cell r="B214" t="str">
            <v>F</v>
          </cell>
          <cell r="C214" t="str">
            <v>SIDE STEP- 2-END CAPS-SERV KIT</v>
          </cell>
          <cell r="D214">
            <v>11.98</v>
          </cell>
          <cell r="E214">
            <v>19.95</v>
          </cell>
          <cell r="F214">
            <v>0</v>
          </cell>
          <cell r="G214">
            <v>0</v>
          </cell>
        </row>
        <row r="215">
          <cell r="A215" t="str">
            <v>ANM06YFD03</v>
          </cell>
          <cell r="B215" t="str">
            <v>Z</v>
          </cell>
          <cell r="C215" t="str">
            <v>FENDER FLARE- LEFT FRONT</v>
          </cell>
          <cell r="D215">
            <v>94.77</v>
          </cell>
          <cell r="E215">
            <v>157.94999999999999</v>
          </cell>
          <cell r="F215">
            <v>0</v>
          </cell>
          <cell r="G215">
            <v>0</v>
          </cell>
        </row>
        <row r="216">
          <cell r="A216" t="str">
            <v>ANM06YFD07</v>
          </cell>
          <cell r="B216" t="str">
            <v>Z</v>
          </cell>
          <cell r="C216" t="str">
            <v>FENDER FLARE- RF</v>
          </cell>
          <cell r="D216">
            <v>94.77</v>
          </cell>
          <cell r="E216">
            <v>157.94999999999999</v>
          </cell>
          <cell r="F216">
            <v>0</v>
          </cell>
          <cell r="G216">
            <v>0</v>
          </cell>
        </row>
        <row r="217">
          <cell r="A217" t="str">
            <v>ANM06YFD09</v>
          </cell>
          <cell r="B217" t="str">
            <v>F</v>
          </cell>
          <cell r="C217" t="str">
            <v>FENDER FLARE- RR</v>
          </cell>
          <cell r="D217">
            <v>94.77</v>
          </cell>
          <cell r="E217">
            <v>157.94999999999999</v>
          </cell>
          <cell r="F217">
            <v>0</v>
          </cell>
          <cell r="G217">
            <v>0</v>
          </cell>
        </row>
        <row r="218">
          <cell r="A218" t="str">
            <v>ANM06YFD14</v>
          </cell>
          <cell r="B218" t="str">
            <v>F</v>
          </cell>
          <cell r="C218" t="str">
            <v>FENDER FLARE- SERV KIT</v>
          </cell>
          <cell r="D218">
            <v>122.98</v>
          </cell>
          <cell r="E218">
            <v>204.95</v>
          </cell>
          <cell r="F218">
            <v>0</v>
          </cell>
          <cell r="G218">
            <v>0</v>
          </cell>
        </row>
        <row r="219">
          <cell r="A219" t="str">
            <v>ANM06YGB01</v>
          </cell>
          <cell r="B219" t="str">
            <v>F</v>
          </cell>
          <cell r="C219" t="str">
            <v>MUDGUARD- D/C- W/FENDER FLARE</v>
          </cell>
          <cell r="D219">
            <v>40.17</v>
          </cell>
          <cell r="E219">
            <v>66.95</v>
          </cell>
          <cell r="F219">
            <v>0</v>
          </cell>
          <cell r="G219">
            <v>0</v>
          </cell>
        </row>
        <row r="220">
          <cell r="A220" t="str">
            <v>ANM06YGB03</v>
          </cell>
          <cell r="B220" t="str">
            <v>F</v>
          </cell>
          <cell r="C220" t="str">
            <v>MUDGUARD- NON-DUROCROSS</v>
          </cell>
          <cell r="D220">
            <v>56.97</v>
          </cell>
          <cell r="E220">
            <v>94.95</v>
          </cell>
          <cell r="F220">
            <v>0</v>
          </cell>
          <cell r="G220">
            <v>0</v>
          </cell>
        </row>
        <row r="221">
          <cell r="A221" t="str">
            <v>ANM06YHX01</v>
          </cell>
          <cell r="B221" t="str">
            <v>Z</v>
          </cell>
          <cell r="C221" t="str">
            <v>RECEIVER- HITCH- CLASS-3</v>
          </cell>
          <cell r="D221">
            <v>146.38</v>
          </cell>
          <cell r="E221">
            <v>243.95</v>
          </cell>
          <cell r="F221">
            <v>0</v>
          </cell>
          <cell r="G221">
            <v>0</v>
          </cell>
        </row>
        <row r="222">
          <cell r="A222" t="str">
            <v>ANM06YKX01</v>
          </cell>
          <cell r="B222" t="str">
            <v>F</v>
          </cell>
          <cell r="C222" t="str">
            <v>DEFLECTOR- HOOD</v>
          </cell>
          <cell r="D222">
            <v>56.37</v>
          </cell>
          <cell r="E222">
            <v>93.95</v>
          </cell>
          <cell r="F222">
            <v>0</v>
          </cell>
          <cell r="G222">
            <v>0</v>
          </cell>
        </row>
        <row r="223">
          <cell r="A223" t="str">
            <v>ANM06YTB03</v>
          </cell>
          <cell r="B223" t="str">
            <v>F</v>
          </cell>
          <cell r="C223" t="str">
            <v>TONNEAU COVER- FABRIC- DBL CAB</v>
          </cell>
          <cell r="D223">
            <v>278.38</v>
          </cell>
          <cell r="E223">
            <v>463.95</v>
          </cell>
          <cell r="F223">
            <v>0</v>
          </cell>
          <cell r="G223">
            <v>0</v>
          </cell>
        </row>
        <row r="224">
          <cell r="A224" t="str">
            <v>AOS16ENX01</v>
          </cell>
          <cell r="B224" t="str">
            <v>X</v>
          </cell>
          <cell r="C224" t="str">
            <v>NAVIGATION INSTALL KIT</v>
          </cell>
          <cell r="D224">
            <v>212.76</v>
          </cell>
          <cell r="E224">
            <v>354.95</v>
          </cell>
          <cell r="F224">
            <v>0</v>
          </cell>
          <cell r="G224">
            <v>0</v>
          </cell>
        </row>
        <row r="225">
          <cell r="A225" t="str">
            <v>AOT16SLC01</v>
          </cell>
          <cell r="B225" t="str">
            <v>X</v>
          </cell>
          <cell r="C225" t="str">
            <v>BADGE- SE- MMNA</v>
          </cell>
          <cell r="D225">
            <v>35.97</v>
          </cell>
          <cell r="E225">
            <v>59.95</v>
          </cell>
          <cell r="F225">
            <v>0</v>
          </cell>
          <cell r="G225">
            <v>0</v>
          </cell>
        </row>
        <row r="226">
          <cell r="A226" t="str">
            <v>AUT07YXX01</v>
          </cell>
          <cell r="B226" t="str">
            <v>Z</v>
          </cell>
          <cell r="C226" t="str">
            <v>FILM KIT- PROTECTIVE</v>
          </cell>
          <cell r="D226">
            <v>60.57</v>
          </cell>
          <cell r="E226">
            <v>100.95</v>
          </cell>
          <cell r="F226">
            <v>0</v>
          </cell>
          <cell r="G226">
            <v>0</v>
          </cell>
        </row>
        <row r="227">
          <cell r="A227" t="str">
            <v>AUT07YXX02</v>
          </cell>
          <cell r="B227" t="str">
            <v>S</v>
          </cell>
          <cell r="C227" t="str">
            <v>SIDE AIR DAM KIT- CHROME OUTLANDER &lt;2013</v>
          </cell>
          <cell r="D227">
            <v>533.37</v>
          </cell>
          <cell r="E227">
            <v>888.95</v>
          </cell>
          <cell r="F227">
            <v>0</v>
          </cell>
          <cell r="G227">
            <v>0</v>
          </cell>
        </row>
        <row r="228">
          <cell r="A228" t="str">
            <v>AW350213</v>
          </cell>
          <cell r="B228" t="str">
            <v>Z</v>
          </cell>
          <cell r="C228" t="str">
            <v>MAT-FLOOR CONSOLE BOX</v>
          </cell>
          <cell r="D228">
            <v>1.18</v>
          </cell>
          <cell r="E228">
            <v>1.95</v>
          </cell>
          <cell r="F228">
            <v>0</v>
          </cell>
          <cell r="G228">
            <v>0</v>
          </cell>
        </row>
        <row r="229">
          <cell r="A229" t="str">
            <v>BNR01EN</v>
          </cell>
          <cell r="B229" t="str">
            <v>O</v>
          </cell>
          <cell r="C229" t="str">
            <v>WINTER TIRE BANNER STAND (ENG)</v>
          </cell>
          <cell r="D229">
            <v>150</v>
          </cell>
          <cell r="E229">
            <v>0</v>
          </cell>
          <cell r="F229">
            <v>0</v>
          </cell>
          <cell r="G229">
            <v>0</v>
          </cell>
        </row>
        <row r="230">
          <cell r="A230" t="str">
            <v>BNR01FR</v>
          </cell>
          <cell r="B230" t="str">
            <v>O</v>
          </cell>
          <cell r="C230" t="str">
            <v>WINTER TIRE BANNER STAND (FR)</v>
          </cell>
          <cell r="D230">
            <v>150</v>
          </cell>
          <cell r="E230">
            <v>0</v>
          </cell>
          <cell r="F230">
            <v>0</v>
          </cell>
          <cell r="G230">
            <v>0</v>
          </cell>
        </row>
        <row r="231">
          <cell r="A231" t="str">
            <v>BNR02EN</v>
          </cell>
          <cell r="B231" t="str">
            <v>O</v>
          </cell>
          <cell r="C231" t="str">
            <v>BRAKING NEWS BANNER STAND (ENG</v>
          </cell>
          <cell r="D231">
            <v>150</v>
          </cell>
          <cell r="E231">
            <v>0</v>
          </cell>
          <cell r="F231">
            <v>0</v>
          </cell>
          <cell r="G231">
            <v>0</v>
          </cell>
        </row>
        <row r="232">
          <cell r="A232" t="str">
            <v>BNR02FR</v>
          </cell>
          <cell r="B232" t="str">
            <v>O</v>
          </cell>
          <cell r="C232" t="str">
            <v>BRAKING NEWS BANNER STAND (FR)</v>
          </cell>
          <cell r="D232">
            <v>150</v>
          </cell>
          <cell r="E232">
            <v>0</v>
          </cell>
          <cell r="F232">
            <v>0</v>
          </cell>
          <cell r="G232">
            <v>0</v>
          </cell>
        </row>
        <row r="233">
          <cell r="A233" t="str">
            <v>BNR03EN</v>
          </cell>
          <cell r="B233" t="str">
            <v>O</v>
          </cell>
          <cell r="C233" t="str">
            <v>YOU DESERVE A BRAKE B S (ENG)</v>
          </cell>
          <cell r="D233">
            <v>150</v>
          </cell>
          <cell r="E233">
            <v>0</v>
          </cell>
          <cell r="F233">
            <v>0</v>
          </cell>
          <cell r="G233">
            <v>0</v>
          </cell>
        </row>
        <row r="234">
          <cell r="A234" t="str">
            <v>BNR03FR</v>
          </cell>
          <cell r="B234" t="str">
            <v>O</v>
          </cell>
          <cell r="C234" t="str">
            <v>YOU DESERVE A BRAKE B S (FR)</v>
          </cell>
          <cell r="D234">
            <v>150</v>
          </cell>
          <cell r="E234">
            <v>0</v>
          </cell>
          <cell r="F234">
            <v>0</v>
          </cell>
          <cell r="G234">
            <v>0</v>
          </cell>
        </row>
        <row r="235">
          <cell r="A235" t="str">
            <v>BNR04EN</v>
          </cell>
          <cell r="B235" t="str">
            <v>O</v>
          </cell>
          <cell r="C235" t="str">
            <v>PAD COMPARISON B S (ENG)</v>
          </cell>
          <cell r="D235">
            <v>150</v>
          </cell>
          <cell r="E235">
            <v>0</v>
          </cell>
          <cell r="F235">
            <v>0</v>
          </cell>
          <cell r="G235">
            <v>0</v>
          </cell>
        </row>
        <row r="236">
          <cell r="A236" t="str">
            <v>BNR04FR</v>
          </cell>
          <cell r="B236" t="str">
            <v>O</v>
          </cell>
          <cell r="C236" t="str">
            <v>PAD COMPARISON B S (FR)</v>
          </cell>
          <cell r="D236">
            <v>150</v>
          </cell>
          <cell r="E236">
            <v>0</v>
          </cell>
          <cell r="F236">
            <v>0</v>
          </cell>
          <cell r="G236">
            <v>0</v>
          </cell>
        </row>
        <row r="237">
          <cell r="A237" t="str">
            <v>BTOOTHKIT</v>
          </cell>
          <cell r="B237" t="str">
            <v>S</v>
          </cell>
          <cell r="C237" t="str">
            <v>BLUETOOTH KIT</v>
          </cell>
          <cell r="D237">
            <v>380.37</v>
          </cell>
          <cell r="E237">
            <v>633.95000000000005</v>
          </cell>
          <cell r="F237">
            <v>0</v>
          </cell>
          <cell r="G237">
            <v>0</v>
          </cell>
        </row>
        <row r="238">
          <cell r="A238" t="str">
            <v>EZCF-2436</v>
          </cell>
          <cell r="B238" t="str">
            <v>D</v>
          </cell>
          <cell r="C238" t="str">
            <v>EZ CHANGE POSTER FRAME 24"X36"</v>
          </cell>
          <cell r="D238">
            <v>95.5</v>
          </cell>
          <cell r="E238">
            <v>0</v>
          </cell>
          <cell r="F238">
            <v>5</v>
          </cell>
          <cell r="G238">
            <v>0</v>
          </cell>
        </row>
        <row r="239">
          <cell r="A239" t="str">
            <v>EZEF-8511</v>
          </cell>
          <cell r="B239" t="str">
            <v>S</v>
          </cell>
          <cell r="C239" t="str">
            <v>EZ CHANGE EASEL FRAMES 8.5X11</v>
          </cell>
          <cell r="D239">
            <v>25</v>
          </cell>
          <cell r="E239">
            <v>41.95</v>
          </cell>
          <cell r="F239">
            <v>0</v>
          </cell>
          <cell r="G239">
            <v>0</v>
          </cell>
        </row>
        <row r="240">
          <cell r="A240" t="str">
            <v>MB361578</v>
          </cell>
          <cell r="B240" t="str">
            <v>D</v>
          </cell>
          <cell r="C240" t="str">
            <v>GROMMET- AIR DAM- SIDE</v>
          </cell>
          <cell r="D240">
            <v>2.37</v>
          </cell>
          <cell r="E240">
            <v>3.95</v>
          </cell>
          <cell r="F240">
            <v>26</v>
          </cell>
          <cell r="G240">
            <v>0</v>
          </cell>
        </row>
        <row r="241">
          <cell r="A241" t="str">
            <v>MB680954</v>
          </cell>
          <cell r="B241" t="str">
            <v>F</v>
          </cell>
          <cell r="C241" t="str">
            <v>SOCKET-ACCESSORY</v>
          </cell>
          <cell r="D241">
            <v>32.369999999999997</v>
          </cell>
          <cell r="E241">
            <v>53.95</v>
          </cell>
          <cell r="F241">
            <v>0</v>
          </cell>
          <cell r="G241">
            <v>0</v>
          </cell>
        </row>
        <row r="242">
          <cell r="A242" t="str">
            <v>MB906051</v>
          </cell>
          <cell r="B242" t="str">
            <v>D</v>
          </cell>
          <cell r="C242" t="str">
            <v>ELEMENT-AIR CLEANER</v>
          </cell>
          <cell r="D242">
            <v>23.97</v>
          </cell>
          <cell r="E242">
            <v>39.950000000000003</v>
          </cell>
          <cell r="F242">
            <v>111</v>
          </cell>
          <cell r="G242">
            <v>0</v>
          </cell>
        </row>
        <row r="243">
          <cell r="A243" t="str">
            <v>MB920013</v>
          </cell>
          <cell r="B243" t="str">
            <v>F</v>
          </cell>
          <cell r="C243" t="str">
            <v>TRANSMITTER- KEYLESS ENTRY</v>
          </cell>
          <cell r="D243">
            <v>73.77</v>
          </cell>
          <cell r="E243">
            <v>122.95</v>
          </cell>
          <cell r="F243">
            <v>0</v>
          </cell>
          <cell r="G243">
            <v>0</v>
          </cell>
        </row>
        <row r="244">
          <cell r="A244" t="str">
            <v>MB920014</v>
          </cell>
          <cell r="B244" t="str">
            <v>Z</v>
          </cell>
          <cell r="C244" t="str">
            <v>TRANSMITTER- KEYLESS ENTRY</v>
          </cell>
          <cell r="D244">
            <v>104.37</v>
          </cell>
          <cell r="E244">
            <v>173.95</v>
          </cell>
          <cell r="F244">
            <v>0</v>
          </cell>
          <cell r="G244">
            <v>0</v>
          </cell>
        </row>
        <row r="245">
          <cell r="A245" t="str">
            <v>MITSPPF1080</v>
          </cell>
          <cell r="B245" t="str">
            <v>F</v>
          </cell>
          <cell r="C245" t="str">
            <v>OUTLANDER VEHICLE WRAP</v>
          </cell>
          <cell r="D245">
            <v>119.04</v>
          </cell>
          <cell r="E245">
            <v>148.80000000000001</v>
          </cell>
          <cell r="F245">
            <v>0</v>
          </cell>
          <cell r="G245">
            <v>0</v>
          </cell>
        </row>
        <row r="246">
          <cell r="A246" t="str">
            <v>MMCA0025</v>
          </cell>
          <cell r="B246" t="str">
            <v>C</v>
          </cell>
          <cell r="C246" t="str">
            <v>BLUETOOTH HUB (FOR USE WITH F</v>
          </cell>
          <cell r="D246">
            <v>188.99</v>
          </cell>
          <cell r="E246">
            <v>283.95</v>
          </cell>
          <cell r="F246">
            <v>2</v>
          </cell>
          <cell r="G246">
            <v>0</v>
          </cell>
        </row>
        <row r="247">
          <cell r="A247" t="str">
            <v>MMCA0864</v>
          </cell>
          <cell r="B247" t="str">
            <v>Q</v>
          </cell>
          <cell r="C247" t="str">
            <v>ENGINE BLOCK HEATER CARTRIDGE</v>
          </cell>
          <cell r="D247">
            <v>75.275199999999998</v>
          </cell>
          <cell r="E247">
            <v>112.95</v>
          </cell>
          <cell r="F247">
            <v>87</v>
          </cell>
          <cell r="G247">
            <v>0</v>
          </cell>
        </row>
        <row r="248">
          <cell r="A248" t="str">
            <v>MMCA0875</v>
          </cell>
          <cell r="B248" t="str">
            <v>B</v>
          </cell>
          <cell r="C248" t="str">
            <v>PHEV ENGINE BLOCK HEATER CARTR</v>
          </cell>
          <cell r="D248">
            <v>75.268299999999996</v>
          </cell>
          <cell r="E248">
            <v>112.95</v>
          </cell>
          <cell r="F248">
            <v>648</v>
          </cell>
          <cell r="G248">
            <v>429</v>
          </cell>
        </row>
        <row r="249">
          <cell r="A249" t="str">
            <v>MMCA1008</v>
          </cell>
          <cell r="B249" t="str">
            <v>B</v>
          </cell>
          <cell r="C249" t="str">
            <v>ENGINE BLOCK HEATER CORD SET</v>
          </cell>
          <cell r="D249">
            <v>65.727199999999996</v>
          </cell>
          <cell r="E249">
            <v>98.95</v>
          </cell>
          <cell r="F249">
            <v>1289</v>
          </cell>
          <cell r="G249">
            <v>0</v>
          </cell>
        </row>
        <row r="250">
          <cell r="A250" t="str">
            <v>MMCA12048</v>
          </cell>
          <cell r="B250" t="str">
            <v>B</v>
          </cell>
          <cell r="C250" t="str">
            <v>ACTIVITY MOUNT HITCH- RVR</v>
          </cell>
          <cell r="D250">
            <v>250</v>
          </cell>
          <cell r="E250">
            <v>399.95</v>
          </cell>
          <cell r="F250">
            <v>22</v>
          </cell>
          <cell r="G250">
            <v>0</v>
          </cell>
        </row>
        <row r="251">
          <cell r="A251" t="str">
            <v>MMCA13214FN</v>
          </cell>
          <cell r="B251" t="str">
            <v>F</v>
          </cell>
          <cell r="C251" t="str">
            <v>14 WHEEL COVER EL SAM CARBON</v>
          </cell>
          <cell r="D251">
            <v>12.5</v>
          </cell>
          <cell r="E251">
            <v>24.99</v>
          </cell>
          <cell r="F251">
            <v>88</v>
          </cell>
          <cell r="G251">
            <v>0</v>
          </cell>
        </row>
        <row r="252">
          <cell r="A252" t="str">
            <v>MMCA2017</v>
          </cell>
          <cell r="B252" t="str">
            <v>F</v>
          </cell>
          <cell r="C252" t="str">
            <v>WUP BT ASSY</v>
          </cell>
          <cell r="D252">
            <v>476.5684</v>
          </cell>
          <cell r="E252">
            <v>714.85260000000005</v>
          </cell>
          <cell r="F252">
            <v>0</v>
          </cell>
          <cell r="G252">
            <v>0</v>
          </cell>
        </row>
        <row r="253">
          <cell r="A253" t="str">
            <v>MMCA2036</v>
          </cell>
          <cell r="B253" t="str">
            <v>C</v>
          </cell>
          <cell r="C253" t="str">
            <v>FLEX CHARGER STAND ALONE ASSEM</v>
          </cell>
          <cell r="D253">
            <v>261.62</v>
          </cell>
          <cell r="E253">
            <v>392.95</v>
          </cell>
          <cell r="F253">
            <v>0</v>
          </cell>
          <cell r="G253">
            <v>4</v>
          </cell>
        </row>
        <row r="254">
          <cell r="A254" t="str">
            <v>MMCA2037</v>
          </cell>
          <cell r="B254" t="str">
            <v>C</v>
          </cell>
          <cell r="C254" t="str">
            <v>FLEX CHARGER UPGRADE (MUST BE</v>
          </cell>
          <cell r="D254">
            <v>282.89999999999998</v>
          </cell>
          <cell r="E254">
            <v>424.95</v>
          </cell>
          <cell r="F254">
            <v>0</v>
          </cell>
          <cell r="G254">
            <v>6</v>
          </cell>
        </row>
        <row r="255">
          <cell r="A255" t="str">
            <v>MMCA2061</v>
          </cell>
          <cell r="B255" t="str">
            <v>F</v>
          </cell>
          <cell r="C255" t="str">
            <v>CHARGER ASSEMBLY 2.6M 12V CABL</v>
          </cell>
          <cell r="D255">
            <v>139.07740000000001</v>
          </cell>
          <cell r="E255">
            <v>208.61609999999999</v>
          </cell>
          <cell r="F255">
            <v>0</v>
          </cell>
          <cell r="G255">
            <v>0</v>
          </cell>
        </row>
        <row r="256">
          <cell r="A256" t="str">
            <v>MMCA20HAT</v>
          </cell>
          <cell r="B256" t="str">
            <v>F</v>
          </cell>
          <cell r="C256" t="str">
            <v>20TH ANNIVERSARY HAT</v>
          </cell>
          <cell r="D256">
            <v>21.5</v>
          </cell>
          <cell r="E256">
            <v>29.95</v>
          </cell>
          <cell r="F256">
            <v>170</v>
          </cell>
          <cell r="G256">
            <v>0</v>
          </cell>
        </row>
        <row r="257">
          <cell r="A257" t="str">
            <v>MMCA2113</v>
          </cell>
          <cell r="B257" t="str">
            <v>N</v>
          </cell>
          <cell r="C257" t="str">
            <v>EXTENSION CABLE SINGLE CABLE_</v>
          </cell>
          <cell r="D257">
            <v>32.86</v>
          </cell>
          <cell r="E257">
            <v>49.95</v>
          </cell>
          <cell r="F257">
            <v>0</v>
          </cell>
          <cell r="G257">
            <v>0</v>
          </cell>
        </row>
        <row r="258">
          <cell r="A258" t="str">
            <v>MMCA3101</v>
          </cell>
          <cell r="B258" t="str">
            <v>U</v>
          </cell>
          <cell r="C258" t="str">
            <v>POWER SUPPLY CABLE 2.5M 120V</v>
          </cell>
          <cell r="D258">
            <v>47.66</v>
          </cell>
          <cell r="E258">
            <v>71.95</v>
          </cell>
          <cell r="F258">
            <v>0</v>
          </cell>
          <cell r="G258">
            <v>0</v>
          </cell>
        </row>
        <row r="259">
          <cell r="A259" t="str">
            <v>MMCA3103</v>
          </cell>
          <cell r="B259" t="str">
            <v>U</v>
          </cell>
          <cell r="C259" t="str">
            <v>POWER SUPPLY CABLE 5.0M 120V</v>
          </cell>
          <cell r="D259">
            <v>65</v>
          </cell>
          <cell r="E259">
            <v>99.95</v>
          </cell>
          <cell r="F259">
            <v>0</v>
          </cell>
          <cell r="G259">
            <v>0</v>
          </cell>
        </row>
        <row r="260">
          <cell r="A260" t="str">
            <v>MMCA3105</v>
          </cell>
          <cell r="B260" t="str">
            <v>U</v>
          </cell>
          <cell r="C260" t="str">
            <v>POWER SUPPLY CABLE 10M 120V</v>
          </cell>
          <cell r="D260">
            <v>105.18</v>
          </cell>
          <cell r="E260">
            <v>157.94999999999999</v>
          </cell>
          <cell r="F260">
            <v>1</v>
          </cell>
          <cell r="G260">
            <v>0</v>
          </cell>
        </row>
        <row r="261">
          <cell r="A261" t="str">
            <v>MMCA3110</v>
          </cell>
          <cell r="B261" t="str">
            <v>C</v>
          </cell>
          <cell r="C261" t="str">
            <v>POWER SUPPLY CABLE 2.5M 120V</v>
          </cell>
          <cell r="D261">
            <v>47.66</v>
          </cell>
          <cell r="E261">
            <v>71.95</v>
          </cell>
          <cell r="F261">
            <v>5</v>
          </cell>
          <cell r="G261">
            <v>0</v>
          </cell>
        </row>
        <row r="262">
          <cell r="A262" t="str">
            <v>MMCA3111</v>
          </cell>
          <cell r="B262" t="str">
            <v>D</v>
          </cell>
          <cell r="C262" t="str">
            <v>POWER SUPPLY CABLE 5.0M 120V</v>
          </cell>
          <cell r="D262">
            <v>65</v>
          </cell>
          <cell r="E262">
            <v>99.95</v>
          </cell>
          <cell r="F262">
            <v>37</v>
          </cell>
          <cell r="G262">
            <v>0</v>
          </cell>
        </row>
        <row r="263">
          <cell r="A263" t="str">
            <v>MMCA3112</v>
          </cell>
          <cell r="B263" t="str">
            <v>D</v>
          </cell>
          <cell r="C263" t="str">
            <v>POWER SUPPLY CABLE 10M 120V</v>
          </cell>
          <cell r="D263">
            <v>105.18</v>
          </cell>
          <cell r="E263">
            <v>157.94999999999999</v>
          </cell>
          <cell r="F263">
            <v>8</v>
          </cell>
          <cell r="G263">
            <v>0</v>
          </cell>
        </row>
        <row r="264">
          <cell r="A264" t="str">
            <v>MMCA3125</v>
          </cell>
          <cell r="B264" t="str">
            <v>C</v>
          </cell>
          <cell r="C264" t="str">
            <v>ZC RE RUNNING BOARD BRACKET KI</v>
          </cell>
          <cell r="D264">
            <v>392.67</v>
          </cell>
          <cell r="E264">
            <v>560.95000000000005</v>
          </cell>
          <cell r="F264">
            <v>34</v>
          </cell>
          <cell r="G264">
            <v>0</v>
          </cell>
        </row>
        <row r="265">
          <cell r="A265" t="str">
            <v>MMCA3129</v>
          </cell>
          <cell r="B265" t="str">
            <v>C</v>
          </cell>
          <cell r="C265" t="str">
            <v>RUNNING BOARD BRACKET KIT  EC</v>
          </cell>
          <cell r="D265">
            <v>392.67</v>
          </cell>
          <cell r="E265">
            <v>560.95000000000005</v>
          </cell>
          <cell r="F265">
            <v>44</v>
          </cell>
          <cell r="G265">
            <v>0</v>
          </cell>
        </row>
        <row r="266">
          <cell r="A266" t="str">
            <v>MMCA3130</v>
          </cell>
          <cell r="B266" t="str">
            <v>D</v>
          </cell>
          <cell r="C266" t="str">
            <v>PHEV RUNNING BOARD BRACKET KIT</v>
          </cell>
          <cell r="D266">
            <v>392.67</v>
          </cell>
          <cell r="E266">
            <v>560.95000000000005</v>
          </cell>
          <cell r="F266">
            <v>62</v>
          </cell>
          <cell r="G266">
            <v>0</v>
          </cell>
        </row>
        <row r="267">
          <cell r="A267" t="str">
            <v>MMCA3133</v>
          </cell>
          <cell r="B267" t="str">
            <v>C</v>
          </cell>
          <cell r="C267" t="str">
            <v>OUTLANDER 22MY BRACKET KIT</v>
          </cell>
          <cell r="D267">
            <v>392.67</v>
          </cell>
          <cell r="E267">
            <v>560.95000000000005</v>
          </cell>
          <cell r="F267">
            <v>23</v>
          </cell>
          <cell r="G267">
            <v>30</v>
          </cell>
        </row>
        <row r="268">
          <cell r="A268" t="str">
            <v>MMCA3302</v>
          </cell>
          <cell r="B268" t="str">
            <v>F</v>
          </cell>
          <cell r="C268" t="str">
            <v>EXT CABLE SINGLE CABLE 1M 120V</v>
          </cell>
          <cell r="D268">
            <v>26.8</v>
          </cell>
          <cell r="E268">
            <v>39.950000000000003</v>
          </cell>
          <cell r="F268">
            <v>0</v>
          </cell>
          <cell r="G268">
            <v>0</v>
          </cell>
        </row>
        <row r="269">
          <cell r="A269" t="str">
            <v>MMCA3322</v>
          </cell>
          <cell r="B269" t="str">
            <v>F</v>
          </cell>
          <cell r="C269" t="str">
            <v>EXT CABLE BULK BOX 15X1M 120V</v>
          </cell>
          <cell r="D269">
            <v>20.8</v>
          </cell>
          <cell r="E269">
            <v>31.95</v>
          </cell>
          <cell r="F269">
            <v>0</v>
          </cell>
          <cell r="G269">
            <v>0</v>
          </cell>
        </row>
        <row r="270">
          <cell r="A270" t="str">
            <v>MMCA45791</v>
          </cell>
          <cell r="B270" t="str">
            <v>Q</v>
          </cell>
          <cell r="C270" t="str">
            <v>8" RECEIVER TUBE EXTENDER</v>
          </cell>
          <cell r="D270">
            <v>67.16</v>
          </cell>
          <cell r="E270">
            <v>83.95</v>
          </cell>
          <cell r="F270">
            <v>39</v>
          </cell>
          <cell r="G270">
            <v>0</v>
          </cell>
        </row>
        <row r="271">
          <cell r="A271" t="str">
            <v>MMCA6021808</v>
          </cell>
          <cell r="B271" t="str">
            <v>C</v>
          </cell>
          <cell r="C271" t="str">
            <v>RUNNING BOARD SET - SILVER</v>
          </cell>
          <cell r="D271">
            <v>476.43</v>
          </cell>
          <cell r="E271">
            <v>669.95</v>
          </cell>
          <cell r="F271">
            <v>32</v>
          </cell>
          <cell r="G271">
            <v>0</v>
          </cell>
        </row>
        <row r="272">
          <cell r="A272" t="str">
            <v>MMCA6021809</v>
          </cell>
          <cell r="B272" t="str">
            <v>C</v>
          </cell>
          <cell r="C272" t="str">
            <v>RUNNING BOARD SET - BLACK</v>
          </cell>
          <cell r="D272">
            <v>769.97</v>
          </cell>
          <cell r="E272">
            <v>1099.95</v>
          </cell>
          <cell r="F272">
            <v>17</v>
          </cell>
          <cell r="G272">
            <v>20</v>
          </cell>
        </row>
        <row r="273">
          <cell r="A273" t="str">
            <v>MMCAADPMN1</v>
          </cell>
          <cell r="B273" t="str">
            <v>B</v>
          </cell>
          <cell r="C273" t="str">
            <v>MMCAHCXMN1 Harness Adapter</v>
          </cell>
          <cell r="D273">
            <v>20</v>
          </cell>
          <cell r="E273">
            <v>25</v>
          </cell>
          <cell r="F273">
            <v>6</v>
          </cell>
          <cell r="G273">
            <v>0</v>
          </cell>
        </row>
        <row r="274">
          <cell r="A274" t="str">
            <v>MMCAADVSB10UHD</v>
          </cell>
          <cell r="B274" t="str">
            <v>D</v>
          </cell>
          <cell r="C274" t="str">
            <v>ADVENT VEHICLE ENTERTAIN SYS</v>
          </cell>
          <cell r="D274">
            <v>1750</v>
          </cell>
          <cell r="E274">
            <v>2295.9499999999998</v>
          </cell>
          <cell r="F274">
            <v>0</v>
          </cell>
          <cell r="G274">
            <v>0</v>
          </cell>
        </row>
        <row r="275">
          <cell r="A275" t="str">
            <v>MMCAAE100</v>
          </cell>
          <cell r="B275" t="str">
            <v>D</v>
          </cell>
          <cell r="C275" t="str">
            <v>ANNIVERSARY EDITION BADGE</v>
          </cell>
          <cell r="D275">
            <v>14.22</v>
          </cell>
          <cell r="E275">
            <v>23.95</v>
          </cell>
          <cell r="F275">
            <v>35</v>
          </cell>
          <cell r="G275">
            <v>0</v>
          </cell>
        </row>
        <row r="276">
          <cell r="A276" t="str">
            <v>MMCAARROWSL</v>
          </cell>
          <cell r="B276" t="str">
            <v>D</v>
          </cell>
          <cell r="C276" t="str">
            <v>WINDOW CLING ENGLISH LEFT</v>
          </cell>
          <cell r="D276">
            <v>2.5</v>
          </cell>
          <cell r="E276">
            <v>4.95</v>
          </cell>
          <cell r="F276">
            <v>168</v>
          </cell>
          <cell r="G276">
            <v>10</v>
          </cell>
        </row>
        <row r="277">
          <cell r="A277" t="str">
            <v>MMCAARROWSLFR</v>
          </cell>
          <cell r="B277" t="str">
            <v>D</v>
          </cell>
          <cell r="C277" t="str">
            <v>WINDOW CLING FRENCH LEFT</v>
          </cell>
          <cell r="D277">
            <v>2.5</v>
          </cell>
          <cell r="E277">
            <v>4.95</v>
          </cell>
          <cell r="F277">
            <v>88</v>
          </cell>
          <cell r="G277">
            <v>0</v>
          </cell>
        </row>
        <row r="278">
          <cell r="A278" t="str">
            <v>MMCAARROWSR</v>
          </cell>
          <cell r="B278" t="str">
            <v>D</v>
          </cell>
          <cell r="C278" t="str">
            <v>WINDOW CLING ENGLISH RIGHT</v>
          </cell>
          <cell r="D278">
            <v>2.5</v>
          </cell>
          <cell r="E278">
            <v>4.95</v>
          </cell>
          <cell r="F278">
            <v>200</v>
          </cell>
          <cell r="G278">
            <v>10</v>
          </cell>
        </row>
        <row r="279">
          <cell r="A279" t="str">
            <v>MMCAARROWSRFR</v>
          </cell>
          <cell r="B279" t="str">
            <v>D</v>
          </cell>
          <cell r="C279" t="str">
            <v>WINDOW CLING FRENCH RIGHT</v>
          </cell>
          <cell r="D279">
            <v>2.5</v>
          </cell>
          <cell r="E279">
            <v>4.95</v>
          </cell>
          <cell r="F279">
            <v>169</v>
          </cell>
          <cell r="G279">
            <v>0</v>
          </cell>
        </row>
        <row r="280">
          <cell r="A280" t="str">
            <v>MMCABEZC45</v>
          </cell>
          <cell r="B280" t="str">
            <v>D</v>
          </cell>
          <cell r="C280" t="str">
            <v>17MY BLACK EDITION BADGE</v>
          </cell>
          <cell r="D280">
            <v>20.43</v>
          </cell>
          <cell r="E280">
            <v>34.950000000000003</v>
          </cell>
          <cell r="F280">
            <v>55</v>
          </cell>
          <cell r="G280">
            <v>0</v>
          </cell>
        </row>
        <row r="281">
          <cell r="A281" t="str">
            <v>MMCAC160016</v>
          </cell>
          <cell r="B281" t="str">
            <v>D</v>
          </cell>
          <cell r="C281" t="str">
            <v>BLADE ASSY, WINDSHIELD W./CONVENTIONAL/400MM/16IN</v>
          </cell>
          <cell r="D281">
            <v>10</v>
          </cell>
          <cell r="E281">
            <v>15.95</v>
          </cell>
          <cell r="F281">
            <v>160</v>
          </cell>
          <cell r="G281">
            <v>0</v>
          </cell>
        </row>
        <row r="282">
          <cell r="A282" t="str">
            <v>MMCAC170017</v>
          </cell>
          <cell r="B282" t="str">
            <v>L</v>
          </cell>
          <cell r="C282" t="str">
            <v>BLADE ASSY, WINDSHIELD W./CONVENTIONAL/430MM/17IN</v>
          </cell>
          <cell r="D282">
            <v>10</v>
          </cell>
          <cell r="E282">
            <v>15.95</v>
          </cell>
          <cell r="F282">
            <v>5</v>
          </cell>
          <cell r="G282">
            <v>0</v>
          </cell>
        </row>
        <row r="283">
          <cell r="A283" t="str">
            <v>MMCAC180018</v>
          </cell>
          <cell r="B283" t="str">
            <v>B</v>
          </cell>
          <cell r="C283" t="str">
            <v>BLADE ASSY, WINDSHIELD W./CONVENTIONAL/450MM/18IN</v>
          </cell>
          <cell r="D283">
            <v>10</v>
          </cell>
          <cell r="E283">
            <v>15.95</v>
          </cell>
          <cell r="F283">
            <v>268</v>
          </cell>
          <cell r="G283">
            <v>0</v>
          </cell>
        </row>
        <row r="284">
          <cell r="A284" t="str">
            <v>MMCAC190019</v>
          </cell>
          <cell r="B284" t="str">
            <v>D</v>
          </cell>
          <cell r="C284" t="str">
            <v>BLADE ASSY, WINDSHIELD W./CONVENTIONAL/480MM/19IN</v>
          </cell>
          <cell r="D284">
            <v>10</v>
          </cell>
          <cell r="E284">
            <v>15.95</v>
          </cell>
          <cell r="F284">
            <v>33</v>
          </cell>
          <cell r="G284">
            <v>0</v>
          </cell>
        </row>
        <row r="285">
          <cell r="A285" t="str">
            <v>MMCAC200020</v>
          </cell>
          <cell r="B285" t="str">
            <v>C</v>
          </cell>
          <cell r="C285" t="str">
            <v>BLADE ASSY, WINDSHIELD W./CONVENTIONAL/500MM/20IN</v>
          </cell>
          <cell r="D285">
            <v>10</v>
          </cell>
          <cell r="E285">
            <v>15.95</v>
          </cell>
          <cell r="F285">
            <v>114</v>
          </cell>
          <cell r="G285">
            <v>0</v>
          </cell>
        </row>
        <row r="286">
          <cell r="A286" t="str">
            <v>MMCAC210021</v>
          </cell>
          <cell r="B286" t="str">
            <v>B</v>
          </cell>
          <cell r="C286" t="str">
            <v>BLADE ASSY, WINDSHIELD W./CONVENTIONAL/530MM/21IN</v>
          </cell>
          <cell r="D286">
            <v>12.5</v>
          </cell>
          <cell r="E286">
            <v>19.95</v>
          </cell>
          <cell r="F286">
            <v>308</v>
          </cell>
          <cell r="G286">
            <v>50</v>
          </cell>
        </row>
        <row r="287">
          <cell r="A287" t="str">
            <v>MMCAC220022</v>
          </cell>
          <cell r="B287" t="str">
            <v>C</v>
          </cell>
          <cell r="C287" t="str">
            <v>BLADE ASSY, WINDSHIELD W./CONVENTIONAL/550MM/22IN</v>
          </cell>
          <cell r="D287">
            <v>12.5</v>
          </cell>
          <cell r="E287">
            <v>19.95</v>
          </cell>
          <cell r="F287">
            <v>74</v>
          </cell>
          <cell r="G287">
            <v>0</v>
          </cell>
        </row>
        <row r="288">
          <cell r="A288" t="str">
            <v>MMCAC240024</v>
          </cell>
          <cell r="B288" t="str">
            <v>B</v>
          </cell>
          <cell r="C288" t="str">
            <v>BLADE ASSY, WINDSHIELD W./CONVENTIONAL/600MM/24IN</v>
          </cell>
          <cell r="D288">
            <v>12.5</v>
          </cell>
          <cell r="E288">
            <v>19.95</v>
          </cell>
          <cell r="F288">
            <v>354</v>
          </cell>
          <cell r="G288">
            <v>0</v>
          </cell>
        </row>
        <row r="289">
          <cell r="A289" t="str">
            <v>MMCAC260026</v>
          </cell>
          <cell r="B289" t="str">
            <v>B</v>
          </cell>
          <cell r="C289" t="str">
            <v>BLADE ASSY, WINDSHIELD W./CONVENTIONAL/650MM/26IN</v>
          </cell>
          <cell r="D289">
            <v>12.5</v>
          </cell>
          <cell r="E289">
            <v>19.95</v>
          </cell>
          <cell r="F289">
            <v>322</v>
          </cell>
          <cell r="G289">
            <v>0</v>
          </cell>
        </row>
        <row r="290">
          <cell r="A290" t="str">
            <v>MMCACERIUM</v>
          </cell>
          <cell r="B290" t="str">
            <v>C</v>
          </cell>
          <cell r="C290" t="str">
            <v>ITEKT CERIUM (50G)</v>
          </cell>
          <cell r="D290">
            <v>18.5</v>
          </cell>
          <cell r="E290">
            <v>0</v>
          </cell>
          <cell r="F290">
            <v>84</v>
          </cell>
          <cell r="G290">
            <v>0</v>
          </cell>
        </row>
        <row r="291">
          <cell r="A291" t="str">
            <v>MMCACH001</v>
          </cell>
          <cell r="B291" t="str">
            <v>S</v>
          </cell>
          <cell r="C291" t="str">
            <v>JACKET AND CLOTHES HOLDER</v>
          </cell>
          <cell r="D291">
            <v>70</v>
          </cell>
          <cell r="E291">
            <v>99.95</v>
          </cell>
          <cell r="F291">
            <v>27</v>
          </cell>
          <cell r="G291">
            <v>0</v>
          </cell>
        </row>
        <row r="292">
          <cell r="A292" t="str">
            <v>MMCADECALEN</v>
          </cell>
          <cell r="B292" t="str">
            <v>S</v>
          </cell>
          <cell r="C292" t="str">
            <v>ACCESSORIES DECAL - ENGLISH</v>
          </cell>
          <cell r="D292">
            <v>1.25</v>
          </cell>
          <cell r="E292">
            <v>0</v>
          </cell>
          <cell r="F292">
            <v>0</v>
          </cell>
          <cell r="G292">
            <v>0</v>
          </cell>
        </row>
        <row r="293">
          <cell r="A293" t="str">
            <v>MMCADECALFR</v>
          </cell>
          <cell r="B293" t="str">
            <v>S</v>
          </cell>
          <cell r="C293" t="str">
            <v>ACCESSORIES DECAL - FRENCH</v>
          </cell>
          <cell r="D293">
            <v>1.25</v>
          </cell>
          <cell r="E293">
            <v>0</v>
          </cell>
          <cell r="F293">
            <v>0</v>
          </cell>
          <cell r="G293">
            <v>0</v>
          </cell>
        </row>
        <row r="294">
          <cell r="A294" t="str">
            <v>MMCADENS2018</v>
          </cell>
          <cell r="B294" t="str">
            <v>S</v>
          </cell>
          <cell r="C294" t="str">
            <v>DIAMOND EDITION BADGE NS</v>
          </cell>
          <cell r="D294">
            <v>34.26</v>
          </cell>
          <cell r="E294">
            <v>57.95</v>
          </cell>
          <cell r="F294">
            <v>37</v>
          </cell>
          <cell r="G294">
            <v>0</v>
          </cell>
        </row>
        <row r="295">
          <cell r="A295" t="str">
            <v>MMCAFA200D16H</v>
          </cell>
          <cell r="B295" t="str">
            <v>Z</v>
          </cell>
          <cell r="C295" t="str">
            <v>FRONT AND REAR 2 CHANNEL DASHC</v>
          </cell>
          <cell r="D295">
            <v>225</v>
          </cell>
          <cell r="E295">
            <v>319.95</v>
          </cell>
          <cell r="F295">
            <v>0</v>
          </cell>
          <cell r="G295">
            <v>0</v>
          </cell>
        </row>
        <row r="296">
          <cell r="A296" t="str">
            <v>MMCAGON4OBD</v>
          </cell>
          <cell r="B296" t="str">
            <v>C</v>
          </cell>
          <cell r="C296" t="str">
            <v>DASH CAM - 2 CHANNEL 4K</v>
          </cell>
          <cell r="D296">
            <v>598</v>
          </cell>
          <cell r="E296">
            <v>849.95</v>
          </cell>
          <cell r="F296">
            <v>11</v>
          </cell>
          <cell r="G296">
            <v>8</v>
          </cell>
        </row>
        <row r="297">
          <cell r="A297" t="str">
            <v>MMCAGONQOBD</v>
          </cell>
          <cell r="B297" t="str">
            <v>C</v>
          </cell>
          <cell r="C297" t="str">
            <v>DASH CAM - 2 CHANNEL 2K</v>
          </cell>
          <cell r="D297">
            <v>523</v>
          </cell>
          <cell r="E297">
            <v>749.95</v>
          </cell>
          <cell r="F297">
            <v>8</v>
          </cell>
          <cell r="G297">
            <v>0</v>
          </cell>
        </row>
        <row r="298">
          <cell r="A298" t="str">
            <v>MMCAGONXOBGPS</v>
          </cell>
          <cell r="B298" t="str">
            <v>B</v>
          </cell>
          <cell r="C298" t="str">
            <v>DASH CAM - 2 CHANNEL 1080P</v>
          </cell>
          <cell r="D298">
            <v>225</v>
          </cell>
          <cell r="E298">
            <v>319.95</v>
          </cell>
          <cell r="F298">
            <v>165</v>
          </cell>
          <cell r="G298">
            <v>0</v>
          </cell>
        </row>
        <row r="299">
          <cell r="A299" t="str">
            <v>MMCAHCGMI1</v>
          </cell>
          <cell r="B299" t="str">
            <v>A</v>
          </cell>
          <cell r="C299" t="str">
            <v>G0 MODULE + HARNESS - NS</v>
          </cell>
          <cell r="D299">
            <v>315</v>
          </cell>
          <cell r="E299">
            <v>449.95</v>
          </cell>
          <cell r="F299">
            <v>414</v>
          </cell>
          <cell r="G299">
            <v>176</v>
          </cell>
        </row>
        <row r="300">
          <cell r="A300" t="str">
            <v>MMCAHCGMI1F</v>
          </cell>
          <cell r="B300" t="str">
            <v>A</v>
          </cell>
          <cell r="C300" t="str">
            <v>G0 MODULE + HARNESS - NS</v>
          </cell>
          <cell r="D300">
            <v>322.5</v>
          </cell>
          <cell r="E300">
            <v>460.95</v>
          </cell>
          <cell r="F300">
            <v>0</v>
          </cell>
          <cell r="G300">
            <v>0</v>
          </cell>
        </row>
        <row r="301">
          <cell r="A301" t="str">
            <v>MMCAHCGMI2</v>
          </cell>
          <cell r="B301" t="str">
            <v>B</v>
          </cell>
          <cell r="C301" t="str">
            <v>G0 MODULE + HARNESS - ZC</v>
          </cell>
          <cell r="D301">
            <v>315</v>
          </cell>
          <cell r="E301">
            <v>449.95</v>
          </cell>
          <cell r="F301">
            <v>397</v>
          </cell>
          <cell r="G301">
            <v>0</v>
          </cell>
        </row>
        <row r="302">
          <cell r="A302" t="str">
            <v>MMCAHCGMI2F</v>
          </cell>
          <cell r="B302" t="str">
            <v>B</v>
          </cell>
          <cell r="C302" t="str">
            <v>G0 MODULE + HARNESS - ZC PORT</v>
          </cell>
          <cell r="D302">
            <v>345</v>
          </cell>
          <cell r="E302">
            <v>492.95</v>
          </cell>
          <cell r="F302">
            <v>0</v>
          </cell>
          <cell r="G302">
            <v>0</v>
          </cell>
        </row>
        <row r="303">
          <cell r="A303" t="str">
            <v>MMCAHCGMI4</v>
          </cell>
          <cell r="B303" t="str">
            <v>N</v>
          </cell>
          <cell r="C303" t="str">
            <v>G0 MODULE + HARNESS - DGE</v>
          </cell>
          <cell r="D303">
            <v>400</v>
          </cell>
          <cell r="E303">
            <v>569.95000000000005</v>
          </cell>
          <cell r="F303">
            <v>199</v>
          </cell>
          <cell r="G303">
            <v>0</v>
          </cell>
        </row>
        <row r="304">
          <cell r="A304" t="str">
            <v>MMCAHCGMN1</v>
          </cell>
          <cell r="B304" t="str">
            <v>B</v>
          </cell>
          <cell r="C304" t="str">
            <v>G0 MODULE + HARNESS - DG V2</v>
          </cell>
          <cell r="D304">
            <v>315</v>
          </cell>
          <cell r="E304">
            <v>449.95</v>
          </cell>
          <cell r="F304">
            <v>118</v>
          </cell>
          <cell r="G304">
            <v>0</v>
          </cell>
        </row>
        <row r="305">
          <cell r="A305" t="str">
            <v>MMCAHCXMI1</v>
          </cell>
          <cell r="B305" t="str">
            <v>A</v>
          </cell>
          <cell r="C305" t="str">
            <v>HC CONTROL MODULE + MI1 T-HARN</v>
          </cell>
          <cell r="D305">
            <v>261</v>
          </cell>
          <cell r="E305">
            <v>369.95</v>
          </cell>
          <cell r="F305">
            <v>132</v>
          </cell>
          <cell r="G305">
            <v>10</v>
          </cell>
        </row>
        <row r="306">
          <cell r="A306" t="str">
            <v>MMCAHCXMI1A</v>
          </cell>
          <cell r="B306" t="str">
            <v>U</v>
          </cell>
          <cell r="C306" t="str">
            <v>HC CONTROL MODULE + MI1 PLUG &amp;</v>
          </cell>
          <cell r="D306">
            <v>261</v>
          </cell>
          <cell r="E306">
            <v>369.95</v>
          </cell>
          <cell r="F306">
            <v>0</v>
          </cell>
          <cell r="G306">
            <v>0</v>
          </cell>
        </row>
        <row r="307">
          <cell r="A307" t="str">
            <v>MMCAHCXMI1F</v>
          </cell>
          <cell r="B307" t="str">
            <v>A</v>
          </cell>
          <cell r="C307" t="str">
            <v>HC CONTROL MODULE + MI1 T-HARN</v>
          </cell>
          <cell r="D307">
            <v>261</v>
          </cell>
          <cell r="E307">
            <v>369.95</v>
          </cell>
          <cell r="F307">
            <v>0</v>
          </cell>
          <cell r="G307">
            <v>0</v>
          </cell>
        </row>
        <row r="308">
          <cell r="A308" t="str">
            <v>MMCAHCXMI2</v>
          </cell>
          <cell r="B308" t="str">
            <v>Z</v>
          </cell>
          <cell r="C308" t="str">
            <v>HC CONTROL MODULE + MI2 T-HARN</v>
          </cell>
          <cell r="D308">
            <v>306</v>
          </cell>
          <cell r="E308">
            <v>434.95</v>
          </cell>
          <cell r="F308">
            <v>0</v>
          </cell>
          <cell r="G308">
            <v>59</v>
          </cell>
        </row>
        <row r="309">
          <cell r="A309" t="str">
            <v>MMCAHCXMI2F</v>
          </cell>
          <cell r="B309" t="str">
            <v>B</v>
          </cell>
          <cell r="C309" t="str">
            <v>HC CONTROL MOD MI2 T-HARN - F</v>
          </cell>
          <cell r="D309">
            <v>313.5</v>
          </cell>
          <cell r="E309">
            <v>444.95</v>
          </cell>
          <cell r="F309">
            <v>0</v>
          </cell>
          <cell r="G309">
            <v>0</v>
          </cell>
        </row>
        <row r="310">
          <cell r="A310" t="str">
            <v>MMCAHCXMI3</v>
          </cell>
          <cell r="B310" t="str">
            <v>L</v>
          </cell>
          <cell r="C310" t="str">
            <v>HC CONTROL MODULE + MI3 T-HARN</v>
          </cell>
          <cell r="D310">
            <v>260</v>
          </cell>
          <cell r="E310">
            <v>369.95</v>
          </cell>
          <cell r="F310">
            <v>52</v>
          </cell>
          <cell r="G310">
            <v>0</v>
          </cell>
        </row>
        <row r="311">
          <cell r="A311" t="str">
            <v>MMCAHCXMIJC</v>
          </cell>
          <cell r="B311" t="str">
            <v>F</v>
          </cell>
          <cell r="C311" t="str">
            <v>HARNESS JUMPER CABLE</v>
          </cell>
          <cell r="D311">
            <v>0.01</v>
          </cell>
          <cell r="E311">
            <v>0.01</v>
          </cell>
          <cell r="F311">
            <v>10</v>
          </cell>
          <cell r="G311">
            <v>0</v>
          </cell>
        </row>
        <row r="312">
          <cell r="A312" t="str">
            <v>MMCAHCXMN1</v>
          </cell>
          <cell r="B312" t="str">
            <v>Z</v>
          </cell>
          <cell r="C312" t="str">
            <v>HARNESS + MODULE - DG</v>
          </cell>
          <cell r="D312">
            <v>260</v>
          </cell>
          <cell r="E312">
            <v>369.95</v>
          </cell>
          <cell r="F312">
            <v>0</v>
          </cell>
          <cell r="G312">
            <v>0</v>
          </cell>
        </row>
        <row r="313">
          <cell r="A313" t="str">
            <v>MMCAHCXMN1A</v>
          </cell>
          <cell r="B313" t="str">
            <v>Z</v>
          </cell>
          <cell r="C313" t="str">
            <v>HARNESS + MODULE - DG NEW</v>
          </cell>
          <cell r="D313">
            <v>260</v>
          </cell>
          <cell r="E313">
            <v>369.95</v>
          </cell>
          <cell r="F313">
            <v>0</v>
          </cell>
          <cell r="G313">
            <v>61</v>
          </cell>
        </row>
        <row r="314">
          <cell r="A314" t="str">
            <v>MMCAHK2178</v>
          </cell>
          <cell r="B314" t="str">
            <v>F</v>
          </cell>
          <cell r="C314" t="str">
            <v>HARDWARE KIT FOR MMCAD2178</v>
          </cell>
          <cell r="D314">
            <v>0.01</v>
          </cell>
          <cell r="E314">
            <v>0.01</v>
          </cell>
          <cell r="F314">
            <v>20</v>
          </cell>
          <cell r="G314">
            <v>0</v>
          </cell>
        </row>
        <row r="315">
          <cell r="A315" t="str">
            <v>MMCAHWKTW01</v>
          </cell>
          <cell r="B315" t="str">
            <v>S</v>
          </cell>
          <cell r="C315" t="str">
            <v>OBD 2 PLUG FOR DASHCAM</v>
          </cell>
          <cell r="D315">
            <v>50</v>
          </cell>
          <cell r="E315">
            <v>69.95</v>
          </cell>
          <cell r="F315">
            <v>0</v>
          </cell>
          <cell r="G315">
            <v>0</v>
          </cell>
        </row>
        <row r="316">
          <cell r="A316" t="str">
            <v>MMCAHWKTW01-ADAP</v>
          </cell>
          <cell r="B316" t="str">
            <v>D</v>
          </cell>
          <cell r="C316" t="str">
            <v>OBD2 ADAPTER</v>
          </cell>
          <cell r="D316">
            <v>84</v>
          </cell>
          <cell r="E316">
            <v>119.95</v>
          </cell>
          <cell r="F316">
            <v>0</v>
          </cell>
          <cell r="G316">
            <v>0</v>
          </cell>
        </row>
        <row r="317">
          <cell r="A317" t="str">
            <v>MMCAITCLEANER</v>
          </cell>
          <cell r="B317" t="str">
            <v>D</v>
          </cell>
          <cell r="C317" t="str">
            <v>ITEKT CLEANER (1L)</v>
          </cell>
          <cell r="D317">
            <v>14.25</v>
          </cell>
          <cell r="E317">
            <v>0</v>
          </cell>
          <cell r="F317">
            <v>88</v>
          </cell>
          <cell r="G317">
            <v>0</v>
          </cell>
        </row>
        <row r="318">
          <cell r="A318" t="str">
            <v>MMCAITEKTDISPLAY</v>
          </cell>
          <cell r="B318" t="str">
            <v>Q</v>
          </cell>
          <cell r="C318" t="str">
            <v>ITEKT DISPLAY</v>
          </cell>
          <cell r="D318">
            <v>0.01</v>
          </cell>
          <cell r="E318">
            <v>0</v>
          </cell>
          <cell r="F318">
            <v>45</v>
          </cell>
          <cell r="G318">
            <v>0</v>
          </cell>
        </row>
        <row r="319">
          <cell r="A319" t="str">
            <v>MMCAITEKTMH</v>
          </cell>
          <cell r="B319" t="str">
            <v>D</v>
          </cell>
          <cell r="C319" t="str">
            <v>ITEKT MIRROR HANGER (PACK)</v>
          </cell>
          <cell r="D319">
            <v>0.15</v>
          </cell>
          <cell r="E319">
            <v>0</v>
          </cell>
          <cell r="F319">
            <v>100</v>
          </cell>
          <cell r="G319">
            <v>0</v>
          </cell>
        </row>
        <row r="320">
          <cell r="A320" t="str">
            <v>MMCAMC200</v>
          </cell>
          <cell r="B320" t="str">
            <v>C</v>
          </cell>
          <cell r="C320" t="str">
            <v>MYCAR IPHONE/ANDROID VEHICLE CONTROL</v>
          </cell>
          <cell r="D320">
            <v>230</v>
          </cell>
          <cell r="E320">
            <v>329.95</v>
          </cell>
          <cell r="F320">
            <v>20</v>
          </cell>
          <cell r="G320">
            <v>0</v>
          </cell>
        </row>
        <row r="321">
          <cell r="A321" t="str">
            <v>MMCAMH001</v>
          </cell>
          <cell r="B321" t="str">
            <v>S</v>
          </cell>
          <cell r="C321" t="str">
            <v>MULTIMEDIA DEVICE HOLDER</v>
          </cell>
          <cell r="D321">
            <v>70</v>
          </cell>
          <cell r="E321">
            <v>99.95</v>
          </cell>
          <cell r="F321">
            <v>32</v>
          </cell>
          <cell r="G321">
            <v>0</v>
          </cell>
        </row>
        <row r="322">
          <cell r="A322" t="str">
            <v>MMCAN2GPS</v>
          </cell>
          <cell r="B322" t="str">
            <v>U</v>
          </cell>
          <cell r="C322" t="str">
            <v>DASHCAM SYSTEM</v>
          </cell>
          <cell r="D322">
            <v>225</v>
          </cell>
          <cell r="E322">
            <v>319.95</v>
          </cell>
          <cell r="F322">
            <v>0</v>
          </cell>
          <cell r="G322">
            <v>0</v>
          </cell>
        </row>
        <row r="323">
          <cell r="A323" t="str">
            <v>MMCANB24</v>
          </cell>
          <cell r="B323" t="str">
            <v>O</v>
          </cell>
          <cell r="C323" t="str">
            <v>BADGE - NOIR - 24MY</v>
          </cell>
          <cell r="D323">
            <v>10.77</v>
          </cell>
          <cell r="E323">
            <v>17.95</v>
          </cell>
          <cell r="F323">
            <v>138</v>
          </cell>
          <cell r="G323">
            <v>0</v>
          </cell>
        </row>
        <row r="324">
          <cell r="A324" t="str">
            <v>MMCAODOREP</v>
          </cell>
          <cell r="B324" t="str">
            <v>D</v>
          </cell>
          <cell r="C324" t="str">
            <v>ODOMETER REPLACEMENT LABEL</v>
          </cell>
          <cell r="D324">
            <v>8.9700000000000006</v>
          </cell>
          <cell r="E324">
            <v>14.95</v>
          </cell>
          <cell r="F324">
            <v>38</v>
          </cell>
          <cell r="G324">
            <v>0</v>
          </cell>
        </row>
        <row r="325">
          <cell r="A325" t="str">
            <v>MMCAP160016</v>
          </cell>
          <cell r="B325" t="str">
            <v>D</v>
          </cell>
          <cell r="C325" t="str">
            <v>BLADE ASSY, WINDSHIELD W./PREMIUM/400MM/16IN</v>
          </cell>
          <cell r="D325">
            <v>13.17</v>
          </cell>
          <cell r="E325">
            <v>21.95</v>
          </cell>
          <cell r="F325">
            <v>26</v>
          </cell>
          <cell r="G325">
            <v>0</v>
          </cell>
        </row>
        <row r="326">
          <cell r="A326" t="str">
            <v>MMCAP170017</v>
          </cell>
          <cell r="B326" t="str">
            <v>D</v>
          </cell>
          <cell r="C326" t="str">
            <v>BLADE ASSY, WINDSHIELD W./PREMIUM/430MM/17IN</v>
          </cell>
          <cell r="D326">
            <v>13.17</v>
          </cell>
          <cell r="E326">
            <v>21.95</v>
          </cell>
          <cell r="F326">
            <v>30</v>
          </cell>
          <cell r="G326">
            <v>0</v>
          </cell>
        </row>
        <row r="327">
          <cell r="A327" t="str">
            <v>MMCAP180018</v>
          </cell>
          <cell r="B327" t="str">
            <v>C</v>
          </cell>
          <cell r="C327" t="str">
            <v>BLADE ASSY, WINDSHIELD W./PREMIUM/450MM/18IN</v>
          </cell>
          <cell r="D327">
            <v>13.17</v>
          </cell>
          <cell r="E327">
            <v>21.95</v>
          </cell>
          <cell r="F327">
            <v>198</v>
          </cell>
          <cell r="G327">
            <v>20</v>
          </cell>
        </row>
        <row r="328">
          <cell r="A328" t="str">
            <v>MMCAP190019</v>
          </cell>
          <cell r="B328" t="str">
            <v>D</v>
          </cell>
          <cell r="C328" t="str">
            <v>BLADE ASSY, WINDSHIELD W./PREMIUM/480MM/19IN</v>
          </cell>
          <cell r="D328">
            <v>13.17</v>
          </cell>
          <cell r="E328">
            <v>21.95</v>
          </cell>
          <cell r="F328">
            <v>30</v>
          </cell>
          <cell r="G328">
            <v>0</v>
          </cell>
        </row>
        <row r="329">
          <cell r="A329" t="str">
            <v>MMCAP200020</v>
          </cell>
          <cell r="B329" t="str">
            <v>D</v>
          </cell>
          <cell r="C329" t="str">
            <v>BLADE ASSY, WINDSHIELD W./PREMIUM/500MM/20IN</v>
          </cell>
          <cell r="D329">
            <v>13.17</v>
          </cell>
          <cell r="E329">
            <v>21.95</v>
          </cell>
          <cell r="F329">
            <v>103</v>
          </cell>
          <cell r="G329">
            <v>0</v>
          </cell>
        </row>
        <row r="330">
          <cell r="A330" t="str">
            <v>MMCAP210021</v>
          </cell>
          <cell r="B330" t="str">
            <v>C</v>
          </cell>
          <cell r="C330" t="str">
            <v>BLADE ASSY, WINDSHIELD W./PREMIUM/530MM/21IN</v>
          </cell>
          <cell r="D330">
            <v>15.57</v>
          </cell>
          <cell r="E330">
            <v>25.95</v>
          </cell>
          <cell r="F330">
            <v>4</v>
          </cell>
          <cell r="G330">
            <v>80</v>
          </cell>
        </row>
        <row r="331">
          <cell r="A331" t="str">
            <v>MMCAP220022</v>
          </cell>
          <cell r="B331" t="str">
            <v>D</v>
          </cell>
          <cell r="C331" t="str">
            <v>BLADE ASSY, WINDSHIELD W./PREMIUM/550MM/22IN</v>
          </cell>
          <cell r="D331">
            <v>15.57</v>
          </cell>
          <cell r="E331">
            <v>25.95</v>
          </cell>
          <cell r="F331">
            <v>40</v>
          </cell>
          <cell r="G331">
            <v>0</v>
          </cell>
        </row>
        <row r="332">
          <cell r="A332" t="str">
            <v>MMCAP240024</v>
          </cell>
          <cell r="B332" t="str">
            <v>C</v>
          </cell>
          <cell r="C332" t="str">
            <v>BLADE ASSY, WINDSHIELD W./PREMIUM/600MM/24IN</v>
          </cell>
          <cell r="D332">
            <v>15.57</v>
          </cell>
          <cell r="E332">
            <v>25.95</v>
          </cell>
          <cell r="F332">
            <v>106</v>
          </cell>
          <cell r="G332">
            <v>80</v>
          </cell>
        </row>
        <row r="333">
          <cell r="A333" t="str">
            <v>MMCAP260026</v>
          </cell>
          <cell r="B333" t="str">
            <v>C</v>
          </cell>
          <cell r="C333" t="str">
            <v>BLADE ASSY, WINDSHIELD W./PREMIUM/650MM/26IN</v>
          </cell>
          <cell r="D333">
            <v>15.57</v>
          </cell>
          <cell r="E333">
            <v>25.95</v>
          </cell>
          <cell r="F333">
            <v>144</v>
          </cell>
          <cell r="G333">
            <v>60</v>
          </cell>
        </row>
        <row r="334">
          <cell r="A334" t="str">
            <v>MMCAPH001</v>
          </cell>
          <cell r="B334" t="str">
            <v>S</v>
          </cell>
          <cell r="C334" t="str">
            <v>PURSE AND BAG HOLDER</v>
          </cell>
          <cell r="D334">
            <v>49</v>
          </cell>
          <cell r="E334">
            <v>69.95</v>
          </cell>
          <cell r="F334">
            <v>20</v>
          </cell>
          <cell r="G334">
            <v>0</v>
          </cell>
        </row>
        <row r="335">
          <cell r="A335" t="str">
            <v>MMCAPORTCOVER</v>
          </cell>
          <cell r="B335" t="str">
            <v>C</v>
          </cell>
          <cell r="C335" t="str">
            <v>PHEV PORT COVER</v>
          </cell>
          <cell r="D335">
            <v>18.8</v>
          </cell>
          <cell r="E335">
            <v>29.95</v>
          </cell>
          <cell r="F335">
            <v>231</v>
          </cell>
          <cell r="G335">
            <v>0</v>
          </cell>
        </row>
        <row r="336">
          <cell r="A336" t="str">
            <v>MMCAPROT001KIT</v>
          </cell>
          <cell r="B336" t="str">
            <v>D</v>
          </cell>
          <cell r="C336" t="str">
            <v>ITEKT MARKETING KIT</v>
          </cell>
          <cell r="D336">
            <v>16.45</v>
          </cell>
          <cell r="E336">
            <v>39.950000000000003</v>
          </cell>
          <cell r="F336">
            <v>76</v>
          </cell>
          <cell r="G336">
            <v>0</v>
          </cell>
        </row>
        <row r="337">
          <cell r="A337" t="str">
            <v>MMCAPROT002DEG</v>
          </cell>
          <cell r="B337" t="str">
            <v>D</v>
          </cell>
          <cell r="C337" t="str">
            <v>ITEKT DEGREASER</v>
          </cell>
          <cell r="D337">
            <v>18.09</v>
          </cell>
          <cell r="E337">
            <v>0</v>
          </cell>
          <cell r="F337">
            <v>100</v>
          </cell>
          <cell r="G337">
            <v>0</v>
          </cell>
        </row>
        <row r="338">
          <cell r="A338" t="str">
            <v>MMCAPROT120BULK</v>
          </cell>
          <cell r="B338" t="str">
            <v>D</v>
          </cell>
          <cell r="C338" t="str">
            <v>ITEKT SPRAY BOTTLE 120M</v>
          </cell>
          <cell r="D338">
            <v>99.95</v>
          </cell>
          <cell r="E338">
            <v>39.950000000000003</v>
          </cell>
          <cell r="F338">
            <v>213</v>
          </cell>
          <cell r="G338">
            <v>0</v>
          </cell>
        </row>
        <row r="339">
          <cell r="A339" t="str">
            <v>MMCAPROT124KITC</v>
          </cell>
          <cell r="B339" t="str">
            <v>L</v>
          </cell>
          <cell r="C339" t="str">
            <v>ITEKT KIT (24 PER BOX+CERIUM)</v>
          </cell>
          <cell r="D339">
            <v>21.58</v>
          </cell>
          <cell r="E339">
            <v>39.950000000000003</v>
          </cell>
          <cell r="F339">
            <v>0</v>
          </cell>
          <cell r="G339">
            <v>0</v>
          </cell>
        </row>
        <row r="340">
          <cell r="A340" t="str">
            <v>MMCAPROT240BULK</v>
          </cell>
          <cell r="B340" t="str">
            <v>L</v>
          </cell>
          <cell r="C340" t="str">
            <v>ITEKT SPRAY BOTTLE 240M</v>
          </cell>
          <cell r="D340">
            <v>221.36</v>
          </cell>
          <cell r="E340">
            <v>39.950000000000003</v>
          </cell>
          <cell r="F340">
            <v>0</v>
          </cell>
          <cell r="G340">
            <v>0</v>
          </cell>
        </row>
        <row r="341">
          <cell r="A341" t="str">
            <v>MMCAPROT24BOX</v>
          </cell>
          <cell r="B341" t="str">
            <v>B</v>
          </cell>
          <cell r="C341" t="str">
            <v>ITEKT 24 PACK 12ML BOTTLES</v>
          </cell>
          <cell r="D341">
            <v>14.77</v>
          </cell>
          <cell r="E341">
            <v>39.950000000000003</v>
          </cell>
          <cell r="F341">
            <v>912</v>
          </cell>
          <cell r="G341">
            <v>0</v>
          </cell>
        </row>
        <row r="342">
          <cell r="A342" t="str">
            <v>MMCAQ2973</v>
          </cell>
          <cell r="B342" t="str">
            <v>O</v>
          </cell>
          <cell r="C342" t="str">
            <v>BADGE - CARBON - NS23</v>
          </cell>
          <cell r="D342">
            <v>8.36</v>
          </cell>
          <cell r="E342">
            <v>13.95</v>
          </cell>
          <cell r="F342">
            <v>960</v>
          </cell>
          <cell r="G342">
            <v>0</v>
          </cell>
        </row>
        <row r="343">
          <cell r="A343" t="str">
            <v>MMCARF1151A</v>
          </cell>
          <cell r="B343" t="str">
            <v>D</v>
          </cell>
          <cell r="C343" t="str">
            <v>RF1151A RF KIT (2X 5-BUTTON 1-</v>
          </cell>
          <cell r="D343">
            <v>72.75</v>
          </cell>
          <cell r="E343">
            <v>99.95</v>
          </cell>
          <cell r="F343">
            <v>12</v>
          </cell>
          <cell r="G343">
            <v>0</v>
          </cell>
        </row>
        <row r="344">
          <cell r="A344" t="str">
            <v>MMCARF2312A</v>
          </cell>
          <cell r="B344" t="str">
            <v>Z</v>
          </cell>
          <cell r="C344" t="str">
            <v>RF2312A RF KIT (2X-1BUTTON LR)</v>
          </cell>
          <cell r="D344">
            <v>125</v>
          </cell>
          <cell r="E344">
            <v>179.95</v>
          </cell>
          <cell r="F344">
            <v>0</v>
          </cell>
          <cell r="G344">
            <v>0</v>
          </cell>
        </row>
        <row r="345">
          <cell r="A345" t="str">
            <v>MMCARF2352AC</v>
          </cell>
          <cell r="B345" t="str">
            <v>U</v>
          </cell>
          <cell r="C345" t="str">
            <v>RF2352AC RF KIT (2X 5-BUTTON 2</v>
          </cell>
          <cell r="D345">
            <v>150</v>
          </cell>
          <cell r="E345">
            <v>214.95</v>
          </cell>
          <cell r="F345">
            <v>0</v>
          </cell>
          <cell r="G345">
            <v>0</v>
          </cell>
        </row>
        <row r="346">
          <cell r="A346" t="str">
            <v>MMCARF4652AE</v>
          </cell>
          <cell r="B346" t="str">
            <v>C</v>
          </cell>
          <cell r="C346" t="str">
            <v>2WAY OLED  REMOTE TRANSMITTER</v>
          </cell>
          <cell r="D346">
            <v>258.75</v>
          </cell>
          <cell r="E346">
            <v>389.95</v>
          </cell>
          <cell r="F346">
            <v>39</v>
          </cell>
          <cell r="G346">
            <v>0</v>
          </cell>
        </row>
        <row r="347">
          <cell r="A347" t="str">
            <v>MMCARFK2002</v>
          </cell>
          <cell r="B347" t="str">
            <v>A</v>
          </cell>
          <cell r="C347" t="str">
            <v>RFK2000 RF KIT (2X5-BUTTON 2BL</v>
          </cell>
          <cell r="D347">
            <v>150</v>
          </cell>
          <cell r="E347">
            <v>214.95</v>
          </cell>
          <cell r="F347">
            <v>44</v>
          </cell>
          <cell r="G347">
            <v>0</v>
          </cell>
        </row>
        <row r="348">
          <cell r="A348" t="str">
            <v>MMCARFK5000</v>
          </cell>
          <cell r="B348" t="str">
            <v>U</v>
          </cell>
          <cell r="C348" t="str">
            <v>SMART CONTROL WITH LORA BLE</v>
          </cell>
          <cell r="D348">
            <v>150</v>
          </cell>
          <cell r="E348">
            <v>214.95</v>
          </cell>
          <cell r="F348">
            <v>3</v>
          </cell>
          <cell r="G348">
            <v>0</v>
          </cell>
        </row>
        <row r="349">
          <cell r="A349" t="str">
            <v>MMCARFK6000</v>
          </cell>
          <cell r="B349" t="str">
            <v>B</v>
          </cell>
          <cell r="C349" t="str">
            <v>EXT RANGE LORA BLE SYSTEM CC R</v>
          </cell>
          <cell r="D349">
            <v>150</v>
          </cell>
          <cell r="E349">
            <v>214.95</v>
          </cell>
          <cell r="F349">
            <v>48</v>
          </cell>
          <cell r="G349">
            <v>0</v>
          </cell>
        </row>
        <row r="350">
          <cell r="A350" t="str">
            <v>MMCARTX3200</v>
          </cell>
          <cell r="B350" t="str">
            <v>D</v>
          </cell>
          <cell r="C350" t="str">
            <v>BLE/LORA TRANSMITTER FOB</v>
          </cell>
          <cell r="D350">
            <v>60</v>
          </cell>
          <cell r="E350">
            <v>79.95</v>
          </cell>
          <cell r="F350">
            <v>7</v>
          </cell>
          <cell r="G350">
            <v>0</v>
          </cell>
        </row>
        <row r="351">
          <cell r="A351" t="str">
            <v>MMCASAWC22</v>
          </cell>
          <cell r="B351" t="str">
            <v>O</v>
          </cell>
          <cell r="C351" t="str">
            <v>BADGE- S-AWC - NS22</v>
          </cell>
          <cell r="D351">
            <v>10.77</v>
          </cell>
          <cell r="E351">
            <v>17.95</v>
          </cell>
          <cell r="F351">
            <v>12345</v>
          </cell>
          <cell r="G351">
            <v>7000</v>
          </cell>
        </row>
        <row r="352">
          <cell r="A352" t="str">
            <v>MMCASCUSBCAB01</v>
          </cell>
          <cell r="B352" t="str">
            <v>S</v>
          </cell>
          <cell r="C352" t="str">
            <v>USB CHARGING CABLE</v>
          </cell>
          <cell r="D352">
            <v>5</v>
          </cell>
          <cell r="E352">
            <v>7.95</v>
          </cell>
          <cell r="F352">
            <v>0</v>
          </cell>
          <cell r="G352">
            <v>0</v>
          </cell>
        </row>
        <row r="353">
          <cell r="A353" t="str">
            <v>MMCASPA03A</v>
          </cell>
          <cell r="B353" t="str">
            <v>S</v>
          </cell>
          <cell r="C353" t="str">
            <v>MIRAGE SPORT BADGE</v>
          </cell>
          <cell r="D353">
            <v>8.82</v>
          </cell>
          <cell r="E353">
            <v>14.95</v>
          </cell>
          <cell r="F353">
            <v>4</v>
          </cell>
          <cell r="G353">
            <v>0</v>
          </cell>
        </row>
        <row r="354">
          <cell r="A354" t="str">
            <v>MMCATB001</v>
          </cell>
          <cell r="B354" t="str">
            <v>O</v>
          </cell>
          <cell r="C354" t="str">
            <v>YOKOHAMA MITSU TIREBAGS 250/RO</v>
          </cell>
          <cell r="D354">
            <v>119.99</v>
          </cell>
          <cell r="E354">
            <v>0</v>
          </cell>
          <cell r="F354">
            <v>0</v>
          </cell>
          <cell r="G354">
            <v>0</v>
          </cell>
        </row>
        <row r="355">
          <cell r="A355" t="str">
            <v>MMCATB001F</v>
          </cell>
          <cell r="B355" t="str">
            <v>Q</v>
          </cell>
          <cell r="C355" t="str">
            <v>YOKOHAMA / MITSUBISHI TIRE BAG</v>
          </cell>
          <cell r="D355">
            <v>85.95</v>
          </cell>
          <cell r="E355">
            <v>0.01</v>
          </cell>
          <cell r="F355">
            <v>0</v>
          </cell>
          <cell r="G355">
            <v>0</v>
          </cell>
        </row>
        <row r="356">
          <cell r="A356" t="str">
            <v>MMCATEGF4W</v>
          </cell>
          <cell r="B356" t="str">
            <v>D</v>
          </cell>
          <cell r="C356" t="str">
            <v>16MY OL ES AWC TOURING BADGE</v>
          </cell>
          <cell r="D356">
            <v>15.11</v>
          </cell>
          <cell r="E356">
            <v>25.95</v>
          </cell>
          <cell r="F356">
            <v>73</v>
          </cell>
          <cell r="G356">
            <v>0</v>
          </cell>
        </row>
        <row r="357">
          <cell r="A357" t="str">
            <v>MMCATR2310AC</v>
          </cell>
          <cell r="B357" t="str">
            <v>D</v>
          </cell>
          <cell r="C357" t="str">
            <v>FOB REPLACEMENT RF2312A</v>
          </cell>
          <cell r="D357">
            <v>60</v>
          </cell>
          <cell r="E357">
            <v>84.95</v>
          </cell>
          <cell r="F357">
            <v>8</v>
          </cell>
          <cell r="G357">
            <v>0</v>
          </cell>
        </row>
        <row r="358">
          <cell r="A358" t="str">
            <v>MMCATXBLCC</v>
          </cell>
          <cell r="B358" t="str">
            <v>D</v>
          </cell>
          <cell r="C358" t="str">
            <v>BLE LORA CC STYLE TRANSMITTER</v>
          </cell>
          <cell r="D358">
            <v>88.5</v>
          </cell>
          <cell r="E358">
            <v>124.95</v>
          </cell>
          <cell r="F358">
            <v>1</v>
          </cell>
          <cell r="G358">
            <v>0</v>
          </cell>
        </row>
        <row r="359">
          <cell r="A359" t="str">
            <v>MMCAVS4LU3</v>
          </cell>
          <cell r="B359" t="str">
            <v>L</v>
          </cell>
          <cell r="C359" t="str">
            <v>MY CAR TELEMATICS HARDWARE W 3</v>
          </cell>
          <cell r="D359">
            <v>230</v>
          </cell>
          <cell r="E359">
            <v>329.95</v>
          </cell>
          <cell r="F359">
            <v>4</v>
          </cell>
          <cell r="G359">
            <v>0</v>
          </cell>
        </row>
        <row r="360">
          <cell r="A360" t="str">
            <v>MMCAW160016</v>
          </cell>
          <cell r="B360" t="str">
            <v>B</v>
          </cell>
          <cell r="C360" t="str">
            <v>400-MM  -  WINTER WIPER BLADE</v>
          </cell>
          <cell r="D360">
            <v>21.82</v>
          </cell>
          <cell r="E360">
            <v>35.950000000000003</v>
          </cell>
          <cell r="F360">
            <v>76</v>
          </cell>
          <cell r="G360">
            <v>0</v>
          </cell>
        </row>
        <row r="361">
          <cell r="A361" t="str">
            <v>MMCAW180018</v>
          </cell>
          <cell r="B361" t="str">
            <v>B</v>
          </cell>
          <cell r="C361" t="str">
            <v>450-MM  -  WINTER WIPER BLADE</v>
          </cell>
          <cell r="D361">
            <v>24.11</v>
          </cell>
          <cell r="E361">
            <v>38.950000000000003</v>
          </cell>
          <cell r="F361">
            <v>53</v>
          </cell>
          <cell r="G361">
            <v>0</v>
          </cell>
        </row>
        <row r="362">
          <cell r="A362" t="str">
            <v>MMCAW200020</v>
          </cell>
          <cell r="B362" t="str">
            <v>C</v>
          </cell>
          <cell r="C362" t="str">
            <v>500-MM  -  WINTER WIPER BLADE</v>
          </cell>
          <cell r="D362">
            <v>26.42</v>
          </cell>
          <cell r="E362">
            <v>42.95</v>
          </cell>
          <cell r="F362">
            <v>84</v>
          </cell>
          <cell r="G362">
            <v>0</v>
          </cell>
        </row>
        <row r="363">
          <cell r="A363" t="str">
            <v>MMCAW210021</v>
          </cell>
          <cell r="B363" t="str">
            <v>B</v>
          </cell>
          <cell r="C363" t="str">
            <v>525-MM  -  WINTER WIPER BLADE</v>
          </cell>
          <cell r="D363">
            <v>27.56</v>
          </cell>
          <cell r="E363">
            <v>44.95</v>
          </cell>
          <cell r="F363">
            <v>84</v>
          </cell>
          <cell r="G363">
            <v>0</v>
          </cell>
        </row>
        <row r="364">
          <cell r="A364" t="str">
            <v>MMCAW220022</v>
          </cell>
          <cell r="B364" t="str">
            <v>C</v>
          </cell>
          <cell r="C364" t="str">
            <v>550-MM  -  WINTER WIPER BLADE</v>
          </cell>
          <cell r="D364">
            <v>28.71</v>
          </cell>
          <cell r="E364">
            <v>46.95</v>
          </cell>
          <cell r="F364">
            <v>85</v>
          </cell>
          <cell r="G364">
            <v>0</v>
          </cell>
        </row>
        <row r="365">
          <cell r="A365" t="str">
            <v>MMCAW240024</v>
          </cell>
          <cell r="B365" t="str">
            <v>B</v>
          </cell>
          <cell r="C365" t="str">
            <v>600-MM  -  WINTER WIPER BLADE</v>
          </cell>
          <cell r="D365">
            <v>31.02</v>
          </cell>
          <cell r="E365">
            <v>50.95</v>
          </cell>
          <cell r="F365">
            <v>33</v>
          </cell>
          <cell r="G365">
            <v>0</v>
          </cell>
        </row>
        <row r="366">
          <cell r="A366" t="str">
            <v>MMCAW260026</v>
          </cell>
          <cell r="B366" t="str">
            <v>B</v>
          </cell>
          <cell r="C366" t="str">
            <v>650-MM  -  WINTER WIPER BLADE</v>
          </cell>
          <cell r="D366">
            <v>32.15</v>
          </cell>
          <cell r="E366">
            <v>51.95</v>
          </cell>
          <cell r="F366">
            <v>69</v>
          </cell>
          <cell r="G366">
            <v>0</v>
          </cell>
        </row>
        <row r="367">
          <cell r="A367" t="str">
            <v>MMCAXD250DISPE</v>
          </cell>
          <cell r="B367" t="str">
            <v>N</v>
          </cell>
          <cell r="C367" t="str">
            <v>THINKWARE DISPLAY ENGLISH</v>
          </cell>
          <cell r="D367">
            <v>35</v>
          </cell>
          <cell r="E367">
            <v>0.01</v>
          </cell>
          <cell r="F367">
            <v>16</v>
          </cell>
          <cell r="G367">
            <v>0</v>
          </cell>
        </row>
        <row r="368">
          <cell r="A368" t="str">
            <v>MMCAXD250DISPF</v>
          </cell>
          <cell r="B368" t="str">
            <v>N</v>
          </cell>
          <cell r="C368" t="str">
            <v>AFFICHAGE CAMERA DE TABLEAU</v>
          </cell>
          <cell r="D368">
            <v>35</v>
          </cell>
          <cell r="E368">
            <v>0.01</v>
          </cell>
          <cell r="F368">
            <v>25</v>
          </cell>
          <cell r="G368">
            <v>0</v>
          </cell>
        </row>
        <row r="369">
          <cell r="A369" t="str">
            <v>MMCAXD250-OBD</v>
          </cell>
          <cell r="B369" t="str">
            <v>D</v>
          </cell>
          <cell r="C369" t="str">
            <v>THINKWARE 2K DASHCAM</v>
          </cell>
          <cell r="D369">
            <v>489.99</v>
          </cell>
          <cell r="E369">
            <v>699.95</v>
          </cell>
          <cell r="F369">
            <v>29</v>
          </cell>
          <cell r="G369">
            <v>0</v>
          </cell>
        </row>
        <row r="370">
          <cell r="A370" t="str">
            <v>MMCAXD350-OBD</v>
          </cell>
          <cell r="B370" t="str">
            <v>N</v>
          </cell>
          <cell r="C370" t="str">
            <v>DASH CAM 4K</v>
          </cell>
          <cell r="D370">
            <v>529.99</v>
          </cell>
          <cell r="E370">
            <v>759.95</v>
          </cell>
          <cell r="F370">
            <v>0</v>
          </cell>
          <cell r="G370">
            <v>0</v>
          </cell>
        </row>
        <row r="371">
          <cell r="A371" t="str">
            <v>MMCAXTX3000</v>
          </cell>
          <cell r="B371" t="str">
            <v>D</v>
          </cell>
          <cell r="C371" t="str">
            <v>2-WAY BLE LORA TRANSCEIVER-NCA</v>
          </cell>
          <cell r="D371">
            <v>60</v>
          </cell>
          <cell r="E371">
            <v>84.95</v>
          </cell>
          <cell r="F371">
            <v>15</v>
          </cell>
          <cell r="G371">
            <v>0</v>
          </cell>
        </row>
        <row r="372">
          <cell r="A372" t="str">
            <v>MMCDCDISPEN</v>
          </cell>
          <cell r="B372" t="str">
            <v>S</v>
          </cell>
          <cell r="C372" t="str">
            <v>DASHCAM DISPLAY ENGLISH</v>
          </cell>
          <cell r="D372">
            <v>0.01</v>
          </cell>
          <cell r="E372">
            <v>0</v>
          </cell>
          <cell r="F372">
            <v>0</v>
          </cell>
          <cell r="G372">
            <v>0</v>
          </cell>
        </row>
        <row r="373">
          <cell r="A373" t="str">
            <v>MMCDCDISPFR</v>
          </cell>
          <cell r="B373" t="str">
            <v>S</v>
          </cell>
          <cell r="C373" t="str">
            <v>DASHCAM DISPLAY FRENCH</v>
          </cell>
          <cell r="D373">
            <v>0.01</v>
          </cell>
          <cell r="E373">
            <v>0</v>
          </cell>
          <cell r="F373">
            <v>0</v>
          </cell>
          <cell r="G373">
            <v>0</v>
          </cell>
        </row>
        <row r="374">
          <cell r="A374" t="str">
            <v>MME50154</v>
          </cell>
          <cell r="B374" t="str">
            <v>Z</v>
          </cell>
          <cell r="C374" t="str">
            <v>RALLIART SWEAT SHIRT 2009 BLACK M</v>
          </cell>
          <cell r="D374">
            <v>66.5</v>
          </cell>
          <cell r="E374">
            <v>84.95</v>
          </cell>
          <cell r="F374">
            <v>0</v>
          </cell>
          <cell r="G374">
            <v>0</v>
          </cell>
        </row>
        <row r="375">
          <cell r="A375" t="str">
            <v>MME50155</v>
          </cell>
          <cell r="B375" t="str">
            <v>Z</v>
          </cell>
          <cell r="C375" t="str">
            <v>RALLIART SWEAT SHIRT 2009 BLACK L</v>
          </cell>
          <cell r="D375">
            <v>66.5</v>
          </cell>
          <cell r="E375">
            <v>84.95</v>
          </cell>
          <cell r="F375">
            <v>0</v>
          </cell>
          <cell r="G375">
            <v>0</v>
          </cell>
        </row>
        <row r="376">
          <cell r="A376" t="str">
            <v>MME50156</v>
          </cell>
          <cell r="B376" t="str">
            <v>Z</v>
          </cell>
          <cell r="C376" t="str">
            <v>RALLIART SWEAT SHIRT 2009 BLACK XL</v>
          </cell>
          <cell r="D376">
            <v>66.5</v>
          </cell>
          <cell r="E376">
            <v>84.95</v>
          </cell>
          <cell r="F376">
            <v>0</v>
          </cell>
          <cell r="G376">
            <v>0</v>
          </cell>
        </row>
        <row r="377">
          <cell r="A377" t="str">
            <v>MME50157</v>
          </cell>
          <cell r="B377" t="str">
            <v>Z</v>
          </cell>
          <cell r="C377" t="str">
            <v>RALLIART SWEAT SHIRT 2009 BLACK XXL</v>
          </cell>
          <cell r="D377">
            <v>66.5</v>
          </cell>
          <cell r="E377">
            <v>84.95</v>
          </cell>
          <cell r="F377">
            <v>0</v>
          </cell>
          <cell r="G377">
            <v>0</v>
          </cell>
        </row>
        <row r="378">
          <cell r="A378" t="str">
            <v>MME50162</v>
          </cell>
          <cell r="B378" t="str">
            <v>Z</v>
          </cell>
          <cell r="C378" t="str">
            <v>RALLIART T-SHIRT SHORT SLEEVES M</v>
          </cell>
          <cell r="D378">
            <v>24.5</v>
          </cell>
          <cell r="E378">
            <v>40.950000000000003</v>
          </cell>
          <cell r="F378">
            <v>0</v>
          </cell>
          <cell r="G378">
            <v>0</v>
          </cell>
        </row>
        <row r="379">
          <cell r="A379" t="str">
            <v>MME50163</v>
          </cell>
          <cell r="B379" t="str">
            <v>Z</v>
          </cell>
          <cell r="C379" t="str">
            <v>RALLIART T-SHIRT SHORT SLEEVES L</v>
          </cell>
          <cell r="D379">
            <v>24.5</v>
          </cell>
          <cell r="E379">
            <v>40.950000000000003</v>
          </cell>
          <cell r="F379">
            <v>0</v>
          </cell>
          <cell r="G379">
            <v>0</v>
          </cell>
        </row>
        <row r="380">
          <cell r="A380" t="str">
            <v>MME50164</v>
          </cell>
          <cell r="B380" t="str">
            <v>Z</v>
          </cell>
          <cell r="C380" t="str">
            <v>RALLIART T-SHIRT SHORT SLEEVES XL</v>
          </cell>
          <cell r="D380">
            <v>24.5</v>
          </cell>
          <cell r="E380">
            <v>40.950000000000003</v>
          </cell>
          <cell r="F380">
            <v>0</v>
          </cell>
          <cell r="G380">
            <v>0</v>
          </cell>
        </row>
        <row r="381">
          <cell r="A381" t="str">
            <v>MME50165</v>
          </cell>
          <cell r="B381" t="str">
            <v>Z</v>
          </cell>
          <cell r="C381" t="str">
            <v>RALLIART T-SHIRT SHORT SLEEVES XXL</v>
          </cell>
          <cell r="D381">
            <v>24.5</v>
          </cell>
          <cell r="E381">
            <v>40.950000000000003</v>
          </cell>
          <cell r="F381">
            <v>0</v>
          </cell>
          <cell r="G381">
            <v>0</v>
          </cell>
        </row>
        <row r="382">
          <cell r="A382" t="str">
            <v>MME50180</v>
          </cell>
          <cell r="B382" t="str">
            <v>Z</v>
          </cell>
          <cell r="C382" t="str">
            <v>RALLIART PIT-SHIRT SHORT SLEEVES M</v>
          </cell>
          <cell r="D382">
            <v>60.9</v>
          </cell>
          <cell r="E382">
            <v>87.95</v>
          </cell>
          <cell r="F382">
            <v>0</v>
          </cell>
          <cell r="G382">
            <v>0</v>
          </cell>
        </row>
        <row r="383">
          <cell r="A383" t="str">
            <v>MME50181</v>
          </cell>
          <cell r="B383" t="str">
            <v>Z</v>
          </cell>
          <cell r="C383" t="str">
            <v>RALLIART PIT-SHIRT SHORT SLEEVES L</v>
          </cell>
          <cell r="D383">
            <v>60.9</v>
          </cell>
          <cell r="E383">
            <v>87.95</v>
          </cell>
          <cell r="F383">
            <v>0</v>
          </cell>
          <cell r="G383">
            <v>0</v>
          </cell>
        </row>
        <row r="384">
          <cell r="A384" t="str">
            <v>MME50182</v>
          </cell>
          <cell r="B384" t="str">
            <v>Z</v>
          </cell>
          <cell r="C384" t="str">
            <v>RALLIART PIT-SHIRT SHORT SLEEVES XL</v>
          </cell>
          <cell r="D384">
            <v>60.9</v>
          </cell>
          <cell r="E384">
            <v>87.95</v>
          </cell>
          <cell r="F384">
            <v>0</v>
          </cell>
          <cell r="G384">
            <v>0</v>
          </cell>
        </row>
        <row r="385">
          <cell r="A385" t="str">
            <v>MME50183</v>
          </cell>
          <cell r="B385" t="str">
            <v>Z</v>
          </cell>
          <cell r="C385" t="str">
            <v>RALLIART PIT-SHIRT SHORT SLEEVES XXL</v>
          </cell>
          <cell r="D385">
            <v>60.9</v>
          </cell>
          <cell r="E385">
            <v>87.95</v>
          </cell>
          <cell r="F385">
            <v>0</v>
          </cell>
          <cell r="G385">
            <v>0</v>
          </cell>
        </row>
        <row r="386">
          <cell r="A386" t="str">
            <v>MME50410</v>
          </cell>
          <cell r="B386" t="str">
            <v>Z</v>
          </cell>
          <cell r="C386" t="str">
            <v>BLACK BASEBALL CAP RALLIART</v>
          </cell>
          <cell r="D386">
            <v>17.5</v>
          </cell>
          <cell r="E386">
            <v>27.95</v>
          </cell>
          <cell r="F386">
            <v>0</v>
          </cell>
          <cell r="G386">
            <v>0</v>
          </cell>
        </row>
        <row r="387">
          <cell r="A387" t="str">
            <v>MME50412</v>
          </cell>
          <cell r="B387" t="str">
            <v>Z</v>
          </cell>
          <cell r="C387" t="str">
            <v>RALLIART BASEBALL CAP RED COMPETITION</v>
          </cell>
          <cell r="D387">
            <v>17.5</v>
          </cell>
          <cell r="E387">
            <v>27.95</v>
          </cell>
          <cell r="F387">
            <v>0</v>
          </cell>
          <cell r="G387">
            <v>0</v>
          </cell>
        </row>
        <row r="388">
          <cell r="A388" t="str">
            <v>MME50515</v>
          </cell>
          <cell r="B388" t="str">
            <v>Z</v>
          </cell>
          <cell r="C388" t="str">
            <v>RALLIART LANYARD- SET 20 PIECES</v>
          </cell>
          <cell r="D388">
            <v>2.83</v>
          </cell>
          <cell r="E388">
            <v>6.95</v>
          </cell>
          <cell r="F388">
            <v>0</v>
          </cell>
          <cell r="G388">
            <v>0</v>
          </cell>
        </row>
        <row r="389">
          <cell r="A389" t="str">
            <v>MN107671XA</v>
          </cell>
          <cell r="B389" t="str">
            <v>U</v>
          </cell>
          <cell r="C389" t="str">
            <v>KNOB- SHIFT</v>
          </cell>
          <cell r="D389">
            <v>109.14</v>
          </cell>
          <cell r="E389">
            <v>181.89</v>
          </cell>
          <cell r="F389">
            <v>0</v>
          </cell>
          <cell r="G389">
            <v>0</v>
          </cell>
        </row>
        <row r="390">
          <cell r="A390" t="str">
            <v>MN121067HA</v>
          </cell>
          <cell r="B390" t="str">
            <v>Z</v>
          </cell>
          <cell r="C390" t="str">
            <v>TRIM-RR SHELF</v>
          </cell>
          <cell r="D390">
            <v>91.62</v>
          </cell>
          <cell r="E390">
            <v>140.94999999999999</v>
          </cell>
          <cell r="F390">
            <v>0</v>
          </cell>
          <cell r="G390">
            <v>0</v>
          </cell>
        </row>
        <row r="391">
          <cell r="A391" t="str">
            <v>MN121271</v>
          </cell>
          <cell r="B391" t="str">
            <v>S</v>
          </cell>
          <cell r="C391" t="str">
            <v>CIGAR LIGHTER</v>
          </cell>
          <cell r="D391">
            <v>40.770000000000003</v>
          </cell>
          <cell r="E391">
            <v>67.95</v>
          </cell>
          <cell r="F391">
            <v>0</v>
          </cell>
          <cell r="G391">
            <v>0</v>
          </cell>
        </row>
        <row r="392">
          <cell r="A392" t="str">
            <v>MN149087</v>
          </cell>
          <cell r="B392" t="str">
            <v>Z</v>
          </cell>
          <cell r="C392" t="str">
            <v>HEAT PROTECTOR- BLOCK HEATER</v>
          </cell>
          <cell r="D392">
            <v>8.9700000000000006</v>
          </cell>
          <cell r="E392">
            <v>14.95</v>
          </cell>
          <cell r="F392">
            <v>0</v>
          </cell>
          <cell r="G392">
            <v>0</v>
          </cell>
        </row>
        <row r="393">
          <cell r="A393" t="str">
            <v>MN159598</v>
          </cell>
          <cell r="B393" t="str">
            <v>D</v>
          </cell>
          <cell r="C393" t="str">
            <v>MARK- LIMITED</v>
          </cell>
          <cell r="D393">
            <v>19.48</v>
          </cell>
          <cell r="E393">
            <v>32.950000000000003</v>
          </cell>
          <cell r="F393">
            <v>3</v>
          </cell>
          <cell r="G393">
            <v>0</v>
          </cell>
        </row>
        <row r="394">
          <cell r="A394" t="str">
            <v>MN177333</v>
          </cell>
          <cell r="B394" t="str">
            <v>S</v>
          </cell>
          <cell r="C394" t="str">
            <v>CIGAR LIGHTER PLUG</v>
          </cell>
          <cell r="D394">
            <v>13.77</v>
          </cell>
          <cell r="E394">
            <v>22.95</v>
          </cell>
          <cell r="F394">
            <v>0</v>
          </cell>
          <cell r="G394">
            <v>0</v>
          </cell>
        </row>
        <row r="395">
          <cell r="A395" t="str">
            <v>MN185227</v>
          </cell>
          <cell r="B395" t="str">
            <v>Z</v>
          </cell>
          <cell r="C395" t="str">
            <v>BOX ASSY-RELAY</v>
          </cell>
          <cell r="D395">
            <v>464.36</v>
          </cell>
          <cell r="E395">
            <v>773.95</v>
          </cell>
          <cell r="F395">
            <v>0</v>
          </cell>
          <cell r="G395">
            <v>0</v>
          </cell>
        </row>
        <row r="396">
          <cell r="A396" t="str">
            <v>MN580005</v>
          </cell>
          <cell r="B396" t="str">
            <v>Z</v>
          </cell>
          <cell r="C396" t="str">
            <v>DIFFERENTIAL KIT- FR LIMITE</v>
          </cell>
          <cell r="D396">
            <v>2425.17</v>
          </cell>
          <cell r="E396">
            <v>4041.95</v>
          </cell>
          <cell r="F396">
            <v>0</v>
          </cell>
          <cell r="G396">
            <v>0</v>
          </cell>
        </row>
        <row r="397">
          <cell r="A397" t="str">
            <v>MR123944</v>
          </cell>
          <cell r="B397" t="str">
            <v>Z</v>
          </cell>
          <cell r="C397" t="str">
            <v>TRANSMITTER- KEYLESS ENTRY</v>
          </cell>
          <cell r="D397">
            <v>100.76</v>
          </cell>
          <cell r="E397">
            <v>167.95</v>
          </cell>
          <cell r="F397">
            <v>0</v>
          </cell>
          <cell r="G397">
            <v>0</v>
          </cell>
        </row>
        <row r="398">
          <cell r="A398" t="str">
            <v>MR207969</v>
          </cell>
          <cell r="B398" t="str">
            <v>Z</v>
          </cell>
          <cell r="C398" t="str">
            <v>TRANSMITTER- KEYLESS ENTRY</v>
          </cell>
          <cell r="D398">
            <v>73.77</v>
          </cell>
          <cell r="E398">
            <v>122.95</v>
          </cell>
          <cell r="F398">
            <v>0</v>
          </cell>
          <cell r="G398">
            <v>0</v>
          </cell>
        </row>
        <row r="399">
          <cell r="A399" t="str">
            <v>MR227151</v>
          </cell>
          <cell r="B399" t="str">
            <v>S</v>
          </cell>
          <cell r="C399" t="str">
            <v>CIGAR LIGHTER- INSTRUMENT PANL</v>
          </cell>
          <cell r="D399">
            <v>30.57</v>
          </cell>
          <cell r="E399">
            <v>50.95</v>
          </cell>
          <cell r="F399">
            <v>0</v>
          </cell>
          <cell r="G399">
            <v>0</v>
          </cell>
        </row>
        <row r="400">
          <cell r="A400" t="str">
            <v>MR238004</v>
          </cell>
          <cell r="B400" t="str">
            <v>F</v>
          </cell>
          <cell r="C400" t="str">
            <v>TRANSMITTER- KEYLESS ENTRY</v>
          </cell>
          <cell r="D400">
            <v>75.569999999999993</v>
          </cell>
          <cell r="E400">
            <v>125.95</v>
          </cell>
          <cell r="F400">
            <v>0</v>
          </cell>
          <cell r="G400">
            <v>0</v>
          </cell>
        </row>
        <row r="401">
          <cell r="A401" t="str">
            <v>MR238179</v>
          </cell>
          <cell r="B401" t="str">
            <v>F</v>
          </cell>
          <cell r="C401" t="str">
            <v>TRANSMITTER- KEYLESS ENTRY</v>
          </cell>
          <cell r="D401">
            <v>73.77</v>
          </cell>
          <cell r="E401">
            <v>122.95</v>
          </cell>
          <cell r="F401">
            <v>0</v>
          </cell>
          <cell r="G401">
            <v>0</v>
          </cell>
        </row>
        <row r="402">
          <cell r="A402" t="str">
            <v>MR270093</v>
          </cell>
          <cell r="B402" t="str">
            <v>S</v>
          </cell>
          <cell r="C402" t="str">
            <v>CIGAR LIGHTER- INSTRUMENT PANL</v>
          </cell>
          <cell r="D402">
            <v>30.57</v>
          </cell>
          <cell r="E402">
            <v>50.95</v>
          </cell>
          <cell r="F402">
            <v>0</v>
          </cell>
          <cell r="G402">
            <v>0</v>
          </cell>
        </row>
        <row r="403">
          <cell r="A403" t="str">
            <v>MR270916</v>
          </cell>
          <cell r="B403" t="str">
            <v>F</v>
          </cell>
          <cell r="C403" t="str">
            <v>SOCKET-ACCESSORY</v>
          </cell>
          <cell r="D403">
            <v>37.17</v>
          </cell>
          <cell r="E403">
            <v>61.95</v>
          </cell>
          <cell r="F403">
            <v>0</v>
          </cell>
          <cell r="G403">
            <v>0</v>
          </cell>
        </row>
        <row r="404">
          <cell r="A404" t="str">
            <v>MR337276</v>
          </cell>
          <cell r="B404" t="str">
            <v>Z</v>
          </cell>
          <cell r="C404" t="str">
            <v>RADIO</v>
          </cell>
          <cell r="D404">
            <v>1820.96</v>
          </cell>
          <cell r="E404">
            <v>3034.95</v>
          </cell>
          <cell r="F404">
            <v>0</v>
          </cell>
          <cell r="G404">
            <v>0</v>
          </cell>
        </row>
        <row r="405">
          <cell r="A405" t="str">
            <v>MR368851</v>
          </cell>
          <cell r="B405" t="str">
            <v>Z</v>
          </cell>
          <cell r="C405" t="str">
            <v>TRANSMITTER- KEYLESS ENTRY</v>
          </cell>
          <cell r="D405">
            <v>127.17</v>
          </cell>
          <cell r="E405">
            <v>211.95</v>
          </cell>
          <cell r="F405">
            <v>0</v>
          </cell>
          <cell r="G405">
            <v>0</v>
          </cell>
        </row>
        <row r="406">
          <cell r="A406" t="str">
            <v>MR456119HC</v>
          </cell>
          <cell r="B406" t="str">
            <v>F</v>
          </cell>
          <cell r="C406" t="str">
            <v>TRIM- REAR SHELF</v>
          </cell>
          <cell r="D406">
            <v>144.57</v>
          </cell>
          <cell r="E406">
            <v>240.95</v>
          </cell>
          <cell r="F406">
            <v>0</v>
          </cell>
          <cell r="G406">
            <v>0</v>
          </cell>
        </row>
        <row r="407">
          <cell r="A407" t="str">
            <v>MR456119YA</v>
          </cell>
          <cell r="B407" t="str">
            <v>F</v>
          </cell>
          <cell r="C407" t="str">
            <v>CARGO COVER- SAND</v>
          </cell>
          <cell r="D407">
            <v>116.37</v>
          </cell>
          <cell r="E407">
            <v>193.95</v>
          </cell>
          <cell r="F407">
            <v>0</v>
          </cell>
          <cell r="G407">
            <v>0</v>
          </cell>
        </row>
        <row r="408">
          <cell r="A408" t="str">
            <v>MR472955</v>
          </cell>
          <cell r="B408" t="str">
            <v>F</v>
          </cell>
          <cell r="C408" t="str">
            <v>RADIO</v>
          </cell>
          <cell r="D408">
            <v>1395.57</v>
          </cell>
          <cell r="E408">
            <v>2325.9499999999998</v>
          </cell>
          <cell r="F408">
            <v>0</v>
          </cell>
          <cell r="G408">
            <v>0</v>
          </cell>
        </row>
        <row r="409">
          <cell r="A409" t="str">
            <v>MR490088</v>
          </cell>
          <cell r="B409" t="str">
            <v>Z</v>
          </cell>
          <cell r="C409" t="str">
            <v>RADIO</v>
          </cell>
          <cell r="D409">
            <v>834.57</v>
          </cell>
          <cell r="E409">
            <v>1390.95</v>
          </cell>
          <cell r="F409">
            <v>0</v>
          </cell>
          <cell r="G409">
            <v>0</v>
          </cell>
        </row>
        <row r="410">
          <cell r="A410" t="str">
            <v>MR490090</v>
          </cell>
          <cell r="B410" t="str">
            <v>Z</v>
          </cell>
          <cell r="C410" t="str">
            <v>RADIO</v>
          </cell>
          <cell r="D410">
            <v>1395.57</v>
          </cell>
          <cell r="E410">
            <v>2325.9499999999998</v>
          </cell>
          <cell r="F410">
            <v>0</v>
          </cell>
          <cell r="G410">
            <v>0</v>
          </cell>
        </row>
        <row r="411">
          <cell r="A411" t="str">
            <v>MR522152</v>
          </cell>
          <cell r="B411" t="str">
            <v>Z</v>
          </cell>
          <cell r="C411" t="str">
            <v>CABLE- DIN</v>
          </cell>
          <cell r="D411">
            <v>50.97</v>
          </cell>
          <cell r="E411">
            <v>84.95</v>
          </cell>
          <cell r="F411">
            <v>0</v>
          </cell>
          <cell r="G411">
            <v>0</v>
          </cell>
        </row>
        <row r="412">
          <cell r="A412" t="str">
            <v>MR557805</v>
          </cell>
          <cell r="B412" t="str">
            <v>U</v>
          </cell>
          <cell r="C412" t="str">
            <v>CROSSBAR-ROOF RACK</v>
          </cell>
          <cell r="D412">
            <v>76.67</v>
          </cell>
          <cell r="E412">
            <v>117.95</v>
          </cell>
          <cell r="F412">
            <v>0</v>
          </cell>
          <cell r="G412">
            <v>0</v>
          </cell>
        </row>
        <row r="413">
          <cell r="A413" t="str">
            <v>MR563520</v>
          </cell>
          <cell r="B413" t="str">
            <v>F</v>
          </cell>
          <cell r="C413" t="str">
            <v>RADIO</v>
          </cell>
          <cell r="D413">
            <v>1102.77</v>
          </cell>
          <cell r="E413">
            <v>1837.95</v>
          </cell>
          <cell r="F413">
            <v>0</v>
          </cell>
          <cell r="G413">
            <v>0</v>
          </cell>
        </row>
        <row r="414">
          <cell r="A414" t="str">
            <v>MR564375XA</v>
          </cell>
          <cell r="B414" t="str">
            <v>F</v>
          </cell>
          <cell r="C414" t="str">
            <v>TRIM- REAR SHELF</v>
          </cell>
          <cell r="D414">
            <v>295.16000000000003</v>
          </cell>
          <cell r="E414">
            <v>491.95</v>
          </cell>
          <cell r="F414">
            <v>0</v>
          </cell>
          <cell r="G414">
            <v>0</v>
          </cell>
        </row>
        <row r="415">
          <cell r="A415" t="str">
            <v>MR564375YA</v>
          </cell>
          <cell r="B415" t="str">
            <v>F</v>
          </cell>
          <cell r="C415" t="str">
            <v>TRIM-RR SHELF</v>
          </cell>
          <cell r="D415">
            <v>125.36</v>
          </cell>
          <cell r="E415">
            <v>208.95</v>
          </cell>
          <cell r="F415">
            <v>0</v>
          </cell>
          <cell r="G415">
            <v>0</v>
          </cell>
        </row>
        <row r="416">
          <cell r="A416" t="str">
            <v>MR571396</v>
          </cell>
          <cell r="B416" t="str">
            <v>B</v>
          </cell>
          <cell r="C416" t="str">
            <v>ELEMENT-AIR CLEANER</v>
          </cell>
          <cell r="D416">
            <v>23.97</v>
          </cell>
          <cell r="E416">
            <v>39.950000000000003</v>
          </cell>
          <cell r="F416">
            <v>41</v>
          </cell>
          <cell r="G416">
            <v>0</v>
          </cell>
        </row>
        <row r="417">
          <cell r="A417" t="str">
            <v>MR573790</v>
          </cell>
          <cell r="B417" t="str">
            <v>F</v>
          </cell>
          <cell r="C417" t="str">
            <v>SWITCH-HOOD BUZZER</v>
          </cell>
          <cell r="D417">
            <v>32.97</v>
          </cell>
          <cell r="E417">
            <v>54.95</v>
          </cell>
          <cell r="F417">
            <v>0</v>
          </cell>
          <cell r="G417">
            <v>0</v>
          </cell>
        </row>
        <row r="418">
          <cell r="A418" t="str">
            <v>MR587248</v>
          </cell>
          <cell r="B418" t="str">
            <v>F</v>
          </cell>
          <cell r="C418" t="str">
            <v>RADIO</v>
          </cell>
          <cell r="D418">
            <v>805.17</v>
          </cell>
          <cell r="E418">
            <v>1341.95</v>
          </cell>
          <cell r="F418">
            <v>0</v>
          </cell>
          <cell r="G418">
            <v>0</v>
          </cell>
        </row>
        <row r="419">
          <cell r="A419" t="str">
            <v>MR587249</v>
          </cell>
          <cell r="B419" t="str">
            <v>F</v>
          </cell>
          <cell r="C419" t="str">
            <v>RADIO</v>
          </cell>
          <cell r="D419">
            <v>805.17</v>
          </cell>
          <cell r="E419">
            <v>1341.95</v>
          </cell>
          <cell r="F419">
            <v>0</v>
          </cell>
          <cell r="G419">
            <v>0</v>
          </cell>
        </row>
        <row r="420">
          <cell r="A420" t="str">
            <v>MR587268</v>
          </cell>
          <cell r="B420" t="str">
            <v>Z</v>
          </cell>
          <cell r="C420" t="str">
            <v>RADIO</v>
          </cell>
          <cell r="D420">
            <v>881.37</v>
          </cell>
          <cell r="E420">
            <v>1468.95</v>
          </cell>
          <cell r="F420">
            <v>0</v>
          </cell>
          <cell r="G420">
            <v>0</v>
          </cell>
        </row>
        <row r="421">
          <cell r="A421" t="str">
            <v>MR587385</v>
          </cell>
          <cell r="B421" t="str">
            <v>F</v>
          </cell>
          <cell r="C421" t="str">
            <v>RADIO</v>
          </cell>
          <cell r="D421">
            <v>844.77</v>
          </cell>
          <cell r="E421">
            <v>1407.95</v>
          </cell>
          <cell r="F421">
            <v>0</v>
          </cell>
          <cell r="G421">
            <v>0</v>
          </cell>
        </row>
        <row r="422">
          <cell r="A422" t="str">
            <v>MR587386</v>
          </cell>
          <cell r="B422" t="str">
            <v>Z</v>
          </cell>
          <cell r="C422" t="str">
            <v>RADIO</v>
          </cell>
          <cell r="D422">
            <v>881.37</v>
          </cell>
          <cell r="E422">
            <v>1468.95</v>
          </cell>
          <cell r="F422">
            <v>0</v>
          </cell>
          <cell r="G422">
            <v>0</v>
          </cell>
        </row>
        <row r="423">
          <cell r="A423" t="str">
            <v>MR587387</v>
          </cell>
          <cell r="B423" t="str">
            <v>Z</v>
          </cell>
          <cell r="C423" t="str">
            <v>RADIO</v>
          </cell>
          <cell r="D423">
            <v>881.37</v>
          </cell>
          <cell r="E423">
            <v>1468.95</v>
          </cell>
          <cell r="F423">
            <v>0</v>
          </cell>
          <cell r="G423">
            <v>0</v>
          </cell>
        </row>
        <row r="424">
          <cell r="A424" t="str">
            <v>MR587858</v>
          </cell>
          <cell r="B424" t="str">
            <v>S</v>
          </cell>
          <cell r="C424" t="str">
            <v>TRANSMITTER- KEYLESS ENTRY</v>
          </cell>
          <cell r="D424">
            <v>106.77</v>
          </cell>
          <cell r="E424">
            <v>177.95</v>
          </cell>
          <cell r="F424">
            <v>0</v>
          </cell>
          <cell r="G424">
            <v>0</v>
          </cell>
        </row>
        <row r="425">
          <cell r="A425" t="str">
            <v>MR587859</v>
          </cell>
          <cell r="B425" t="str">
            <v>S</v>
          </cell>
          <cell r="C425" t="str">
            <v>TRANSMITTER- KEYLESS ENTRY</v>
          </cell>
          <cell r="D425">
            <v>104.97</v>
          </cell>
          <cell r="E425">
            <v>174.95</v>
          </cell>
          <cell r="F425">
            <v>0</v>
          </cell>
          <cell r="G425">
            <v>0</v>
          </cell>
        </row>
        <row r="426">
          <cell r="A426" t="str">
            <v>MR630559</v>
          </cell>
          <cell r="B426" t="str">
            <v>F</v>
          </cell>
          <cell r="C426" t="str">
            <v>AIR SPOILER-RR</v>
          </cell>
          <cell r="D426">
            <v>0.01</v>
          </cell>
          <cell r="E426">
            <v>0.02</v>
          </cell>
          <cell r="F426">
            <v>0</v>
          </cell>
          <cell r="G426">
            <v>0</v>
          </cell>
        </row>
        <row r="427">
          <cell r="A427" t="str">
            <v>MR630603</v>
          </cell>
          <cell r="B427" t="str">
            <v>F</v>
          </cell>
          <cell r="C427" t="str">
            <v>AIR SPOILER-RR</v>
          </cell>
          <cell r="D427">
            <v>0.01</v>
          </cell>
          <cell r="E427">
            <v>0.02</v>
          </cell>
          <cell r="F427">
            <v>0</v>
          </cell>
          <cell r="G427">
            <v>0</v>
          </cell>
        </row>
        <row r="428">
          <cell r="A428" t="str">
            <v>MR651253</v>
          </cell>
          <cell r="B428" t="str">
            <v>F</v>
          </cell>
          <cell r="C428" t="str">
            <v>AIR SPOILER-ROOF</v>
          </cell>
          <cell r="D428">
            <v>631.77</v>
          </cell>
          <cell r="E428">
            <v>1052.95</v>
          </cell>
          <cell r="F428">
            <v>0</v>
          </cell>
          <cell r="G428">
            <v>0</v>
          </cell>
        </row>
        <row r="429">
          <cell r="A429" t="str">
            <v>MR653142</v>
          </cell>
          <cell r="B429" t="str">
            <v>S</v>
          </cell>
          <cell r="C429" t="str">
            <v>CAP- DISC WHEEL- CTR</v>
          </cell>
          <cell r="D429">
            <v>17.97</v>
          </cell>
          <cell r="E429">
            <v>29.95</v>
          </cell>
          <cell r="F429">
            <v>4</v>
          </cell>
          <cell r="G429">
            <v>0</v>
          </cell>
        </row>
        <row r="430">
          <cell r="A430" t="str">
            <v>MR936650</v>
          </cell>
          <cell r="B430" t="str">
            <v>C</v>
          </cell>
          <cell r="C430" t="str">
            <v>HOOD PROTECTOR OUTLANDER &lt;2013</v>
          </cell>
          <cell r="D430">
            <v>117.46</v>
          </cell>
          <cell r="E430">
            <v>180.95</v>
          </cell>
          <cell r="F430">
            <v>1</v>
          </cell>
          <cell r="G430">
            <v>0</v>
          </cell>
        </row>
        <row r="431">
          <cell r="A431" t="str">
            <v>MR936788</v>
          </cell>
          <cell r="B431" t="str">
            <v>D</v>
          </cell>
          <cell r="C431" t="str">
            <v>PROTECTOR- HOOD</v>
          </cell>
          <cell r="D431">
            <v>117.52</v>
          </cell>
          <cell r="E431">
            <v>195.95</v>
          </cell>
          <cell r="F431">
            <v>1</v>
          </cell>
          <cell r="G431">
            <v>0</v>
          </cell>
        </row>
        <row r="432">
          <cell r="A432" t="str">
            <v>MR957773</v>
          </cell>
          <cell r="B432" t="str">
            <v>S</v>
          </cell>
          <cell r="C432" t="str">
            <v>MARK- 'LS'</v>
          </cell>
          <cell r="D432">
            <v>18.14</v>
          </cell>
          <cell r="E432">
            <v>30.95</v>
          </cell>
          <cell r="F432">
            <v>0</v>
          </cell>
          <cell r="G432">
            <v>0</v>
          </cell>
        </row>
        <row r="433">
          <cell r="A433" t="str">
            <v>MR957774</v>
          </cell>
          <cell r="B433" t="str">
            <v>S</v>
          </cell>
          <cell r="C433" t="str">
            <v>MARK- 'GT'</v>
          </cell>
          <cell r="D433">
            <v>18.14</v>
          </cell>
          <cell r="E433">
            <v>30.95</v>
          </cell>
          <cell r="F433">
            <v>0</v>
          </cell>
          <cell r="G433">
            <v>0</v>
          </cell>
        </row>
        <row r="434">
          <cell r="A434" t="str">
            <v>MR968274</v>
          </cell>
          <cell r="B434" t="str">
            <v>A</v>
          </cell>
          <cell r="C434" t="str">
            <v>ELEMENT-AIR CLEANER</v>
          </cell>
          <cell r="D434">
            <v>25.97</v>
          </cell>
          <cell r="E434">
            <v>39.950000000000003</v>
          </cell>
          <cell r="F434">
            <v>1966</v>
          </cell>
          <cell r="G434">
            <v>650</v>
          </cell>
        </row>
        <row r="435">
          <cell r="A435" t="str">
            <v>MS240121</v>
          </cell>
          <cell r="B435" t="str">
            <v>C</v>
          </cell>
          <cell r="C435" t="str">
            <v>BOLT-A/C PIPING</v>
          </cell>
          <cell r="D435">
            <v>2.37</v>
          </cell>
          <cell r="E435">
            <v>3.95</v>
          </cell>
          <cell r="F435">
            <v>38</v>
          </cell>
          <cell r="G435">
            <v>0</v>
          </cell>
        </row>
        <row r="436">
          <cell r="A436" t="str">
            <v>MS450174</v>
          </cell>
          <cell r="B436" t="str">
            <v>E</v>
          </cell>
          <cell r="C436" t="str">
            <v>SCREW- SIDE AIR DAM</v>
          </cell>
          <cell r="D436">
            <v>3.57</v>
          </cell>
          <cell r="E436">
            <v>5.95</v>
          </cell>
          <cell r="F436">
            <v>6</v>
          </cell>
          <cell r="G436">
            <v>0</v>
          </cell>
        </row>
        <row r="437">
          <cell r="A437" t="str">
            <v>MS452348</v>
          </cell>
          <cell r="B437" t="str">
            <v>D</v>
          </cell>
          <cell r="C437" t="str">
            <v>SCREW- SIDE AIR DAM</v>
          </cell>
          <cell r="D437">
            <v>2.97</v>
          </cell>
          <cell r="E437">
            <v>4.95</v>
          </cell>
          <cell r="F437">
            <v>25</v>
          </cell>
          <cell r="G437">
            <v>0</v>
          </cell>
        </row>
        <row r="438">
          <cell r="A438" t="str">
            <v>MZ100728EX</v>
          </cell>
          <cell r="B438" t="str">
            <v>X</v>
          </cell>
          <cell r="C438" t="str">
            <v>FUEL SYSTEM CLEANER</v>
          </cell>
          <cell r="D438">
            <v>16.45</v>
          </cell>
          <cell r="E438">
            <v>27.95</v>
          </cell>
          <cell r="F438">
            <v>0</v>
          </cell>
          <cell r="G438">
            <v>0</v>
          </cell>
        </row>
        <row r="439">
          <cell r="A439" t="str">
            <v>MZ100729EX</v>
          </cell>
          <cell r="B439" t="str">
            <v>X</v>
          </cell>
          <cell r="C439" t="str">
            <v>DIESEL FUEL SYSTEM CLEANER</v>
          </cell>
          <cell r="D439">
            <v>13.43</v>
          </cell>
          <cell r="E439">
            <v>22.95</v>
          </cell>
          <cell r="F439">
            <v>0</v>
          </cell>
          <cell r="G439">
            <v>0</v>
          </cell>
        </row>
        <row r="440">
          <cell r="A440" t="str">
            <v>MZ101617EX</v>
          </cell>
          <cell r="B440" t="str">
            <v>S</v>
          </cell>
          <cell r="C440" t="str">
            <v>SILICONE GREASE 100G</v>
          </cell>
          <cell r="D440">
            <v>39.17</v>
          </cell>
          <cell r="E440">
            <v>55.95</v>
          </cell>
          <cell r="F440">
            <v>0</v>
          </cell>
          <cell r="G440">
            <v>0</v>
          </cell>
        </row>
        <row r="441">
          <cell r="A441" t="str">
            <v>MZ310203</v>
          </cell>
          <cell r="B441" t="str">
            <v>Z</v>
          </cell>
          <cell r="C441" t="str">
            <v>ORDER MZ315263</v>
          </cell>
          <cell r="D441">
            <v>47.8</v>
          </cell>
          <cell r="E441">
            <v>74.95</v>
          </cell>
          <cell r="F441">
            <v>0</v>
          </cell>
          <cell r="G441">
            <v>0</v>
          </cell>
        </row>
        <row r="442">
          <cell r="A442" t="str">
            <v>MZ310384</v>
          </cell>
          <cell r="B442" t="str">
            <v>N</v>
          </cell>
          <cell r="C442" t="str">
            <v>FLOOR MATS, CARPET</v>
          </cell>
          <cell r="D442">
            <v>130.77000000000001</v>
          </cell>
          <cell r="E442">
            <v>217.95</v>
          </cell>
          <cell r="F442">
            <v>0</v>
          </cell>
          <cell r="G442">
            <v>0</v>
          </cell>
        </row>
        <row r="443">
          <cell r="A443" t="str">
            <v>MZ310386</v>
          </cell>
          <cell r="B443" t="str">
            <v>N</v>
          </cell>
          <cell r="C443" t="str">
            <v>FLOOR MAT, ALL-WEATHER</v>
          </cell>
          <cell r="D443">
            <v>106.17</v>
          </cell>
          <cell r="E443">
            <v>176.95</v>
          </cell>
          <cell r="F443">
            <v>0</v>
          </cell>
          <cell r="G443">
            <v>0</v>
          </cell>
        </row>
        <row r="444">
          <cell r="A444" t="str">
            <v>MZ310387</v>
          </cell>
          <cell r="B444" t="str">
            <v>N</v>
          </cell>
          <cell r="C444" t="str">
            <v>ALL WEATHER CARGO PROTECTOR/LINER</v>
          </cell>
          <cell r="D444">
            <v>191.97</v>
          </cell>
          <cell r="E444">
            <v>319.95</v>
          </cell>
          <cell r="F444">
            <v>0</v>
          </cell>
          <cell r="G444">
            <v>0</v>
          </cell>
        </row>
        <row r="445">
          <cell r="A445" t="str">
            <v>MZ312752</v>
          </cell>
          <cell r="B445" t="str">
            <v>Z</v>
          </cell>
          <cell r="C445" t="str">
            <v>GRILLE GUARD- BLACK</v>
          </cell>
          <cell r="D445">
            <v>607.17999999999995</v>
          </cell>
          <cell r="E445">
            <v>1011.95</v>
          </cell>
          <cell r="F445">
            <v>0</v>
          </cell>
          <cell r="G445">
            <v>0</v>
          </cell>
        </row>
        <row r="446">
          <cell r="A446" t="str">
            <v>MZ312753</v>
          </cell>
          <cell r="B446" t="str">
            <v>S</v>
          </cell>
          <cell r="C446" t="str">
            <v>GRILLE GUARD- TITANIUM</v>
          </cell>
          <cell r="D446">
            <v>607.16999999999996</v>
          </cell>
          <cell r="E446">
            <v>1011.95</v>
          </cell>
          <cell r="F446">
            <v>0</v>
          </cell>
          <cell r="G446">
            <v>0</v>
          </cell>
        </row>
        <row r="447">
          <cell r="A447" t="str">
            <v>MZ312775</v>
          </cell>
          <cell r="B447" t="str">
            <v>Z</v>
          </cell>
          <cell r="C447" t="str">
            <v>COVER- LICENSE- TITANIUM COLOR</v>
          </cell>
          <cell r="D447">
            <v>50.38</v>
          </cell>
          <cell r="E447">
            <v>83.95</v>
          </cell>
          <cell r="F447">
            <v>0</v>
          </cell>
          <cell r="G447">
            <v>0</v>
          </cell>
        </row>
        <row r="448">
          <cell r="A448" t="str">
            <v>MZ312846</v>
          </cell>
          <cell r="B448" t="str">
            <v>F</v>
          </cell>
          <cell r="C448" t="str">
            <v>CARGO NET</v>
          </cell>
          <cell r="D448">
            <v>34.18</v>
          </cell>
          <cell r="E448">
            <v>56.95</v>
          </cell>
          <cell r="F448">
            <v>0</v>
          </cell>
          <cell r="G448">
            <v>0</v>
          </cell>
        </row>
        <row r="449">
          <cell r="A449" t="str">
            <v>MZ312847</v>
          </cell>
          <cell r="B449" t="str">
            <v>S</v>
          </cell>
          <cell r="C449" t="str">
            <v>CARGO NET- FLOOR</v>
          </cell>
          <cell r="D449">
            <v>32.97</v>
          </cell>
          <cell r="E449">
            <v>54.95</v>
          </cell>
          <cell r="F449">
            <v>0</v>
          </cell>
          <cell r="G449">
            <v>0</v>
          </cell>
        </row>
        <row r="450">
          <cell r="A450" t="str">
            <v>MZ312848</v>
          </cell>
          <cell r="B450" t="str">
            <v>Z</v>
          </cell>
          <cell r="C450" t="str">
            <v>CARGO ORGANIZER</v>
          </cell>
          <cell r="D450">
            <v>65.97</v>
          </cell>
          <cell r="E450">
            <v>109.95</v>
          </cell>
          <cell r="F450">
            <v>0</v>
          </cell>
          <cell r="G450">
            <v>0</v>
          </cell>
        </row>
        <row r="451">
          <cell r="A451" t="str">
            <v>MZ312849</v>
          </cell>
          <cell r="B451" t="str">
            <v>S</v>
          </cell>
          <cell r="C451" t="str">
            <v>EXHAUST FINISHER</v>
          </cell>
          <cell r="D451">
            <v>24.57</v>
          </cell>
          <cell r="E451">
            <v>40.950000000000003</v>
          </cell>
          <cell r="F451">
            <v>0</v>
          </cell>
          <cell r="G451">
            <v>0</v>
          </cell>
        </row>
        <row r="452">
          <cell r="A452" t="str">
            <v>MZ312850</v>
          </cell>
          <cell r="B452" t="str">
            <v>Z</v>
          </cell>
          <cell r="C452" t="str">
            <v>CARGO LINER- SOFT- SPORTBACK</v>
          </cell>
          <cell r="D452">
            <v>58.17</v>
          </cell>
          <cell r="E452">
            <v>96.95</v>
          </cell>
          <cell r="F452">
            <v>0</v>
          </cell>
          <cell r="G452">
            <v>0</v>
          </cell>
        </row>
        <row r="453">
          <cell r="A453" t="str">
            <v>MZ312851</v>
          </cell>
          <cell r="B453" t="str">
            <v>Z</v>
          </cell>
          <cell r="C453" t="str">
            <v>HEATER- ENGINE BLOCK</v>
          </cell>
          <cell r="D453">
            <v>30.57</v>
          </cell>
          <cell r="E453">
            <v>50.95</v>
          </cell>
          <cell r="F453">
            <v>0</v>
          </cell>
          <cell r="G453">
            <v>0</v>
          </cell>
        </row>
        <row r="454">
          <cell r="A454" t="str">
            <v>MZ312852</v>
          </cell>
          <cell r="B454" t="str">
            <v>Q</v>
          </cell>
          <cell r="C454" t="str">
            <v>ALLOY WHEEL LOCKS  MIRAGE</v>
          </cell>
          <cell r="D454">
            <v>44</v>
          </cell>
          <cell r="E454">
            <v>65.95</v>
          </cell>
          <cell r="F454">
            <v>110</v>
          </cell>
          <cell r="G454">
            <v>0</v>
          </cell>
        </row>
        <row r="455">
          <cell r="A455" t="str">
            <v>MZ312853</v>
          </cell>
          <cell r="B455" t="str">
            <v>A</v>
          </cell>
          <cell r="C455" t="str">
            <v>ALLOY WHEEL LOCKS (4 PCS)</v>
          </cell>
          <cell r="D455">
            <v>53</v>
          </cell>
          <cell r="E455">
            <v>88.95</v>
          </cell>
          <cell r="F455">
            <v>228</v>
          </cell>
          <cell r="G455">
            <v>500</v>
          </cell>
        </row>
        <row r="456">
          <cell r="A456" t="str">
            <v>MZ312860</v>
          </cell>
          <cell r="B456" t="str">
            <v>Z</v>
          </cell>
          <cell r="C456" t="str">
            <v>CARGO MAT</v>
          </cell>
          <cell r="D456">
            <v>77.97</v>
          </cell>
          <cell r="E456">
            <v>129.94999999999999</v>
          </cell>
          <cell r="F456">
            <v>0</v>
          </cell>
          <cell r="G456">
            <v>0</v>
          </cell>
        </row>
        <row r="457">
          <cell r="A457" t="str">
            <v>MZ312861</v>
          </cell>
          <cell r="B457" t="str">
            <v>S</v>
          </cell>
          <cell r="C457" t="str">
            <v>DEFLECTOR- SUNROOF- WIND</v>
          </cell>
          <cell r="D457">
            <v>65.37</v>
          </cell>
          <cell r="E457">
            <v>108.95</v>
          </cell>
          <cell r="F457">
            <v>0</v>
          </cell>
          <cell r="G457">
            <v>0</v>
          </cell>
        </row>
        <row r="458">
          <cell r="A458" t="str">
            <v>MZ312864</v>
          </cell>
          <cell r="B458" t="str">
            <v>Z</v>
          </cell>
          <cell r="C458" t="str">
            <v>CABLES- HYPERGROUND- BLUE</v>
          </cell>
          <cell r="D458">
            <v>130.77000000000001</v>
          </cell>
          <cell r="E458">
            <v>217.95</v>
          </cell>
          <cell r="F458">
            <v>0</v>
          </cell>
          <cell r="G458">
            <v>0</v>
          </cell>
        </row>
        <row r="459">
          <cell r="A459" t="str">
            <v>MZ312865</v>
          </cell>
          <cell r="B459" t="str">
            <v>Z</v>
          </cell>
          <cell r="C459" t="str">
            <v>HEATER- ENGINE BLOCK- 2.4L</v>
          </cell>
          <cell r="D459">
            <v>44.37</v>
          </cell>
          <cell r="E459">
            <v>73.95</v>
          </cell>
          <cell r="F459">
            <v>0</v>
          </cell>
          <cell r="G459">
            <v>0</v>
          </cell>
        </row>
        <row r="460">
          <cell r="A460" t="str">
            <v>MZ312867</v>
          </cell>
          <cell r="B460" t="str">
            <v>S</v>
          </cell>
          <cell r="C460" t="str">
            <v>FLOOR MAT- RALLIART- W/O HD</v>
          </cell>
          <cell r="D460">
            <v>67.77</v>
          </cell>
          <cell r="E460">
            <v>112.95</v>
          </cell>
          <cell r="F460">
            <v>0</v>
          </cell>
          <cell r="G460">
            <v>0</v>
          </cell>
        </row>
        <row r="461">
          <cell r="A461" t="str">
            <v>MZ312875</v>
          </cell>
          <cell r="B461" t="str">
            <v>F</v>
          </cell>
          <cell r="C461" t="str">
            <v>FLOOR MAT- LANCER- BLACK- W/HD</v>
          </cell>
          <cell r="D461">
            <v>58.77</v>
          </cell>
          <cell r="E461">
            <v>97.95</v>
          </cell>
          <cell r="F461">
            <v>0</v>
          </cell>
          <cell r="G461">
            <v>0</v>
          </cell>
        </row>
        <row r="462">
          <cell r="A462" t="str">
            <v>MZ312876</v>
          </cell>
          <cell r="B462" t="str">
            <v>F</v>
          </cell>
          <cell r="C462" t="str">
            <v>FLOOR MAT- LANCER- BLACK- W/O</v>
          </cell>
          <cell r="D462">
            <v>53.97</v>
          </cell>
          <cell r="E462">
            <v>89.95</v>
          </cell>
          <cell r="F462">
            <v>0</v>
          </cell>
          <cell r="G462">
            <v>0</v>
          </cell>
        </row>
        <row r="463">
          <cell r="A463" t="str">
            <v>MZ312877</v>
          </cell>
          <cell r="B463" t="str">
            <v>Z</v>
          </cell>
          <cell r="C463" t="str">
            <v>FLOOR MAT- LANCER- TAN- W/HD</v>
          </cell>
          <cell r="D463">
            <v>53.98</v>
          </cell>
          <cell r="E463">
            <v>89.95</v>
          </cell>
          <cell r="F463">
            <v>0</v>
          </cell>
          <cell r="G463">
            <v>0</v>
          </cell>
        </row>
        <row r="464">
          <cell r="A464" t="str">
            <v>MZ312879</v>
          </cell>
          <cell r="B464" t="str">
            <v>S</v>
          </cell>
          <cell r="C464" t="str">
            <v>FLOOR MAT- LANCER- GRAY W/HD</v>
          </cell>
          <cell r="D464">
            <v>74.38</v>
          </cell>
          <cell r="E464">
            <v>123.95</v>
          </cell>
          <cell r="F464">
            <v>0</v>
          </cell>
          <cell r="G464">
            <v>0</v>
          </cell>
        </row>
        <row r="465">
          <cell r="A465" t="str">
            <v>MZ312880</v>
          </cell>
          <cell r="B465" t="str">
            <v>Z</v>
          </cell>
          <cell r="C465" t="str">
            <v>FLOOR MAT- GRAY- W/O HD-LANCER</v>
          </cell>
          <cell r="D465">
            <v>53.97</v>
          </cell>
          <cell r="E465">
            <v>89.95</v>
          </cell>
          <cell r="F465">
            <v>0</v>
          </cell>
          <cell r="G465">
            <v>0</v>
          </cell>
        </row>
        <row r="466">
          <cell r="A466" t="str">
            <v>MZ312881</v>
          </cell>
          <cell r="B466" t="str">
            <v>Z</v>
          </cell>
          <cell r="C466" t="str">
            <v>FLOOR MAT- OZ- W/HD</v>
          </cell>
          <cell r="D466">
            <v>67.17</v>
          </cell>
          <cell r="E466">
            <v>111.95</v>
          </cell>
          <cell r="F466">
            <v>0</v>
          </cell>
          <cell r="G466">
            <v>0</v>
          </cell>
        </row>
        <row r="467">
          <cell r="A467" t="str">
            <v>MZ312882</v>
          </cell>
          <cell r="B467" t="str">
            <v>Z</v>
          </cell>
          <cell r="C467" t="str">
            <v>FLOOR MAT- OZ- W/O HD</v>
          </cell>
          <cell r="D467">
            <v>64.17</v>
          </cell>
          <cell r="E467">
            <v>106.95</v>
          </cell>
          <cell r="F467">
            <v>0</v>
          </cell>
          <cell r="G467">
            <v>0</v>
          </cell>
        </row>
        <row r="468">
          <cell r="A468" t="str">
            <v>MZ312883</v>
          </cell>
          <cell r="B468" t="str">
            <v>B</v>
          </cell>
          <cell r="C468" t="str">
            <v>PAINT- PEN- COOL SILVER (A31)</v>
          </cell>
          <cell r="D468">
            <v>15.57</v>
          </cell>
          <cell r="E468">
            <v>23.95</v>
          </cell>
          <cell r="F468">
            <v>18</v>
          </cell>
          <cell r="G468">
            <v>0</v>
          </cell>
        </row>
        <row r="469">
          <cell r="A469" t="str">
            <v>MZ312884</v>
          </cell>
          <cell r="B469" t="str">
            <v>S</v>
          </cell>
          <cell r="C469" t="str">
            <v>PAINT- PEN- MYSTIC BLUE (T54)</v>
          </cell>
          <cell r="D469">
            <v>15.57</v>
          </cell>
          <cell r="E469">
            <v>23.95</v>
          </cell>
          <cell r="F469">
            <v>0</v>
          </cell>
          <cell r="G469">
            <v>0</v>
          </cell>
        </row>
        <row r="470">
          <cell r="A470" t="str">
            <v>MZ312885</v>
          </cell>
          <cell r="B470" t="str">
            <v>F</v>
          </cell>
          <cell r="C470" t="str">
            <v>PAINT- PEN- ION BLUE (T35)</v>
          </cell>
          <cell r="D470">
            <v>13.16</v>
          </cell>
          <cell r="E470">
            <v>21.95</v>
          </cell>
          <cell r="F470">
            <v>0</v>
          </cell>
          <cell r="G470">
            <v>0</v>
          </cell>
        </row>
        <row r="471">
          <cell r="A471" t="str">
            <v>MZ312911</v>
          </cell>
          <cell r="B471" t="str">
            <v>Z</v>
          </cell>
          <cell r="C471" t="str">
            <v>DEFLECTOR- HOOD</v>
          </cell>
          <cell r="D471">
            <v>80.37</v>
          </cell>
          <cell r="E471">
            <v>133.94999999999999</v>
          </cell>
          <cell r="F471">
            <v>0</v>
          </cell>
          <cell r="G471">
            <v>0</v>
          </cell>
        </row>
        <row r="472">
          <cell r="A472" t="str">
            <v>MZ312913</v>
          </cell>
          <cell r="B472" t="str">
            <v>S</v>
          </cell>
          <cell r="C472" t="str">
            <v>CARGO NET</v>
          </cell>
          <cell r="D472">
            <v>34.18</v>
          </cell>
          <cell r="E472">
            <v>56.95</v>
          </cell>
          <cell r="F472">
            <v>0</v>
          </cell>
          <cell r="G472">
            <v>0</v>
          </cell>
        </row>
        <row r="473">
          <cell r="A473" t="str">
            <v>MZ312914</v>
          </cell>
          <cell r="B473" t="str">
            <v>S</v>
          </cell>
          <cell r="C473" t="str">
            <v>EXHAUST FINISHER</v>
          </cell>
          <cell r="D473">
            <v>44.97</v>
          </cell>
          <cell r="E473">
            <v>74.95</v>
          </cell>
          <cell r="F473">
            <v>0</v>
          </cell>
          <cell r="G473">
            <v>0</v>
          </cell>
        </row>
        <row r="474">
          <cell r="A474" t="str">
            <v>MZ312915</v>
          </cell>
          <cell r="B474" t="str">
            <v>F</v>
          </cell>
          <cell r="C474" t="str">
            <v>TRUNK APRON</v>
          </cell>
          <cell r="D474">
            <v>25.17</v>
          </cell>
          <cell r="E474">
            <v>41.95</v>
          </cell>
          <cell r="F474">
            <v>0</v>
          </cell>
          <cell r="G474">
            <v>0</v>
          </cell>
        </row>
        <row r="475">
          <cell r="A475" t="str">
            <v>MZ312926</v>
          </cell>
          <cell r="B475" t="str">
            <v>S</v>
          </cell>
          <cell r="C475" t="str">
            <v>CARGO MAT</v>
          </cell>
          <cell r="D475">
            <v>101.96</v>
          </cell>
          <cell r="E475">
            <v>169.95</v>
          </cell>
          <cell r="F475">
            <v>0</v>
          </cell>
          <cell r="G475">
            <v>0</v>
          </cell>
        </row>
        <row r="476">
          <cell r="A476" t="str">
            <v>MZ312928</v>
          </cell>
          <cell r="B476" t="str">
            <v>S</v>
          </cell>
          <cell r="C476" t="str">
            <v>DEFLECTOR- SIDE WINDOW- 4 PCS</v>
          </cell>
          <cell r="D476">
            <v>115.9</v>
          </cell>
          <cell r="E476">
            <v>178.95</v>
          </cell>
          <cell r="F476">
            <v>0</v>
          </cell>
          <cell r="G476">
            <v>0</v>
          </cell>
        </row>
        <row r="477">
          <cell r="A477" t="str">
            <v>MZ312929</v>
          </cell>
          <cell r="B477" t="str">
            <v>S</v>
          </cell>
          <cell r="C477" t="str">
            <v>DEFLECTOR- SUNROOF- WIND</v>
          </cell>
          <cell r="D477">
            <v>86.37</v>
          </cell>
          <cell r="E477">
            <v>143.94999999999999</v>
          </cell>
          <cell r="F477">
            <v>0</v>
          </cell>
          <cell r="G477">
            <v>0</v>
          </cell>
        </row>
        <row r="478">
          <cell r="A478" t="str">
            <v>MZ312932</v>
          </cell>
          <cell r="B478" t="str">
            <v>F</v>
          </cell>
          <cell r="C478" t="str">
            <v>FOGLIGHT KIT</v>
          </cell>
          <cell r="D478">
            <v>148.77000000000001</v>
          </cell>
          <cell r="E478">
            <v>247.95</v>
          </cell>
          <cell r="F478">
            <v>0</v>
          </cell>
          <cell r="G478">
            <v>0</v>
          </cell>
        </row>
        <row r="479">
          <cell r="A479" t="str">
            <v>MZ312933</v>
          </cell>
          <cell r="B479" t="str">
            <v>F</v>
          </cell>
          <cell r="C479" t="str">
            <v>DEFLECTOR- HOOD- SERV KIT</v>
          </cell>
          <cell r="D479">
            <v>14.97</v>
          </cell>
          <cell r="E479">
            <v>24.95</v>
          </cell>
          <cell r="F479">
            <v>0</v>
          </cell>
          <cell r="G479">
            <v>0</v>
          </cell>
        </row>
        <row r="480">
          <cell r="A480" t="str">
            <v>MZ312934</v>
          </cell>
          <cell r="B480" t="str">
            <v>S</v>
          </cell>
          <cell r="C480" t="str">
            <v>PAINT- PEN- SOPRANO SILVER A19</v>
          </cell>
          <cell r="D480">
            <v>15.57</v>
          </cell>
          <cell r="E480">
            <v>23.95</v>
          </cell>
          <cell r="F480">
            <v>1</v>
          </cell>
          <cell r="G480">
            <v>0</v>
          </cell>
        </row>
        <row r="481">
          <cell r="A481" t="str">
            <v>MZ312935</v>
          </cell>
          <cell r="B481" t="str">
            <v>F</v>
          </cell>
          <cell r="C481" t="str">
            <v>PAINT- PEN- W23</v>
          </cell>
          <cell r="D481">
            <v>15.57</v>
          </cell>
          <cell r="E481">
            <v>23.95</v>
          </cell>
          <cell r="F481">
            <v>3</v>
          </cell>
          <cell r="G481">
            <v>0</v>
          </cell>
        </row>
        <row r="482">
          <cell r="A482" t="str">
            <v>MZ312936</v>
          </cell>
          <cell r="B482" t="str">
            <v>D</v>
          </cell>
          <cell r="C482" t="str">
            <v>PAINT- PEN- PLATINUM (S13)</v>
          </cell>
          <cell r="D482">
            <v>15.57</v>
          </cell>
          <cell r="E482">
            <v>23.95</v>
          </cell>
          <cell r="F482">
            <v>10</v>
          </cell>
          <cell r="G482">
            <v>0</v>
          </cell>
        </row>
        <row r="483">
          <cell r="A483" t="str">
            <v>MZ312939</v>
          </cell>
          <cell r="B483" t="str">
            <v>F</v>
          </cell>
          <cell r="C483" t="str">
            <v>PAINT- PEN- STARLIGHT WHITEW17</v>
          </cell>
          <cell r="D483">
            <v>15.57</v>
          </cell>
          <cell r="E483">
            <v>23.95</v>
          </cell>
          <cell r="F483">
            <v>0</v>
          </cell>
          <cell r="G483">
            <v>0</v>
          </cell>
        </row>
        <row r="484">
          <cell r="A484" t="str">
            <v>MZ312953</v>
          </cell>
          <cell r="B484" t="str">
            <v>Z</v>
          </cell>
          <cell r="C484" t="str">
            <v>NOSE MASK- C/F LANCER</v>
          </cell>
          <cell r="D484">
            <v>156.57</v>
          </cell>
          <cell r="E484">
            <v>260.95</v>
          </cell>
          <cell r="F484">
            <v>0</v>
          </cell>
          <cell r="G484">
            <v>0</v>
          </cell>
        </row>
        <row r="485">
          <cell r="A485" t="str">
            <v>MZ312955</v>
          </cell>
          <cell r="B485" t="str">
            <v>Z</v>
          </cell>
          <cell r="C485" t="str">
            <v>NOSE MASK- RALLIART W/OLICENSE</v>
          </cell>
          <cell r="D485">
            <v>125.97</v>
          </cell>
          <cell r="E485">
            <v>209.95</v>
          </cell>
          <cell r="F485">
            <v>0</v>
          </cell>
          <cell r="G485">
            <v>0</v>
          </cell>
        </row>
        <row r="486">
          <cell r="A486" t="str">
            <v>MZ312956</v>
          </cell>
          <cell r="B486" t="str">
            <v>S</v>
          </cell>
          <cell r="C486" t="str">
            <v>NOSE MASK- MINI MASK- LANCER</v>
          </cell>
          <cell r="D486">
            <v>74.95</v>
          </cell>
          <cell r="E486">
            <v>124.95</v>
          </cell>
          <cell r="F486">
            <v>0</v>
          </cell>
          <cell r="G486">
            <v>0</v>
          </cell>
        </row>
        <row r="487">
          <cell r="A487" t="str">
            <v>MZ312977</v>
          </cell>
          <cell r="B487" t="str">
            <v>F</v>
          </cell>
          <cell r="C487" t="str">
            <v>FLOOR MAT- EVOLUTION RS</v>
          </cell>
          <cell r="D487">
            <v>84.56</v>
          </cell>
          <cell r="E487">
            <v>140.94999999999999</v>
          </cell>
          <cell r="F487">
            <v>0</v>
          </cell>
          <cell r="G487">
            <v>0</v>
          </cell>
        </row>
        <row r="488">
          <cell r="A488" t="str">
            <v>MZ312979</v>
          </cell>
          <cell r="B488" t="str">
            <v>S</v>
          </cell>
          <cell r="C488" t="str">
            <v>PAINT- PEN- DUSK GRAY (A18)</v>
          </cell>
          <cell r="D488">
            <v>15.57</v>
          </cell>
          <cell r="E488">
            <v>23.95</v>
          </cell>
          <cell r="F488">
            <v>0</v>
          </cell>
          <cell r="G488">
            <v>0</v>
          </cell>
        </row>
        <row r="489">
          <cell r="A489" t="str">
            <v>MZ312980</v>
          </cell>
          <cell r="B489" t="str">
            <v>F</v>
          </cell>
          <cell r="C489" t="str">
            <v>DEFLECTOR- HOOD- SERV KIT</v>
          </cell>
          <cell r="D489">
            <v>22.77</v>
          </cell>
          <cell r="E489">
            <v>37.950000000000003</v>
          </cell>
          <cell r="F489">
            <v>0</v>
          </cell>
          <cell r="G489">
            <v>0</v>
          </cell>
        </row>
        <row r="490">
          <cell r="A490" t="str">
            <v>MZ312981</v>
          </cell>
          <cell r="B490" t="str">
            <v>S</v>
          </cell>
          <cell r="C490" t="str">
            <v>DEFLECTOR- SUNROOF- SERV KIT</v>
          </cell>
          <cell r="D490">
            <v>22.77</v>
          </cell>
          <cell r="E490">
            <v>37.950000000000003</v>
          </cell>
          <cell r="F490">
            <v>0</v>
          </cell>
          <cell r="G490">
            <v>0</v>
          </cell>
        </row>
        <row r="491">
          <cell r="A491" t="str">
            <v>MZ312982</v>
          </cell>
          <cell r="B491" t="str">
            <v>S</v>
          </cell>
          <cell r="C491" t="str">
            <v>STEP TREAD</v>
          </cell>
          <cell r="D491">
            <v>43.17</v>
          </cell>
          <cell r="E491">
            <v>71.95</v>
          </cell>
          <cell r="F491">
            <v>0</v>
          </cell>
          <cell r="G491">
            <v>0</v>
          </cell>
        </row>
        <row r="492">
          <cell r="A492" t="str">
            <v>MZ313000</v>
          </cell>
          <cell r="B492" t="str">
            <v>S</v>
          </cell>
          <cell r="C492" t="str">
            <v>LICENSE PLATE FRAME-ENDEAVOR</v>
          </cell>
          <cell r="D492">
            <v>41.38</v>
          </cell>
          <cell r="E492">
            <v>68.95</v>
          </cell>
          <cell r="F492">
            <v>0</v>
          </cell>
          <cell r="G492">
            <v>0</v>
          </cell>
        </row>
        <row r="493">
          <cell r="A493" t="str">
            <v>MZ313002</v>
          </cell>
          <cell r="B493" t="str">
            <v>C</v>
          </cell>
          <cell r="C493" t="str">
            <v>PAINT- PEN-KALAPANA BLACK(X13)</v>
          </cell>
          <cell r="D493">
            <v>15.57</v>
          </cell>
          <cell r="E493">
            <v>23.95</v>
          </cell>
          <cell r="F493">
            <v>3</v>
          </cell>
          <cell r="G493">
            <v>0</v>
          </cell>
        </row>
        <row r="494">
          <cell r="A494" t="str">
            <v>MZ313003</v>
          </cell>
          <cell r="B494" t="str">
            <v>F</v>
          </cell>
          <cell r="C494" t="str">
            <v>PAINT- PEN- MACHINE GREEN(G69)</v>
          </cell>
          <cell r="D494">
            <v>15.57</v>
          </cell>
          <cell r="E494">
            <v>23.95</v>
          </cell>
          <cell r="F494">
            <v>0</v>
          </cell>
          <cell r="G494">
            <v>0</v>
          </cell>
        </row>
        <row r="495">
          <cell r="A495" t="str">
            <v>MZ313004</v>
          </cell>
          <cell r="B495" t="str">
            <v>D</v>
          </cell>
          <cell r="C495" t="str">
            <v>PAINT- PEN- MINERAL BROWN(C04)</v>
          </cell>
          <cell r="D495">
            <v>15.57</v>
          </cell>
          <cell r="E495">
            <v>23.95</v>
          </cell>
          <cell r="F495">
            <v>10</v>
          </cell>
          <cell r="G495">
            <v>0</v>
          </cell>
        </row>
        <row r="496">
          <cell r="A496" t="str">
            <v>MZ313007</v>
          </cell>
          <cell r="B496" t="str">
            <v>S</v>
          </cell>
          <cell r="C496" t="str">
            <v>PAINT- PEN-TORCH STL BLU(P)T34</v>
          </cell>
          <cell r="D496">
            <v>15.57</v>
          </cell>
          <cell r="E496">
            <v>23.95</v>
          </cell>
          <cell r="F496">
            <v>0</v>
          </cell>
          <cell r="G496">
            <v>0</v>
          </cell>
        </row>
        <row r="497">
          <cell r="A497" t="str">
            <v>MZ313008</v>
          </cell>
          <cell r="B497" t="str">
            <v>C</v>
          </cell>
          <cell r="C497" t="str">
            <v>PAINT- PEN- ULTRA RED (P06)</v>
          </cell>
          <cell r="D497">
            <v>15.57</v>
          </cell>
          <cell r="E497">
            <v>23.95</v>
          </cell>
          <cell r="F497">
            <v>4</v>
          </cell>
          <cell r="G497">
            <v>0</v>
          </cell>
        </row>
        <row r="498">
          <cell r="A498" t="str">
            <v>MZ313066</v>
          </cell>
          <cell r="B498" t="str">
            <v>Z</v>
          </cell>
          <cell r="C498" t="str">
            <v>FLOOR MAT- ALL WETHR-W/HT-LANC</v>
          </cell>
          <cell r="D498">
            <v>103.17</v>
          </cell>
          <cell r="E498">
            <v>171.95</v>
          </cell>
          <cell r="F498">
            <v>0</v>
          </cell>
          <cell r="G498">
            <v>0</v>
          </cell>
        </row>
        <row r="499">
          <cell r="A499" t="str">
            <v>MZ313067</v>
          </cell>
          <cell r="B499" t="str">
            <v>S</v>
          </cell>
          <cell r="C499" t="str">
            <v>FLOOR MAT- ALL WTHR-W/O HT-LAN</v>
          </cell>
          <cell r="D499">
            <v>101.98</v>
          </cell>
          <cell r="E499">
            <v>169.95</v>
          </cell>
          <cell r="F499">
            <v>0</v>
          </cell>
          <cell r="G499">
            <v>0</v>
          </cell>
        </row>
        <row r="500">
          <cell r="A500" t="str">
            <v>MZ313185</v>
          </cell>
          <cell r="B500" t="str">
            <v>S</v>
          </cell>
          <cell r="C500" t="str">
            <v>FLOOR MAT- ALL WEATHER-W/ HEAT</v>
          </cell>
          <cell r="D500">
            <v>103.17</v>
          </cell>
          <cell r="E500">
            <v>171.95</v>
          </cell>
          <cell r="F500">
            <v>0</v>
          </cell>
          <cell r="G500">
            <v>0</v>
          </cell>
        </row>
        <row r="501">
          <cell r="A501" t="str">
            <v>MZ313191</v>
          </cell>
          <cell r="B501" t="str">
            <v>U</v>
          </cell>
          <cell r="C501" t="str">
            <v>SPOILER- REAR LIP- UNPAINTED</v>
          </cell>
          <cell r="D501">
            <v>293.98</v>
          </cell>
          <cell r="E501">
            <v>489.95</v>
          </cell>
          <cell r="F501">
            <v>0</v>
          </cell>
          <cell r="G501">
            <v>0</v>
          </cell>
        </row>
        <row r="502">
          <cell r="A502" t="str">
            <v>MZ313195</v>
          </cell>
          <cell r="B502" t="str">
            <v>U</v>
          </cell>
          <cell r="C502" t="str">
            <v>SPOILER-RR LIP</v>
          </cell>
          <cell r="D502">
            <v>293.98</v>
          </cell>
          <cell r="E502">
            <v>489.95</v>
          </cell>
          <cell r="F502">
            <v>0</v>
          </cell>
          <cell r="G502">
            <v>0</v>
          </cell>
        </row>
        <row r="503">
          <cell r="A503" t="str">
            <v>MZ313205</v>
          </cell>
          <cell r="B503" t="str">
            <v>N</v>
          </cell>
          <cell r="C503" t="str">
            <v>TOWBAR</v>
          </cell>
          <cell r="D503">
            <v>570.57000000000005</v>
          </cell>
          <cell r="E503">
            <v>950.95</v>
          </cell>
          <cell r="F503">
            <v>0</v>
          </cell>
          <cell r="G503">
            <v>0</v>
          </cell>
        </row>
        <row r="504">
          <cell r="A504" t="str">
            <v>MZ313291</v>
          </cell>
          <cell r="B504" t="str">
            <v>F</v>
          </cell>
          <cell r="C504" t="str">
            <v>FLOOR MAT- EVOLUTION 'MR'</v>
          </cell>
          <cell r="D504">
            <v>84.56</v>
          </cell>
          <cell r="E504">
            <v>140.94999999999999</v>
          </cell>
          <cell r="F504">
            <v>0</v>
          </cell>
          <cell r="G504">
            <v>0</v>
          </cell>
        </row>
        <row r="505">
          <cell r="A505" t="str">
            <v>MZ313344</v>
          </cell>
          <cell r="B505" t="str">
            <v>D</v>
          </cell>
          <cell r="C505" t="str">
            <v>PAINT- PEN- TITANIUM (H32)</v>
          </cell>
          <cell r="D505">
            <v>15.57</v>
          </cell>
          <cell r="E505">
            <v>23.95</v>
          </cell>
          <cell r="F505">
            <v>7</v>
          </cell>
          <cell r="G505">
            <v>0</v>
          </cell>
        </row>
        <row r="506">
          <cell r="A506" t="str">
            <v>MZ313345</v>
          </cell>
          <cell r="B506" t="str">
            <v>C</v>
          </cell>
          <cell r="C506" t="str">
            <v>PAINT- PEN-DOVER WHITE(P)(W69)</v>
          </cell>
          <cell r="D506">
            <v>15.57</v>
          </cell>
          <cell r="E506">
            <v>23.95</v>
          </cell>
          <cell r="F506">
            <v>10</v>
          </cell>
          <cell r="G506">
            <v>0</v>
          </cell>
        </row>
        <row r="507">
          <cell r="A507" t="str">
            <v>MZ313350</v>
          </cell>
          <cell r="B507" t="str">
            <v>F</v>
          </cell>
          <cell r="C507" t="str">
            <v>ROOF RACK ADAPTER- AERO BAR</v>
          </cell>
          <cell r="D507">
            <v>164.36</v>
          </cell>
          <cell r="E507">
            <v>273.95</v>
          </cell>
          <cell r="F507">
            <v>0</v>
          </cell>
          <cell r="G507">
            <v>0</v>
          </cell>
        </row>
        <row r="508">
          <cell r="A508" t="str">
            <v>MZ313352</v>
          </cell>
          <cell r="B508" t="str">
            <v>S</v>
          </cell>
          <cell r="C508" t="str">
            <v>PAINT- PEN- WARM SAND (A17)</v>
          </cell>
          <cell r="D508">
            <v>15.57</v>
          </cell>
          <cell r="E508">
            <v>23.95</v>
          </cell>
          <cell r="F508">
            <v>0</v>
          </cell>
          <cell r="G508">
            <v>0</v>
          </cell>
        </row>
        <row r="509">
          <cell r="A509" t="str">
            <v>MZ313353</v>
          </cell>
          <cell r="B509" t="str">
            <v>D</v>
          </cell>
          <cell r="C509" t="str">
            <v>PAINT- PEN- LIQUID SILVER(A33)</v>
          </cell>
          <cell r="D509">
            <v>15.57</v>
          </cell>
          <cell r="E509">
            <v>23.95</v>
          </cell>
          <cell r="F509">
            <v>2</v>
          </cell>
          <cell r="G509">
            <v>0</v>
          </cell>
        </row>
        <row r="510">
          <cell r="A510" t="str">
            <v>MZ313354</v>
          </cell>
          <cell r="B510" t="str">
            <v>B</v>
          </cell>
          <cell r="C510" t="str">
            <v>PAINT- PEN- GRAPHITE GRAY(A39)</v>
          </cell>
          <cell r="D510">
            <v>15.57</v>
          </cell>
          <cell r="E510">
            <v>23.95</v>
          </cell>
          <cell r="F510">
            <v>20</v>
          </cell>
          <cell r="G510">
            <v>0</v>
          </cell>
        </row>
        <row r="511">
          <cell r="A511" t="str">
            <v>MZ313355</v>
          </cell>
          <cell r="B511" t="str">
            <v>F</v>
          </cell>
          <cell r="C511" t="str">
            <v>TOUCH-UP PAINT-PEN-CARBON GRAY</v>
          </cell>
          <cell r="D511">
            <v>15.57</v>
          </cell>
          <cell r="E511">
            <v>23.95</v>
          </cell>
          <cell r="F511">
            <v>0</v>
          </cell>
          <cell r="G511">
            <v>0</v>
          </cell>
        </row>
        <row r="512">
          <cell r="A512" t="str">
            <v>MZ313356</v>
          </cell>
          <cell r="B512" t="str">
            <v>C</v>
          </cell>
          <cell r="C512" t="str">
            <v>PAINT- PEN-PHOENIX/RALLYREDP23</v>
          </cell>
          <cell r="D512">
            <v>14.37</v>
          </cell>
          <cell r="E512">
            <v>23.95</v>
          </cell>
          <cell r="F512">
            <v>9</v>
          </cell>
          <cell r="G512">
            <v>0</v>
          </cell>
        </row>
        <row r="513">
          <cell r="A513" t="str">
            <v>MZ313357</v>
          </cell>
          <cell r="B513" t="str">
            <v>S</v>
          </cell>
          <cell r="C513" t="str">
            <v>PAINT- PEN- T/U UV BLUE (T60)</v>
          </cell>
          <cell r="D513">
            <v>15.57</v>
          </cell>
          <cell r="E513">
            <v>23.95</v>
          </cell>
          <cell r="F513">
            <v>0</v>
          </cell>
          <cell r="G513">
            <v>0</v>
          </cell>
        </row>
        <row r="514">
          <cell r="A514" t="str">
            <v>MZ313358</v>
          </cell>
          <cell r="B514" t="str">
            <v>C</v>
          </cell>
          <cell r="C514" t="str">
            <v>PAINT- PEN- ELECTIC BLUE (T70)</v>
          </cell>
          <cell r="D514">
            <v>15.57</v>
          </cell>
          <cell r="E514">
            <v>23.95</v>
          </cell>
          <cell r="F514">
            <v>20</v>
          </cell>
          <cell r="G514">
            <v>0</v>
          </cell>
        </row>
        <row r="515">
          <cell r="A515" t="str">
            <v>MZ313359</v>
          </cell>
          <cell r="B515" t="str">
            <v>B</v>
          </cell>
          <cell r="C515" t="str">
            <v>PAINT- PEN-IGLOO/WICKED WHTW37</v>
          </cell>
          <cell r="D515">
            <v>15.57</v>
          </cell>
          <cell r="E515">
            <v>23.95</v>
          </cell>
          <cell r="F515">
            <v>8</v>
          </cell>
          <cell r="G515">
            <v>0</v>
          </cell>
        </row>
        <row r="516">
          <cell r="A516" t="str">
            <v>MZ313360</v>
          </cell>
          <cell r="B516" t="str">
            <v>F</v>
          </cell>
          <cell r="C516" t="str">
            <v>PAINT- PEN- MIDNIGHT (X24)</v>
          </cell>
          <cell r="D516">
            <v>15.57</v>
          </cell>
          <cell r="E516">
            <v>23.95</v>
          </cell>
          <cell r="F516">
            <v>0</v>
          </cell>
          <cell r="G516">
            <v>0</v>
          </cell>
        </row>
        <row r="517">
          <cell r="A517" t="str">
            <v>MZ313361</v>
          </cell>
          <cell r="B517" t="str">
            <v>D</v>
          </cell>
          <cell r="C517" t="str">
            <v>PAINT- PEN- LIGHTNG YELLOW Y12</v>
          </cell>
          <cell r="D517">
            <v>15.57</v>
          </cell>
          <cell r="E517">
            <v>23.95</v>
          </cell>
          <cell r="F517">
            <v>2</v>
          </cell>
          <cell r="G517">
            <v>0</v>
          </cell>
        </row>
        <row r="518">
          <cell r="A518" t="str">
            <v>MZ313367</v>
          </cell>
          <cell r="B518" t="str">
            <v>S</v>
          </cell>
          <cell r="C518" t="str">
            <v>PAINT- PEN- LOFTY GREEN (G44)</v>
          </cell>
          <cell r="D518">
            <v>15.57</v>
          </cell>
          <cell r="E518">
            <v>23.95</v>
          </cell>
          <cell r="F518">
            <v>0</v>
          </cell>
          <cell r="G518">
            <v>0</v>
          </cell>
        </row>
        <row r="519">
          <cell r="A519" t="str">
            <v>MZ313368</v>
          </cell>
          <cell r="B519" t="str">
            <v>S</v>
          </cell>
          <cell r="C519" t="str">
            <v>PAINT- PEN- AMAZON GREEN (G70)</v>
          </cell>
          <cell r="D519">
            <v>15.57</v>
          </cell>
          <cell r="E519">
            <v>23.95</v>
          </cell>
          <cell r="F519">
            <v>0</v>
          </cell>
          <cell r="G519">
            <v>0</v>
          </cell>
        </row>
        <row r="520">
          <cell r="A520" t="str">
            <v>MZ313369</v>
          </cell>
          <cell r="B520" t="str">
            <v>S</v>
          </cell>
          <cell r="C520" t="str">
            <v>PAINT- PEN-CAMBRIDGE RED (P78)</v>
          </cell>
          <cell r="D520">
            <v>15.57</v>
          </cell>
          <cell r="E520">
            <v>23.95</v>
          </cell>
          <cell r="F520">
            <v>0</v>
          </cell>
          <cell r="G520">
            <v>0</v>
          </cell>
        </row>
        <row r="521">
          <cell r="A521" t="str">
            <v>MZ313370</v>
          </cell>
          <cell r="B521" t="str">
            <v>F</v>
          </cell>
          <cell r="C521" t="str">
            <v>PAINT- PEN- RIO RED (R20)</v>
          </cell>
          <cell r="D521">
            <v>13.16</v>
          </cell>
          <cell r="E521">
            <v>21.95</v>
          </cell>
          <cell r="F521">
            <v>0</v>
          </cell>
          <cell r="G521">
            <v>0</v>
          </cell>
        </row>
        <row r="522">
          <cell r="A522" t="str">
            <v>MZ313372</v>
          </cell>
          <cell r="B522" t="str">
            <v>D</v>
          </cell>
          <cell r="C522" t="str">
            <v>PAINT- PEN- SUDAN BEIGE (S74)</v>
          </cell>
          <cell r="D522">
            <v>15.57</v>
          </cell>
          <cell r="E522">
            <v>23.95</v>
          </cell>
          <cell r="F522">
            <v>17</v>
          </cell>
          <cell r="G522">
            <v>0</v>
          </cell>
        </row>
        <row r="523">
          <cell r="A523" t="str">
            <v>MZ313373</v>
          </cell>
          <cell r="B523" t="str">
            <v>F</v>
          </cell>
          <cell r="C523" t="str">
            <v>PAINT- PEN-MEMPHIS BLUE(P) T11</v>
          </cell>
          <cell r="D523">
            <v>15.57</v>
          </cell>
          <cell r="E523">
            <v>23.95</v>
          </cell>
          <cell r="F523">
            <v>0</v>
          </cell>
          <cell r="G523">
            <v>0</v>
          </cell>
        </row>
        <row r="524">
          <cell r="A524" t="str">
            <v>MZ313374</v>
          </cell>
          <cell r="B524" t="str">
            <v>A</v>
          </cell>
          <cell r="C524" t="str">
            <v>PAINT- PEN-DIAMOND WHITE(P)W13</v>
          </cell>
          <cell r="D524">
            <v>15.57</v>
          </cell>
          <cell r="E524">
            <v>23.95</v>
          </cell>
          <cell r="F524">
            <v>98</v>
          </cell>
          <cell r="G524">
            <v>0</v>
          </cell>
        </row>
        <row r="525">
          <cell r="A525" t="str">
            <v>MZ313375</v>
          </cell>
          <cell r="B525" t="str">
            <v>A</v>
          </cell>
          <cell r="C525" t="str">
            <v>TOUCH UP PAINT PEN X42</v>
          </cell>
          <cell r="D525">
            <v>15.57</v>
          </cell>
          <cell r="E525">
            <v>23.95</v>
          </cell>
          <cell r="F525">
            <v>201</v>
          </cell>
          <cell r="G525">
            <v>0</v>
          </cell>
        </row>
        <row r="526">
          <cell r="A526" t="str">
            <v>MZ313392</v>
          </cell>
          <cell r="B526" t="str">
            <v>Z</v>
          </cell>
          <cell r="C526" t="str">
            <v>FLOOR MAT- ALL WEATHER</v>
          </cell>
          <cell r="D526">
            <v>101.97</v>
          </cell>
          <cell r="E526">
            <v>169.95</v>
          </cell>
          <cell r="F526">
            <v>0</v>
          </cell>
          <cell r="G526">
            <v>0</v>
          </cell>
        </row>
        <row r="527">
          <cell r="A527" t="str">
            <v>MZ313438</v>
          </cell>
          <cell r="B527" t="str">
            <v>D</v>
          </cell>
          <cell r="C527" t="str">
            <v>WAKE MODIFIER- REAR BUMPER</v>
          </cell>
          <cell r="D527">
            <v>495.13</v>
          </cell>
          <cell r="E527">
            <v>825.95</v>
          </cell>
          <cell r="F527">
            <v>1</v>
          </cell>
          <cell r="G527">
            <v>0</v>
          </cell>
        </row>
        <row r="528">
          <cell r="A528" t="str">
            <v>MZ313439</v>
          </cell>
          <cell r="B528" t="str">
            <v>F</v>
          </cell>
          <cell r="C528" t="str">
            <v>SILL- SIDE- LEFT- SPORT</v>
          </cell>
          <cell r="D528">
            <v>265.17</v>
          </cell>
          <cell r="E528">
            <v>441.95</v>
          </cell>
          <cell r="F528">
            <v>0</v>
          </cell>
          <cell r="G528">
            <v>0</v>
          </cell>
        </row>
        <row r="529">
          <cell r="A529" t="str">
            <v>MZ313440</v>
          </cell>
          <cell r="B529" t="str">
            <v>F</v>
          </cell>
          <cell r="C529" t="str">
            <v>SILL- SIDE- RIGHT- SPORT</v>
          </cell>
          <cell r="D529">
            <v>265.17</v>
          </cell>
          <cell r="E529">
            <v>441.95</v>
          </cell>
          <cell r="F529">
            <v>0</v>
          </cell>
          <cell r="G529">
            <v>0</v>
          </cell>
        </row>
        <row r="530">
          <cell r="A530" t="str">
            <v>MZ313441</v>
          </cell>
          <cell r="B530" t="str">
            <v>S</v>
          </cell>
          <cell r="C530" t="str">
            <v>AIR DAM- LEFT FRONT CORNER</v>
          </cell>
          <cell r="D530">
            <v>172.87</v>
          </cell>
          <cell r="E530">
            <v>265.95</v>
          </cell>
          <cell r="F530">
            <v>1</v>
          </cell>
          <cell r="G530">
            <v>0</v>
          </cell>
        </row>
        <row r="531">
          <cell r="A531" t="str">
            <v>MZ313442</v>
          </cell>
          <cell r="B531" t="str">
            <v>S</v>
          </cell>
          <cell r="C531" t="str">
            <v>AIR DAM- RIGHT FRONT CORNER</v>
          </cell>
          <cell r="D531">
            <v>183.55</v>
          </cell>
          <cell r="E531">
            <v>282.95</v>
          </cell>
          <cell r="F531">
            <v>0</v>
          </cell>
          <cell r="G531">
            <v>0</v>
          </cell>
        </row>
        <row r="532">
          <cell r="A532" t="str">
            <v>MZ313444</v>
          </cell>
          <cell r="B532" t="str">
            <v>U</v>
          </cell>
          <cell r="C532" t="str">
            <v>AERO KIT- 5 PC KALAPANA BLACK</v>
          </cell>
          <cell r="D532">
            <v>967.17</v>
          </cell>
          <cell r="E532">
            <v>1611.95</v>
          </cell>
          <cell r="F532">
            <v>0</v>
          </cell>
          <cell r="G532">
            <v>0</v>
          </cell>
        </row>
        <row r="533">
          <cell r="A533" t="str">
            <v>MZ313446</v>
          </cell>
          <cell r="B533" t="str">
            <v>Z</v>
          </cell>
          <cell r="C533" t="str">
            <v>AERO KIT- 5 PC ULTRA RED P06</v>
          </cell>
          <cell r="D533">
            <v>1192.17</v>
          </cell>
          <cell r="E533">
            <v>1986.95</v>
          </cell>
          <cell r="F533">
            <v>0</v>
          </cell>
          <cell r="G533">
            <v>0</v>
          </cell>
        </row>
        <row r="534">
          <cell r="A534" t="str">
            <v>MZ313449</v>
          </cell>
          <cell r="B534" t="str">
            <v>U</v>
          </cell>
          <cell r="C534" t="str">
            <v>AERO KIT- 5 PC SUNSET PRL M03</v>
          </cell>
          <cell r="D534">
            <v>967.17</v>
          </cell>
          <cell r="E534">
            <v>1611.95</v>
          </cell>
          <cell r="F534">
            <v>0</v>
          </cell>
          <cell r="G534">
            <v>0</v>
          </cell>
        </row>
        <row r="535">
          <cell r="A535" t="str">
            <v>MZ313466</v>
          </cell>
          <cell r="B535" t="str">
            <v>S</v>
          </cell>
          <cell r="C535" t="str">
            <v>CARGO NET- ENVELOPE</v>
          </cell>
          <cell r="D535">
            <v>33.58</v>
          </cell>
          <cell r="E535">
            <v>55.95</v>
          </cell>
          <cell r="F535">
            <v>0</v>
          </cell>
          <cell r="G535">
            <v>0</v>
          </cell>
        </row>
        <row r="536">
          <cell r="A536" t="str">
            <v>MZ313481</v>
          </cell>
          <cell r="B536" t="str">
            <v>S</v>
          </cell>
          <cell r="C536" t="str">
            <v>COVER- CAR- ECLIPSE</v>
          </cell>
          <cell r="D536">
            <v>249.58</v>
          </cell>
          <cell r="E536">
            <v>415.95</v>
          </cell>
          <cell r="F536">
            <v>0</v>
          </cell>
          <cell r="G536">
            <v>0</v>
          </cell>
        </row>
        <row r="537">
          <cell r="A537" t="str">
            <v>MZ313482</v>
          </cell>
          <cell r="B537" t="str">
            <v>F</v>
          </cell>
          <cell r="C537" t="str">
            <v>CARGO MAT- W/SUB-WOOFER</v>
          </cell>
          <cell r="D537">
            <v>86.37</v>
          </cell>
          <cell r="E537">
            <v>143.94999999999999</v>
          </cell>
          <cell r="F537">
            <v>0</v>
          </cell>
          <cell r="G537">
            <v>0</v>
          </cell>
        </row>
        <row r="538">
          <cell r="A538" t="str">
            <v>MZ313483</v>
          </cell>
          <cell r="B538" t="str">
            <v>Z</v>
          </cell>
          <cell r="C538" t="str">
            <v>FLOOR MAT- SPORT CARPET- ECL</v>
          </cell>
          <cell r="D538">
            <v>75.37</v>
          </cell>
          <cell r="E538">
            <v>115.95</v>
          </cell>
          <cell r="F538">
            <v>0</v>
          </cell>
          <cell r="G538">
            <v>0</v>
          </cell>
        </row>
        <row r="539">
          <cell r="A539" t="str">
            <v>MZ313484</v>
          </cell>
          <cell r="B539" t="str">
            <v>S</v>
          </cell>
          <cell r="C539" t="str">
            <v>FOGLIGHT KIT-ECL COUPE GS / SE</v>
          </cell>
          <cell r="D539">
            <v>195.57</v>
          </cell>
          <cell r="E539">
            <v>325.95</v>
          </cell>
          <cell r="F539">
            <v>0</v>
          </cell>
          <cell r="G539">
            <v>0</v>
          </cell>
        </row>
        <row r="540">
          <cell r="A540" t="str">
            <v>MZ313486</v>
          </cell>
          <cell r="B540" t="str">
            <v>D</v>
          </cell>
          <cell r="C540" t="str">
            <v>PAINT- PEN- PURE RED (P18)</v>
          </cell>
          <cell r="D540">
            <v>15.57</v>
          </cell>
          <cell r="E540">
            <v>23.95</v>
          </cell>
          <cell r="F540">
            <v>5</v>
          </cell>
          <cell r="G540">
            <v>0</v>
          </cell>
        </row>
        <row r="541">
          <cell r="A541" t="str">
            <v>MZ313487</v>
          </cell>
          <cell r="B541" t="str">
            <v>C</v>
          </cell>
          <cell r="C541" t="str">
            <v>PAINT- PEN- SUNSET PEARL (M03)</v>
          </cell>
          <cell r="D541">
            <v>15.57</v>
          </cell>
          <cell r="E541">
            <v>23.95</v>
          </cell>
          <cell r="F541">
            <v>5</v>
          </cell>
          <cell r="G541">
            <v>0</v>
          </cell>
        </row>
        <row r="542">
          <cell r="A542" t="str">
            <v>MZ313488</v>
          </cell>
          <cell r="B542" t="str">
            <v>S</v>
          </cell>
          <cell r="C542" t="str">
            <v>PAINT- PEN- FROST WHITE (W26)</v>
          </cell>
          <cell r="D542">
            <v>15.57</v>
          </cell>
          <cell r="E542">
            <v>23.95</v>
          </cell>
          <cell r="F542">
            <v>0</v>
          </cell>
          <cell r="G542">
            <v>0</v>
          </cell>
        </row>
        <row r="543">
          <cell r="A543" t="str">
            <v>MZ313490</v>
          </cell>
          <cell r="B543" t="str">
            <v>U</v>
          </cell>
          <cell r="C543" t="str">
            <v>SPOILER-RR LIP</v>
          </cell>
          <cell r="D543">
            <v>293.98</v>
          </cell>
          <cell r="E543">
            <v>489.95</v>
          </cell>
          <cell r="F543">
            <v>0</v>
          </cell>
          <cell r="G543">
            <v>0</v>
          </cell>
        </row>
        <row r="544">
          <cell r="A544" t="str">
            <v>MZ313508</v>
          </cell>
          <cell r="B544" t="str">
            <v>Z</v>
          </cell>
          <cell r="C544" t="str">
            <v>FLOOR MAT- ALL WEATHR- FR ONLY</v>
          </cell>
          <cell r="D544">
            <v>103.17</v>
          </cell>
          <cell r="E544">
            <v>171.95</v>
          </cell>
          <cell r="F544">
            <v>0</v>
          </cell>
          <cell r="G544">
            <v>0</v>
          </cell>
        </row>
        <row r="545">
          <cell r="A545" t="str">
            <v>MZ313511</v>
          </cell>
          <cell r="B545" t="str">
            <v>S</v>
          </cell>
          <cell r="C545" t="str">
            <v>CARGO MAT- W/O SUBWOOFER</v>
          </cell>
          <cell r="D545">
            <v>94.17</v>
          </cell>
          <cell r="E545">
            <v>156.94999999999999</v>
          </cell>
          <cell r="F545">
            <v>0</v>
          </cell>
          <cell r="G545">
            <v>0</v>
          </cell>
        </row>
        <row r="546">
          <cell r="A546" t="str">
            <v>MZ313512</v>
          </cell>
          <cell r="B546" t="str">
            <v>S</v>
          </cell>
          <cell r="C546" t="str">
            <v>FUEL DOOR- ALLOY</v>
          </cell>
          <cell r="D546">
            <v>155.37</v>
          </cell>
          <cell r="E546">
            <v>258.95</v>
          </cell>
          <cell r="F546">
            <v>0</v>
          </cell>
          <cell r="G546">
            <v>2</v>
          </cell>
        </row>
        <row r="547">
          <cell r="A547" t="str">
            <v>MZ313513</v>
          </cell>
          <cell r="B547" t="str">
            <v>Z</v>
          </cell>
          <cell r="C547" t="str">
            <v>AERO KIT- 5 PC PRIMED</v>
          </cell>
          <cell r="D547">
            <v>967.17</v>
          </cell>
          <cell r="E547">
            <v>1611.95</v>
          </cell>
          <cell r="F547">
            <v>0</v>
          </cell>
          <cell r="G547">
            <v>0</v>
          </cell>
        </row>
        <row r="548">
          <cell r="A548" t="str">
            <v>MZ313515</v>
          </cell>
          <cell r="B548" t="str">
            <v>S</v>
          </cell>
          <cell r="C548" t="str">
            <v>DEFLECTOR- SUNROOF- WIND</v>
          </cell>
          <cell r="D548">
            <v>106.22</v>
          </cell>
          <cell r="E548">
            <v>177.95</v>
          </cell>
          <cell r="F548">
            <v>0</v>
          </cell>
          <cell r="G548">
            <v>0</v>
          </cell>
        </row>
        <row r="549">
          <cell r="A549" t="str">
            <v>MZ313516</v>
          </cell>
          <cell r="B549" t="str">
            <v>S</v>
          </cell>
          <cell r="C549" t="str">
            <v>EXHAUST FINISHER</v>
          </cell>
          <cell r="D549">
            <v>47.97</v>
          </cell>
          <cell r="E549">
            <v>79.95</v>
          </cell>
          <cell r="F549">
            <v>0</v>
          </cell>
          <cell r="G549">
            <v>0</v>
          </cell>
        </row>
        <row r="550">
          <cell r="A550" t="str">
            <v>MZ313517</v>
          </cell>
          <cell r="B550" t="str">
            <v>F</v>
          </cell>
          <cell r="C550" t="str">
            <v>NOSE MASK- ECLIPSE</v>
          </cell>
          <cell r="D550">
            <v>164.36</v>
          </cell>
          <cell r="E550">
            <v>273.95</v>
          </cell>
          <cell r="F550">
            <v>0</v>
          </cell>
          <cell r="G550">
            <v>0</v>
          </cell>
        </row>
        <row r="551">
          <cell r="A551" t="str">
            <v>MZ313524</v>
          </cell>
          <cell r="B551" t="str">
            <v>S</v>
          </cell>
          <cell r="C551" t="str">
            <v>LICENSE PLATE FRAME- ECLIPSE</v>
          </cell>
          <cell r="D551">
            <v>41.37</v>
          </cell>
          <cell r="E551">
            <v>68.95</v>
          </cell>
          <cell r="F551">
            <v>0</v>
          </cell>
          <cell r="G551">
            <v>0</v>
          </cell>
        </row>
        <row r="552">
          <cell r="A552" t="str">
            <v>MZ313525</v>
          </cell>
          <cell r="B552" t="str">
            <v>F</v>
          </cell>
          <cell r="C552" t="str">
            <v>LICENSE PLATE FRAME- BLANK</v>
          </cell>
          <cell r="D552">
            <v>29.97</v>
          </cell>
          <cell r="E552">
            <v>49.95</v>
          </cell>
          <cell r="F552">
            <v>0</v>
          </cell>
          <cell r="G552">
            <v>0</v>
          </cell>
        </row>
        <row r="553">
          <cell r="A553" t="str">
            <v>MZ313526</v>
          </cell>
          <cell r="B553" t="str">
            <v>S</v>
          </cell>
          <cell r="C553" t="str">
            <v>LICENSE PLATE FRAME- GALANT</v>
          </cell>
          <cell r="D553">
            <v>41.37</v>
          </cell>
          <cell r="E553">
            <v>68.95</v>
          </cell>
          <cell r="F553">
            <v>0</v>
          </cell>
          <cell r="G553">
            <v>0</v>
          </cell>
        </row>
        <row r="554">
          <cell r="A554" t="str">
            <v>MZ313530</v>
          </cell>
          <cell r="B554" t="str">
            <v>U</v>
          </cell>
          <cell r="C554" t="str">
            <v>LICENSE PLATE FRAME- ECLIPSE</v>
          </cell>
          <cell r="D554">
            <v>41.37</v>
          </cell>
          <cell r="E554">
            <v>68.95</v>
          </cell>
          <cell r="F554">
            <v>0</v>
          </cell>
          <cell r="G554">
            <v>0</v>
          </cell>
        </row>
        <row r="555">
          <cell r="A555" t="str">
            <v>MZ313540</v>
          </cell>
          <cell r="B555" t="str">
            <v>Z</v>
          </cell>
          <cell r="C555" t="str">
            <v>MUDGUARD- BLACK- 4 PCS</v>
          </cell>
          <cell r="D555">
            <v>94.17</v>
          </cell>
          <cell r="E555">
            <v>156.94999999999999</v>
          </cell>
          <cell r="F555">
            <v>0</v>
          </cell>
          <cell r="G555">
            <v>0</v>
          </cell>
        </row>
        <row r="556">
          <cell r="A556" t="str">
            <v>MZ313541</v>
          </cell>
          <cell r="B556" t="str">
            <v>F</v>
          </cell>
          <cell r="C556" t="str">
            <v>FLOOR MAT- EVOLUTION IX- 4 PCS</v>
          </cell>
          <cell r="D556">
            <v>75.569999999999993</v>
          </cell>
          <cell r="E556">
            <v>125.95</v>
          </cell>
          <cell r="F556">
            <v>0</v>
          </cell>
          <cell r="G556">
            <v>0</v>
          </cell>
        </row>
        <row r="557">
          <cell r="A557" t="str">
            <v>MZ313547</v>
          </cell>
          <cell r="B557" t="str">
            <v>F</v>
          </cell>
          <cell r="C557" t="str">
            <v>DEFLECTOR- SUNROOF- WIND</v>
          </cell>
          <cell r="D557">
            <v>27.57</v>
          </cell>
          <cell r="E557">
            <v>45.95</v>
          </cell>
          <cell r="F557">
            <v>0</v>
          </cell>
          <cell r="G557">
            <v>0</v>
          </cell>
        </row>
        <row r="558">
          <cell r="A558" t="str">
            <v>MZ313551</v>
          </cell>
          <cell r="B558" t="str">
            <v>S</v>
          </cell>
          <cell r="C558" t="str">
            <v>CARGO TRAY</v>
          </cell>
          <cell r="D558">
            <v>73.77</v>
          </cell>
          <cell r="E558">
            <v>122.95</v>
          </cell>
          <cell r="F558">
            <v>0</v>
          </cell>
          <cell r="G558">
            <v>0</v>
          </cell>
        </row>
        <row r="559">
          <cell r="A559" t="str">
            <v>MZ313553</v>
          </cell>
          <cell r="B559" t="str">
            <v>Z</v>
          </cell>
          <cell r="C559" t="str">
            <v>FILM- PROTECTIVE- REAR BUMPER</v>
          </cell>
          <cell r="D559">
            <v>58.17</v>
          </cell>
          <cell r="E559">
            <v>96.95</v>
          </cell>
          <cell r="F559">
            <v>0</v>
          </cell>
          <cell r="G559">
            <v>0</v>
          </cell>
        </row>
        <row r="560">
          <cell r="A560" t="str">
            <v>MZ313588</v>
          </cell>
          <cell r="B560" t="str">
            <v>Z</v>
          </cell>
          <cell r="C560" t="str">
            <v>MUDGUARD- REAR- ENDEAVOR</v>
          </cell>
          <cell r="D560">
            <v>59.37</v>
          </cell>
          <cell r="E560">
            <v>98.95</v>
          </cell>
          <cell r="F560">
            <v>0</v>
          </cell>
          <cell r="G560">
            <v>0</v>
          </cell>
        </row>
        <row r="561">
          <cell r="A561" t="str">
            <v>MZ313590</v>
          </cell>
          <cell r="B561" t="str">
            <v>S</v>
          </cell>
          <cell r="C561" t="str">
            <v>TRAILER HITCH- W/DRAWBAR&amp;BALL</v>
          </cell>
          <cell r="D561">
            <v>367.17</v>
          </cell>
          <cell r="E561">
            <v>611.95000000000005</v>
          </cell>
          <cell r="F561">
            <v>0</v>
          </cell>
          <cell r="G561">
            <v>0</v>
          </cell>
        </row>
        <row r="562">
          <cell r="A562" t="str">
            <v>MZ313734</v>
          </cell>
          <cell r="B562" t="str">
            <v>F</v>
          </cell>
          <cell r="C562" t="str">
            <v>NOSE MASK- RALLIART</v>
          </cell>
          <cell r="D562">
            <v>162.57</v>
          </cell>
          <cell r="E562">
            <v>270.95</v>
          </cell>
          <cell r="F562">
            <v>0</v>
          </cell>
          <cell r="G562">
            <v>0</v>
          </cell>
        </row>
        <row r="563">
          <cell r="A563" t="str">
            <v>MZ313744</v>
          </cell>
          <cell r="B563" t="str">
            <v>S</v>
          </cell>
          <cell r="C563" t="str">
            <v>FOGLIGHT KIT</v>
          </cell>
          <cell r="D563">
            <v>363.4</v>
          </cell>
          <cell r="E563">
            <v>605.95000000000005</v>
          </cell>
          <cell r="F563">
            <v>0</v>
          </cell>
          <cell r="G563">
            <v>0</v>
          </cell>
        </row>
        <row r="564">
          <cell r="A564" t="str">
            <v>MZ313745</v>
          </cell>
          <cell r="B564" t="str">
            <v>S</v>
          </cell>
          <cell r="C564" t="str">
            <v>FUEL DOOR- ALLOY- SERV KIT</v>
          </cell>
          <cell r="D564">
            <v>8.36</v>
          </cell>
          <cell r="E564">
            <v>13.95</v>
          </cell>
          <cell r="F564">
            <v>0</v>
          </cell>
          <cell r="G564">
            <v>0</v>
          </cell>
        </row>
        <row r="565">
          <cell r="A565" t="str">
            <v>MZ313748</v>
          </cell>
          <cell r="B565" t="str">
            <v>U</v>
          </cell>
          <cell r="C565" t="str">
            <v>AERO KIT- 5 PC SATIN MEISALA88</v>
          </cell>
          <cell r="D565">
            <v>967.17</v>
          </cell>
          <cell r="E565">
            <v>1611.95</v>
          </cell>
          <cell r="F565">
            <v>0</v>
          </cell>
          <cell r="G565">
            <v>0</v>
          </cell>
        </row>
        <row r="566">
          <cell r="A566" t="str">
            <v>MZ313749</v>
          </cell>
          <cell r="B566" t="str">
            <v>C</v>
          </cell>
          <cell r="C566" t="str">
            <v>PAINT- PEN- SATIN MEISAI (A88)</v>
          </cell>
          <cell r="D566">
            <v>15.57</v>
          </cell>
          <cell r="E566">
            <v>23.95</v>
          </cell>
          <cell r="F566">
            <v>1</v>
          </cell>
          <cell r="G566">
            <v>0</v>
          </cell>
        </row>
        <row r="567">
          <cell r="A567" t="str">
            <v>MZ313757</v>
          </cell>
          <cell r="B567" t="str">
            <v>D</v>
          </cell>
          <cell r="C567" t="str">
            <v>FLOOR MAT- SPORT CARPET- BLACK</v>
          </cell>
          <cell r="D567">
            <v>88.93</v>
          </cell>
          <cell r="E567">
            <v>136.94999999999999</v>
          </cell>
          <cell r="F567">
            <v>1</v>
          </cell>
          <cell r="G567">
            <v>0</v>
          </cell>
        </row>
        <row r="568">
          <cell r="A568" t="str">
            <v>MZ313776</v>
          </cell>
          <cell r="B568" t="str">
            <v>S</v>
          </cell>
          <cell r="C568" t="str">
            <v>COVER- CAR- ECLIPSE SPYDER</v>
          </cell>
          <cell r="D568">
            <v>249.58</v>
          </cell>
          <cell r="E568">
            <v>415.95</v>
          </cell>
          <cell r="F568">
            <v>0</v>
          </cell>
          <cell r="G568">
            <v>0</v>
          </cell>
        </row>
        <row r="569">
          <cell r="A569" t="str">
            <v>MZ313777</v>
          </cell>
          <cell r="B569" t="str">
            <v>D</v>
          </cell>
          <cell r="C569" t="str">
            <v>PAINT- PEN- STILL BLUE (A56)</v>
          </cell>
          <cell r="D569">
            <v>15.57</v>
          </cell>
          <cell r="E569">
            <v>23.95</v>
          </cell>
          <cell r="F569">
            <v>9</v>
          </cell>
          <cell r="G569">
            <v>0</v>
          </cell>
        </row>
        <row r="570">
          <cell r="A570" t="str">
            <v>MZ313793</v>
          </cell>
          <cell r="B570" t="str">
            <v>F</v>
          </cell>
          <cell r="C570" t="str">
            <v>WIRING HARNESS- TRAILER HITCH</v>
          </cell>
          <cell r="D570">
            <v>62.97</v>
          </cell>
          <cell r="E570">
            <v>104.95</v>
          </cell>
          <cell r="F570">
            <v>0</v>
          </cell>
          <cell r="G570">
            <v>0</v>
          </cell>
        </row>
        <row r="571">
          <cell r="A571" t="str">
            <v>MZ313809</v>
          </cell>
          <cell r="B571" t="str">
            <v>D</v>
          </cell>
          <cell r="C571" t="str">
            <v>TRAILER HITCH- DRAWBAR &amp;BALL O/L &lt;2013</v>
          </cell>
          <cell r="D571">
            <v>411.57</v>
          </cell>
          <cell r="E571">
            <v>587.95000000000005</v>
          </cell>
          <cell r="F571">
            <v>1</v>
          </cell>
          <cell r="G571">
            <v>0</v>
          </cell>
        </row>
        <row r="572">
          <cell r="A572" t="str">
            <v>MZ313810</v>
          </cell>
          <cell r="B572" t="str">
            <v>F</v>
          </cell>
          <cell r="C572" t="str">
            <v>NOSE MASK- OUTLANDER GS45X</v>
          </cell>
          <cell r="D572">
            <v>118.77</v>
          </cell>
          <cell r="E572">
            <v>197.95</v>
          </cell>
          <cell r="F572">
            <v>0</v>
          </cell>
          <cell r="G572">
            <v>0</v>
          </cell>
        </row>
        <row r="573">
          <cell r="A573" t="str">
            <v>MZ313812</v>
          </cell>
          <cell r="B573" t="str">
            <v>X</v>
          </cell>
          <cell r="C573" t="str">
            <v>LICENSE PLATE FRAME- DOME</v>
          </cell>
          <cell r="D573">
            <v>41.37</v>
          </cell>
          <cell r="E573">
            <v>68.95</v>
          </cell>
          <cell r="F573">
            <v>0</v>
          </cell>
          <cell r="G573">
            <v>0</v>
          </cell>
        </row>
        <row r="574">
          <cell r="A574" t="str">
            <v>MZ313813</v>
          </cell>
          <cell r="B574" t="str">
            <v>S</v>
          </cell>
          <cell r="C574" t="str">
            <v>CARGO MAT- W/SUBWOOFER OUTLANDER &lt;2013</v>
          </cell>
          <cell r="D574">
            <v>86.37</v>
          </cell>
          <cell r="E574">
            <v>143.94999999999999</v>
          </cell>
          <cell r="F574">
            <v>0</v>
          </cell>
          <cell r="G574">
            <v>0</v>
          </cell>
        </row>
        <row r="575">
          <cell r="A575" t="str">
            <v>MZ313814</v>
          </cell>
          <cell r="B575" t="str">
            <v>S</v>
          </cell>
          <cell r="C575" t="str">
            <v>CARGO NET- OUTLANDER &lt;2013- FLOOR</v>
          </cell>
          <cell r="D575">
            <v>28.78</v>
          </cell>
          <cell r="E575">
            <v>47.95</v>
          </cell>
          <cell r="F575">
            <v>0</v>
          </cell>
          <cell r="G575">
            <v>0</v>
          </cell>
        </row>
        <row r="576">
          <cell r="A576" t="str">
            <v>MZ313817</v>
          </cell>
          <cell r="B576" t="str">
            <v>D</v>
          </cell>
          <cell r="C576" t="str">
            <v>DEFLECTOR- SUNROOF WIND OUTLANDER &lt;2013</v>
          </cell>
          <cell r="D576">
            <v>93.22</v>
          </cell>
          <cell r="E576">
            <v>143.94999999999999</v>
          </cell>
          <cell r="F576">
            <v>21</v>
          </cell>
          <cell r="G576">
            <v>0</v>
          </cell>
        </row>
        <row r="577">
          <cell r="A577" t="str">
            <v>MZ313818</v>
          </cell>
          <cell r="B577" t="str">
            <v>Z</v>
          </cell>
          <cell r="C577" t="str">
            <v>PROTECTOR- HOOD</v>
          </cell>
          <cell r="D577">
            <v>77.36</v>
          </cell>
          <cell r="E577">
            <v>128.94999999999999</v>
          </cell>
          <cell r="F577">
            <v>0</v>
          </cell>
          <cell r="G577">
            <v>0</v>
          </cell>
        </row>
        <row r="578">
          <cell r="A578" t="str">
            <v>MZ313819</v>
          </cell>
          <cell r="B578" t="str">
            <v>S</v>
          </cell>
          <cell r="C578" t="str">
            <v>PHONE KIT- BLUETOOTH HANDSFREE</v>
          </cell>
          <cell r="D578">
            <v>705.61</v>
          </cell>
          <cell r="E578">
            <v>1085.95</v>
          </cell>
          <cell r="F578">
            <v>0</v>
          </cell>
          <cell r="G578">
            <v>0</v>
          </cell>
        </row>
        <row r="579">
          <cell r="A579" t="str">
            <v>MZ313821</v>
          </cell>
          <cell r="B579" t="str">
            <v>S</v>
          </cell>
          <cell r="C579" t="str">
            <v>FOGLIGHT KIT</v>
          </cell>
          <cell r="D579">
            <v>117.57</v>
          </cell>
          <cell r="E579">
            <v>195.95</v>
          </cell>
          <cell r="F579">
            <v>0</v>
          </cell>
          <cell r="G579">
            <v>0</v>
          </cell>
        </row>
        <row r="580">
          <cell r="A580" t="str">
            <v>MZ313829</v>
          </cell>
          <cell r="B580" t="str">
            <v>X</v>
          </cell>
          <cell r="C580" t="str">
            <v>CARGO MAT- W/O SUBWOOFER</v>
          </cell>
          <cell r="D580">
            <v>86.37</v>
          </cell>
          <cell r="E580">
            <v>143.94999999999999</v>
          </cell>
          <cell r="F580">
            <v>0</v>
          </cell>
          <cell r="G580">
            <v>0</v>
          </cell>
        </row>
        <row r="581">
          <cell r="A581" t="str">
            <v>MZ313837</v>
          </cell>
          <cell r="B581" t="str">
            <v>S</v>
          </cell>
          <cell r="C581" t="str">
            <v>SPOILER- REAR LIP- UNPAINTED</v>
          </cell>
          <cell r="D581">
            <v>293.98</v>
          </cell>
          <cell r="E581">
            <v>489.95</v>
          </cell>
          <cell r="F581">
            <v>0</v>
          </cell>
          <cell r="G581">
            <v>0</v>
          </cell>
        </row>
        <row r="582">
          <cell r="A582" t="str">
            <v>MZ313944</v>
          </cell>
          <cell r="B582" t="str">
            <v>C</v>
          </cell>
          <cell r="C582" t="str">
            <v>PAINT- PEN- DEEP BLUE (T65)</v>
          </cell>
          <cell r="D582">
            <v>15.57</v>
          </cell>
          <cell r="E582">
            <v>23.95</v>
          </cell>
          <cell r="F582">
            <v>6</v>
          </cell>
          <cell r="G582">
            <v>0</v>
          </cell>
        </row>
        <row r="583">
          <cell r="A583" t="str">
            <v>MZ313945</v>
          </cell>
          <cell r="B583" t="str">
            <v>S</v>
          </cell>
          <cell r="C583" t="str">
            <v>PAINT- PEN- AQUA (A86)</v>
          </cell>
          <cell r="D583">
            <v>15.57</v>
          </cell>
          <cell r="E583">
            <v>23.95</v>
          </cell>
          <cell r="F583">
            <v>1</v>
          </cell>
          <cell r="G583">
            <v>0</v>
          </cell>
        </row>
        <row r="584">
          <cell r="A584" t="str">
            <v>MZ313948</v>
          </cell>
          <cell r="B584" t="str">
            <v>U</v>
          </cell>
          <cell r="C584" t="str">
            <v>EXHAUST FINISHER</v>
          </cell>
          <cell r="D584">
            <v>43.17</v>
          </cell>
          <cell r="E584">
            <v>71.95</v>
          </cell>
          <cell r="F584">
            <v>0</v>
          </cell>
          <cell r="G584">
            <v>0</v>
          </cell>
        </row>
        <row r="585">
          <cell r="A585" t="str">
            <v>MZ313951</v>
          </cell>
          <cell r="B585" t="str">
            <v>F</v>
          </cell>
          <cell r="C585" t="str">
            <v>CARGO MAT- W/SUB-WOFFER</v>
          </cell>
          <cell r="D585">
            <v>78.569999999999993</v>
          </cell>
          <cell r="E585">
            <v>130.94999999999999</v>
          </cell>
          <cell r="F585">
            <v>0</v>
          </cell>
          <cell r="G585">
            <v>0</v>
          </cell>
        </row>
        <row r="586">
          <cell r="A586" t="str">
            <v>MZ313952</v>
          </cell>
          <cell r="B586" t="str">
            <v>F</v>
          </cell>
          <cell r="C586" t="str">
            <v>CARGO MAT- W/O SUB-WOFFER</v>
          </cell>
          <cell r="D586">
            <v>77.97</v>
          </cell>
          <cell r="E586">
            <v>129.94999999999999</v>
          </cell>
          <cell r="F586">
            <v>0</v>
          </cell>
          <cell r="G586">
            <v>0</v>
          </cell>
        </row>
        <row r="587">
          <cell r="A587" t="str">
            <v>MZ313953</v>
          </cell>
          <cell r="B587" t="str">
            <v>S</v>
          </cell>
          <cell r="C587" t="str">
            <v>LICENSE PLATE FRAME-LANCER DOM</v>
          </cell>
          <cell r="D587">
            <v>41.37</v>
          </cell>
          <cell r="E587">
            <v>68.95</v>
          </cell>
          <cell r="F587">
            <v>0</v>
          </cell>
          <cell r="G587">
            <v>0</v>
          </cell>
        </row>
        <row r="588">
          <cell r="A588" t="str">
            <v>MZ313956</v>
          </cell>
          <cell r="B588" t="str">
            <v>D</v>
          </cell>
          <cell r="C588" t="str">
            <v>PROTECTOR- HOOD</v>
          </cell>
          <cell r="D588">
            <v>127.77</v>
          </cell>
          <cell r="E588">
            <v>212.95</v>
          </cell>
          <cell r="F588">
            <v>6</v>
          </cell>
          <cell r="G588">
            <v>0</v>
          </cell>
        </row>
        <row r="589">
          <cell r="A589" t="str">
            <v>MZ313957</v>
          </cell>
          <cell r="B589" t="str">
            <v>C</v>
          </cell>
          <cell r="C589" t="str">
            <v>PROTECTOR- SUNROOF WIND</v>
          </cell>
          <cell r="D589">
            <v>95.52</v>
          </cell>
          <cell r="E589">
            <v>146.94999999999999</v>
          </cell>
          <cell r="F589">
            <v>12</v>
          </cell>
          <cell r="G589">
            <v>0</v>
          </cell>
        </row>
        <row r="590">
          <cell r="A590" t="str">
            <v>MZ313965</v>
          </cell>
          <cell r="B590" t="str">
            <v>F</v>
          </cell>
          <cell r="C590" t="str">
            <v>AIR DAM- SPORT FRONT- PRIMERED</v>
          </cell>
          <cell r="D590">
            <v>430.17</v>
          </cell>
          <cell r="E590">
            <v>716.95</v>
          </cell>
          <cell r="F590">
            <v>0</v>
          </cell>
          <cell r="G590">
            <v>0</v>
          </cell>
        </row>
        <row r="591">
          <cell r="A591" t="str">
            <v>MZ313966</v>
          </cell>
          <cell r="B591" t="str">
            <v>F</v>
          </cell>
          <cell r="C591" t="str">
            <v>SPOILER- SPORT RR PRIMERED</v>
          </cell>
          <cell r="D591">
            <v>360.58</v>
          </cell>
          <cell r="E591">
            <v>600.95000000000005</v>
          </cell>
          <cell r="F591">
            <v>0</v>
          </cell>
          <cell r="G591">
            <v>0</v>
          </cell>
        </row>
        <row r="592">
          <cell r="A592" t="str">
            <v>MZ313967</v>
          </cell>
          <cell r="B592" t="str">
            <v>Z</v>
          </cell>
          <cell r="C592" t="str">
            <v>EXHAUST FINISHER</v>
          </cell>
          <cell r="D592">
            <v>51.57</v>
          </cell>
          <cell r="E592">
            <v>85.95</v>
          </cell>
          <cell r="F592">
            <v>0</v>
          </cell>
          <cell r="G592">
            <v>0</v>
          </cell>
        </row>
        <row r="593">
          <cell r="A593" t="str">
            <v>MZ313969</v>
          </cell>
          <cell r="B593" t="str">
            <v>U</v>
          </cell>
          <cell r="C593" t="str">
            <v>WIRING HARNESS- TRAILER HITCH</v>
          </cell>
          <cell r="D593">
            <v>103.36</v>
          </cell>
          <cell r="E593">
            <v>159.94999999999999</v>
          </cell>
          <cell r="F593">
            <v>0</v>
          </cell>
          <cell r="G593">
            <v>0</v>
          </cell>
        </row>
        <row r="594">
          <cell r="A594" t="str">
            <v>MZ313972</v>
          </cell>
          <cell r="B594" t="str">
            <v>F</v>
          </cell>
          <cell r="C594" t="str">
            <v>SPOILER- RR LIP- PRIMERED</v>
          </cell>
          <cell r="D594">
            <v>185.97</v>
          </cell>
          <cell r="E594">
            <v>309.95</v>
          </cell>
          <cell r="F594">
            <v>0</v>
          </cell>
          <cell r="G594">
            <v>0</v>
          </cell>
        </row>
        <row r="595">
          <cell r="A595" t="str">
            <v>MZ313975</v>
          </cell>
          <cell r="B595" t="str">
            <v>F</v>
          </cell>
          <cell r="C595" t="str">
            <v>AERO KIT- 5-PC OPTIMIST- F17</v>
          </cell>
          <cell r="D595">
            <v>994.78</v>
          </cell>
          <cell r="E595">
            <v>1657.95</v>
          </cell>
          <cell r="F595">
            <v>0</v>
          </cell>
          <cell r="G595">
            <v>0</v>
          </cell>
        </row>
        <row r="596">
          <cell r="A596" t="str">
            <v>MZ313976</v>
          </cell>
          <cell r="B596" t="str">
            <v>S</v>
          </cell>
          <cell r="C596" t="str">
            <v>AERO KIT-5PC-W12</v>
          </cell>
          <cell r="D596">
            <v>1375.17</v>
          </cell>
          <cell r="E596">
            <v>2291.9499999999998</v>
          </cell>
          <cell r="F596">
            <v>0</v>
          </cell>
          <cell r="G596">
            <v>0</v>
          </cell>
        </row>
        <row r="597">
          <cell r="A597" t="str">
            <v>MZ313991</v>
          </cell>
          <cell r="B597" t="str">
            <v>S</v>
          </cell>
          <cell r="C597" t="str">
            <v>SPOILER- SPORT RR A33 SILVER</v>
          </cell>
          <cell r="D597">
            <v>479.38</v>
          </cell>
          <cell r="E597">
            <v>798.95</v>
          </cell>
          <cell r="F597">
            <v>0</v>
          </cell>
          <cell r="G597">
            <v>0</v>
          </cell>
        </row>
        <row r="598">
          <cell r="A598" t="str">
            <v>MZ313992</v>
          </cell>
          <cell r="B598" t="str">
            <v>S</v>
          </cell>
          <cell r="C598" t="str">
            <v>SPOILER- SPORT RR M03 SUNSET</v>
          </cell>
          <cell r="D598">
            <v>560.97</v>
          </cell>
          <cell r="E598">
            <v>934.95</v>
          </cell>
          <cell r="F598">
            <v>0</v>
          </cell>
          <cell r="G598">
            <v>0</v>
          </cell>
        </row>
        <row r="599">
          <cell r="A599" t="str">
            <v>MZ313993</v>
          </cell>
          <cell r="B599" t="str">
            <v>S</v>
          </cell>
          <cell r="C599" t="str">
            <v>SPOILER- SPORT RR P36 RAVE RED</v>
          </cell>
          <cell r="D599">
            <v>560.97</v>
          </cell>
          <cell r="E599">
            <v>934.95</v>
          </cell>
          <cell r="F599">
            <v>0</v>
          </cell>
          <cell r="G599">
            <v>0</v>
          </cell>
        </row>
        <row r="600">
          <cell r="A600" t="str">
            <v>MZ313994</v>
          </cell>
          <cell r="B600" t="str">
            <v>S</v>
          </cell>
          <cell r="C600" t="str">
            <v>SPOILER- SPORT RR W12 WHITE</v>
          </cell>
          <cell r="D600">
            <v>524.97</v>
          </cell>
          <cell r="E600">
            <v>874.95</v>
          </cell>
          <cell r="F600">
            <v>0</v>
          </cell>
          <cell r="G600">
            <v>0</v>
          </cell>
        </row>
        <row r="601">
          <cell r="A601" t="str">
            <v>MZ313995</v>
          </cell>
          <cell r="B601" t="str">
            <v>Z</v>
          </cell>
          <cell r="C601" t="str">
            <v>SPOILER- SPORT RR X13 BLACK</v>
          </cell>
          <cell r="D601">
            <v>524.97</v>
          </cell>
          <cell r="E601">
            <v>874.95</v>
          </cell>
          <cell r="F601">
            <v>0</v>
          </cell>
          <cell r="G601">
            <v>0</v>
          </cell>
        </row>
        <row r="602">
          <cell r="A602" t="str">
            <v>MZ314000</v>
          </cell>
          <cell r="B602" t="str">
            <v>A</v>
          </cell>
          <cell r="C602" t="str">
            <v>PAINT- RALLY RED P26</v>
          </cell>
          <cell r="D602">
            <v>15.57</v>
          </cell>
          <cell r="E602">
            <v>23.95</v>
          </cell>
          <cell r="F602">
            <v>22</v>
          </cell>
          <cell r="G602">
            <v>0</v>
          </cell>
        </row>
        <row r="603">
          <cell r="A603" t="str">
            <v>MZ314001</v>
          </cell>
          <cell r="B603" t="str">
            <v>S</v>
          </cell>
          <cell r="C603" t="str">
            <v>PAINT- DESERT SAND S18</v>
          </cell>
          <cell r="D603">
            <v>13.16</v>
          </cell>
          <cell r="E603">
            <v>21.95</v>
          </cell>
          <cell r="F603">
            <v>0</v>
          </cell>
          <cell r="G603">
            <v>0</v>
          </cell>
        </row>
        <row r="604">
          <cell r="A604" t="str">
            <v>MZ314002</v>
          </cell>
          <cell r="B604" t="str">
            <v>F</v>
          </cell>
          <cell r="C604" t="str">
            <v>HOOD PROTECTOR- SERVICE KIT</v>
          </cell>
          <cell r="D604">
            <v>50.18</v>
          </cell>
          <cell r="E604">
            <v>83.64</v>
          </cell>
          <cell r="F604">
            <v>0</v>
          </cell>
          <cell r="G604">
            <v>0</v>
          </cell>
        </row>
        <row r="605">
          <cell r="A605" t="str">
            <v>MZ314003</v>
          </cell>
          <cell r="B605" t="str">
            <v>S</v>
          </cell>
          <cell r="C605" t="str">
            <v>SERVICE KIT- SUNROOF DEFLECTOR</v>
          </cell>
          <cell r="D605">
            <v>16.77</v>
          </cell>
          <cell r="E605">
            <v>27.95</v>
          </cell>
          <cell r="F605">
            <v>0</v>
          </cell>
          <cell r="G605">
            <v>0</v>
          </cell>
        </row>
        <row r="606">
          <cell r="A606" t="str">
            <v>MZ314013</v>
          </cell>
          <cell r="B606" t="str">
            <v>Z</v>
          </cell>
          <cell r="C606" t="str">
            <v>OUTLANDER RACK KIT- SQUARE BAR</v>
          </cell>
          <cell r="D606">
            <v>275.37</v>
          </cell>
          <cell r="E606">
            <v>458.95</v>
          </cell>
          <cell r="F606">
            <v>0</v>
          </cell>
          <cell r="G606">
            <v>0</v>
          </cell>
        </row>
        <row r="607">
          <cell r="A607" t="str">
            <v>MZ314015</v>
          </cell>
          <cell r="B607" t="str">
            <v>Z</v>
          </cell>
          <cell r="C607" t="str">
            <v>OUTLANDER RACK KIT- AERO BAR</v>
          </cell>
          <cell r="D607">
            <v>283.17</v>
          </cell>
          <cell r="E607">
            <v>471.95</v>
          </cell>
          <cell r="F607">
            <v>0</v>
          </cell>
          <cell r="G607">
            <v>0</v>
          </cell>
        </row>
        <row r="608">
          <cell r="A608" t="str">
            <v>MZ314029</v>
          </cell>
          <cell r="B608" t="str">
            <v>U</v>
          </cell>
          <cell r="C608" t="str">
            <v>BIKE- UPRIGHT MOUNT</v>
          </cell>
          <cell r="D608">
            <v>230.37</v>
          </cell>
          <cell r="E608">
            <v>383.95</v>
          </cell>
          <cell r="F608">
            <v>0</v>
          </cell>
          <cell r="G608">
            <v>0</v>
          </cell>
        </row>
        <row r="609">
          <cell r="A609" t="str">
            <v>MZ314030</v>
          </cell>
          <cell r="B609" t="str">
            <v>Z</v>
          </cell>
          <cell r="C609" t="str">
            <v>BIKE ATTACHMENT- FORK MOUNT</v>
          </cell>
          <cell r="D609">
            <v>148.16</v>
          </cell>
          <cell r="E609">
            <v>227.95</v>
          </cell>
          <cell r="F609">
            <v>0</v>
          </cell>
          <cell r="G609">
            <v>0</v>
          </cell>
        </row>
        <row r="610">
          <cell r="A610" t="str">
            <v>MZ314031</v>
          </cell>
          <cell r="B610" t="str">
            <v>S</v>
          </cell>
          <cell r="C610" t="str">
            <v>LUGGAGE NET- BASKET</v>
          </cell>
          <cell r="D610">
            <v>30.56</v>
          </cell>
          <cell r="E610">
            <v>50.95</v>
          </cell>
          <cell r="F610">
            <v>0</v>
          </cell>
          <cell r="G610">
            <v>0</v>
          </cell>
        </row>
        <row r="611">
          <cell r="A611" t="str">
            <v>MZ314032</v>
          </cell>
          <cell r="B611" t="str">
            <v>S</v>
          </cell>
          <cell r="C611" t="str">
            <v>SKI ATTCHMNT- 6 PRS - RVR &lt;2012</v>
          </cell>
          <cell r="D611">
            <v>185</v>
          </cell>
          <cell r="E611">
            <v>229.95</v>
          </cell>
          <cell r="F611">
            <v>0</v>
          </cell>
          <cell r="G611">
            <v>0</v>
          </cell>
        </row>
        <row r="612">
          <cell r="A612" t="str">
            <v>MZ314036</v>
          </cell>
          <cell r="B612" t="str">
            <v>S</v>
          </cell>
          <cell r="C612" t="str">
            <v>CROSSBAR- AERO 48"</v>
          </cell>
          <cell r="D612">
            <v>110.97</v>
          </cell>
          <cell r="E612">
            <v>184.95</v>
          </cell>
          <cell r="F612">
            <v>0</v>
          </cell>
          <cell r="G612">
            <v>0</v>
          </cell>
        </row>
        <row r="613">
          <cell r="A613" t="str">
            <v>MZ314037</v>
          </cell>
          <cell r="B613" t="str">
            <v>S</v>
          </cell>
          <cell r="C613" t="str">
            <v>CROSSBAR- SQUARE 48" X 2"</v>
          </cell>
          <cell r="D613">
            <v>58.17</v>
          </cell>
          <cell r="E613">
            <v>96.95</v>
          </cell>
          <cell r="F613">
            <v>0</v>
          </cell>
          <cell r="G613">
            <v>0</v>
          </cell>
        </row>
        <row r="614">
          <cell r="A614" t="str">
            <v>MZ314039</v>
          </cell>
          <cell r="B614" t="str">
            <v>S</v>
          </cell>
          <cell r="C614" t="str">
            <v>NOSE MASK- LANCER GTS</v>
          </cell>
          <cell r="D614">
            <v>182.97</v>
          </cell>
          <cell r="E614">
            <v>304.95</v>
          </cell>
          <cell r="F614">
            <v>0</v>
          </cell>
          <cell r="G614">
            <v>0</v>
          </cell>
        </row>
        <row r="615">
          <cell r="A615" t="str">
            <v>MZ314041</v>
          </cell>
          <cell r="B615" t="str">
            <v>U</v>
          </cell>
          <cell r="C615" t="str">
            <v>FUEL DOOR- ALLOY</v>
          </cell>
          <cell r="D615">
            <v>172.17</v>
          </cell>
          <cell r="E615">
            <v>286.95</v>
          </cell>
          <cell r="F615">
            <v>0</v>
          </cell>
          <cell r="G615">
            <v>0</v>
          </cell>
        </row>
        <row r="616">
          <cell r="A616" t="str">
            <v>MZ314045</v>
          </cell>
          <cell r="B616" t="str">
            <v>C</v>
          </cell>
          <cell r="C616" t="str">
            <v>PAINT- PEN NORTHSTAR WHITE W12</v>
          </cell>
          <cell r="D616">
            <v>15.57</v>
          </cell>
          <cell r="E616">
            <v>23.95</v>
          </cell>
          <cell r="F616">
            <v>7</v>
          </cell>
          <cell r="G616">
            <v>0</v>
          </cell>
        </row>
        <row r="617">
          <cell r="A617" t="str">
            <v>MZ314046</v>
          </cell>
          <cell r="B617" t="str">
            <v>C</v>
          </cell>
          <cell r="C617" t="str">
            <v>PAINT-PEN- QUICK SILVER U04</v>
          </cell>
          <cell r="D617">
            <v>15.57</v>
          </cell>
          <cell r="E617">
            <v>23.95</v>
          </cell>
          <cell r="F617">
            <v>3</v>
          </cell>
          <cell r="G617">
            <v>0</v>
          </cell>
        </row>
        <row r="618">
          <cell r="A618" t="str">
            <v>MZ314048</v>
          </cell>
          <cell r="B618" t="str">
            <v>D</v>
          </cell>
          <cell r="C618" t="str">
            <v>PAINT- PEN OPTIMIST GREENN F17</v>
          </cell>
          <cell r="D618">
            <v>15.57</v>
          </cell>
          <cell r="E618">
            <v>23.95</v>
          </cell>
          <cell r="F618">
            <v>12</v>
          </cell>
          <cell r="G618">
            <v>0</v>
          </cell>
        </row>
        <row r="619">
          <cell r="A619" t="str">
            <v>MZ314049</v>
          </cell>
          <cell r="B619" t="str">
            <v>C</v>
          </cell>
          <cell r="C619" t="str">
            <v>PAINT- PEN RAVE RED P36</v>
          </cell>
          <cell r="D619">
            <v>15.57</v>
          </cell>
          <cell r="E619">
            <v>23.95</v>
          </cell>
          <cell r="F619">
            <v>8</v>
          </cell>
          <cell r="G619">
            <v>0</v>
          </cell>
        </row>
        <row r="620">
          <cell r="A620" t="str">
            <v>MZ314054</v>
          </cell>
          <cell r="B620" t="str">
            <v>Q</v>
          </cell>
          <cell r="C620" t="str">
            <v>BLACK FILM KIT- FRONT</v>
          </cell>
          <cell r="D620">
            <v>50.97</v>
          </cell>
          <cell r="E620">
            <v>84.95</v>
          </cell>
          <cell r="F620">
            <v>4</v>
          </cell>
          <cell r="G620">
            <v>0</v>
          </cell>
        </row>
        <row r="621">
          <cell r="A621" t="str">
            <v>MZ314070</v>
          </cell>
          <cell r="B621" t="str">
            <v>F</v>
          </cell>
          <cell r="C621" t="str">
            <v>INTERIOR PANEL HEATER CONT</v>
          </cell>
          <cell r="D621">
            <v>65.97</v>
          </cell>
          <cell r="E621">
            <v>109.95</v>
          </cell>
          <cell r="F621">
            <v>0</v>
          </cell>
          <cell r="G621">
            <v>0</v>
          </cell>
        </row>
        <row r="622">
          <cell r="A622" t="str">
            <v>MZ314080</v>
          </cell>
          <cell r="B622" t="str">
            <v>U</v>
          </cell>
          <cell r="C622" t="str">
            <v>FLOOR MATS- ALL WEATHER</v>
          </cell>
          <cell r="D622">
            <v>118.77</v>
          </cell>
          <cell r="E622">
            <v>197.95</v>
          </cell>
          <cell r="F622">
            <v>0</v>
          </cell>
          <cell r="G622">
            <v>0</v>
          </cell>
        </row>
        <row r="623">
          <cell r="A623" t="str">
            <v>MZ314081</v>
          </cell>
          <cell r="B623" t="str">
            <v>F</v>
          </cell>
          <cell r="C623" t="str">
            <v>SPOILER- RR LIP- QUICK SILVER</v>
          </cell>
          <cell r="D623">
            <v>233.97</v>
          </cell>
          <cell r="E623">
            <v>389.95</v>
          </cell>
          <cell r="F623">
            <v>0</v>
          </cell>
          <cell r="G623">
            <v>0</v>
          </cell>
        </row>
        <row r="624">
          <cell r="A624" t="str">
            <v>MZ314084</v>
          </cell>
          <cell r="B624" t="str">
            <v>F</v>
          </cell>
          <cell r="C624" t="str">
            <v>SPOILER- RR LIP- RAVE RED</v>
          </cell>
          <cell r="D624">
            <v>233.97</v>
          </cell>
          <cell r="E624">
            <v>389.95</v>
          </cell>
          <cell r="F624">
            <v>0</v>
          </cell>
          <cell r="G624">
            <v>0</v>
          </cell>
        </row>
        <row r="625">
          <cell r="A625" t="str">
            <v>MZ314085</v>
          </cell>
          <cell r="B625" t="str">
            <v>U</v>
          </cell>
          <cell r="C625" t="str">
            <v>SPOILER- RR LIP- CANYON BEIGE</v>
          </cell>
          <cell r="D625">
            <v>185.97</v>
          </cell>
          <cell r="E625">
            <v>309.95</v>
          </cell>
          <cell r="F625">
            <v>0</v>
          </cell>
          <cell r="G625">
            <v>0</v>
          </cell>
        </row>
        <row r="626">
          <cell r="A626" t="str">
            <v>MZ314087</v>
          </cell>
          <cell r="B626" t="str">
            <v>S</v>
          </cell>
          <cell r="C626" t="str">
            <v>SPOILER- RR LIP- KALAPANA BLK</v>
          </cell>
          <cell r="D626">
            <v>233.97</v>
          </cell>
          <cell r="E626">
            <v>389.95</v>
          </cell>
          <cell r="F626">
            <v>0</v>
          </cell>
          <cell r="G626">
            <v>0</v>
          </cell>
        </row>
        <row r="627">
          <cell r="A627" t="str">
            <v>MZ314099</v>
          </cell>
          <cell r="B627" t="str">
            <v>B</v>
          </cell>
          <cell r="C627" t="str">
            <v>TOUCH-UP PAINT-PEN-OCTANE BLUE</v>
          </cell>
          <cell r="D627">
            <v>15.57</v>
          </cell>
          <cell r="E627">
            <v>23.95</v>
          </cell>
          <cell r="F627">
            <v>84</v>
          </cell>
          <cell r="G627">
            <v>0</v>
          </cell>
        </row>
        <row r="628">
          <cell r="A628" t="str">
            <v>MZ314100</v>
          </cell>
          <cell r="B628" t="str">
            <v>C</v>
          </cell>
          <cell r="C628" t="str">
            <v>PAINT- PEN- PHANTOM BLACK U02</v>
          </cell>
          <cell r="D628">
            <v>15.57</v>
          </cell>
          <cell r="E628">
            <v>23.95</v>
          </cell>
          <cell r="F628">
            <v>2</v>
          </cell>
          <cell r="G628">
            <v>0</v>
          </cell>
        </row>
        <row r="629">
          <cell r="A629" t="str">
            <v>MZ314101</v>
          </cell>
          <cell r="B629" t="str">
            <v>Z</v>
          </cell>
          <cell r="C629" t="str">
            <v>AIRDAM- FR- SPORT- PRIMERED</v>
          </cell>
          <cell r="D629">
            <v>281.97000000000003</v>
          </cell>
          <cell r="E629">
            <v>469.95</v>
          </cell>
          <cell r="F629">
            <v>0</v>
          </cell>
          <cell r="G629">
            <v>0</v>
          </cell>
        </row>
        <row r="630">
          <cell r="A630" t="str">
            <v>MZ314102</v>
          </cell>
          <cell r="B630" t="str">
            <v>F</v>
          </cell>
          <cell r="C630" t="str">
            <v>SPATS- SPORT- RR QTR. PRIMERED</v>
          </cell>
          <cell r="D630">
            <v>249.58</v>
          </cell>
          <cell r="E630">
            <v>415.95</v>
          </cell>
          <cell r="F630">
            <v>0</v>
          </cell>
          <cell r="G630">
            <v>0</v>
          </cell>
        </row>
        <row r="631">
          <cell r="A631" t="str">
            <v>MZ314103</v>
          </cell>
          <cell r="B631" t="str">
            <v>S</v>
          </cell>
          <cell r="C631" t="str">
            <v>FOGLIGHT KIT</v>
          </cell>
          <cell r="D631">
            <v>117.57</v>
          </cell>
          <cell r="E631">
            <v>195.95</v>
          </cell>
          <cell r="F631">
            <v>0</v>
          </cell>
          <cell r="G631">
            <v>0</v>
          </cell>
        </row>
        <row r="632">
          <cell r="A632" t="str">
            <v>MZ314111</v>
          </cell>
          <cell r="B632" t="str">
            <v>D</v>
          </cell>
          <cell r="C632" t="str">
            <v>LICENSE PLATE FRAME-LANCER EVO</v>
          </cell>
          <cell r="D632">
            <v>51.15</v>
          </cell>
          <cell r="E632">
            <v>85.95</v>
          </cell>
          <cell r="F632">
            <v>1</v>
          </cell>
          <cell r="G632">
            <v>0</v>
          </cell>
        </row>
        <row r="633">
          <cell r="A633" t="str">
            <v>MZ314114</v>
          </cell>
          <cell r="B633" t="str">
            <v>S</v>
          </cell>
          <cell r="C633" t="str">
            <v>FUEL DOOR- SERVICE KIT- ALLOY</v>
          </cell>
          <cell r="D633">
            <v>16.77</v>
          </cell>
          <cell r="E633">
            <v>27.95</v>
          </cell>
          <cell r="F633">
            <v>1</v>
          </cell>
          <cell r="G633">
            <v>0</v>
          </cell>
        </row>
        <row r="634">
          <cell r="A634" t="str">
            <v>MZ314115</v>
          </cell>
          <cell r="B634" t="str">
            <v>D</v>
          </cell>
          <cell r="C634" t="str">
            <v>PAINT- PEN- MAIZEN BLUE- D08</v>
          </cell>
          <cell r="D634">
            <v>15.57</v>
          </cell>
          <cell r="E634">
            <v>23.95</v>
          </cell>
          <cell r="F634">
            <v>4</v>
          </cell>
          <cell r="G634">
            <v>0</v>
          </cell>
        </row>
        <row r="635">
          <cell r="A635" t="str">
            <v>MZ314116</v>
          </cell>
          <cell r="B635" t="str">
            <v>Z</v>
          </cell>
          <cell r="C635" t="str">
            <v>MUDGUARDS- FR- W/SIDE AIR DAM</v>
          </cell>
          <cell r="D635">
            <v>58.17</v>
          </cell>
          <cell r="E635">
            <v>96.95</v>
          </cell>
          <cell r="F635">
            <v>0</v>
          </cell>
          <cell r="G635">
            <v>0</v>
          </cell>
        </row>
        <row r="636">
          <cell r="A636" t="str">
            <v>MZ314118</v>
          </cell>
          <cell r="B636" t="str">
            <v>C</v>
          </cell>
          <cell r="C636" t="str">
            <v>PAINT-PEN-TOUCH-UP-SOLAR (Y19)</v>
          </cell>
          <cell r="D636">
            <v>15.57</v>
          </cell>
          <cell r="E636">
            <v>23.95</v>
          </cell>
          <cell r="F636">
            <v>7</v>
          </cell>
          <cell r="G636">
            <v>0</v>
          </cell>
        </row>
        <row r="637">
          <cell r="A637" t="str">
            <v>MZ314125</v>
          </cell>
          <cell r="B637" t="str">
            <v>Z</v>
          </cell>
          <cell r="C637" t="str">
            <v>AERO KIT- SPORT- NORTHSTAR W12</v>
          </cell>
          <cell r="D637">
            <v>1416.57</v>
          </cell>
          <cell r="E637">
            <v>2360.9499999999998</v>
          </cell>
          <cell r="F637">
            <v>0</v>
          </cell>
          <cell r="G637">
            <v>0</v>
          </cell>
        </row>
        <row r="638">
          <cell r="A638" t="str">
            <v>MZ314126</v>
          </cell>
          <cell r="B638" t="str">
            <v>D</v>
          </cell>
          <cell r="C638" t="str">
            <v>AERO KIT- SPORT- KALAPANA BLK</v>
          </cell>
          <cell r="D638">
            <v>1739.79</v>
          </cell>
          <cell r="E638">
            <v>2899.95</v>
          </cell>
          <cell r="F638">
            <v>0</v>
          </cell>
          <cell r="G638">
            <v>0</v>
          </cell>
        </row>
        <row r="639">
          <cell r="A639" t="str">
            <v>MZ314127</v>
          </cell>
          <cell r="B639" t="str">
            <v>Z</v>
          </cell>
          <cell r="C639" t="str">
            <v>AERO KIT- SPORT- QUICK SILVER</v>
          </cell>
          <cell r="D639">
            <v>1416.57</v>
          </cell>
          <cell r="E639">
            <v>2360.9499999999998</v>
          </cell>
          <cell r="F639">
            <v>0</v>
          </cell>
          <cell r="G639">
            <v>0</v>
          </cell>
        </row>
        <row r="640">
          <cell r="A640" t="str">
            <v>MZ314129</v>
          </cell>
          <cell r="B640" t="str">
            <v>F</v>
          </cell>
          <cell r="C640" t="str">
            <v>AERO KIT- SPORT- RAVE RED P36</v>
          </cell>
          <cell r="D640">
            <v>1416.59</v>
          </cell>
          <cell r="E640">
            <v>2360.9499999999998</v>
          </cell>
          <cell r="F640">
            <v>0</v>
          </cell>
          <cell r="G640">
            <v>0</v>
          </cell>
        </row>
        <row r="641">
          <cell r="A641" t="str">
            <v>MZ314131</v>
          </cell>
          <cell r="B641" t="str">
            <v>F</v>
          </cell>
          <cell r="C641" t="str">
            <v>AERO KIT- SPORT- MAIZEN BLUE</v>
          </cell>
          <cell r="D641">
            <v>1416.59</v>
          </cell>
          <cell r="E641">
            <v>2360.9499999999998</v>
          </cell>
          <cell r="F641">
            <v>0</v>
          </cell>
          <cell r="G641">
            <v>0</v>
          </cell>
        </row>
        <row r="642">
          <cell r="A642" t="str">
            <v>MZ314132</v>
          </cell>
          <cell r="B642" t="str">
            <v>Z</v>
          </cell>
          <cell r="C642" t="str">
            <v>AERO KIT- SPORT- SUNSET PEARLE</v>
          </cell>
          <cell r="D642">
            <v>1416.57</v>
          </cell>
          <cell r="E642">
            <v>2360.9499999999998</v>
          </cell>
          <cell r="F642">
            <v>0</v>
          </cell>
          <cell r="G642">
            <v>0</v>
          </cell>
        </row>
        <row r="643">
          <cell r="A643" t="str">
            <v>MZ314133</v>
          </cell>
          <cell r="B643" t="str">
            <v>Z</v>
          </cell>
          <cell r="C643" t="str">
            <v>AERO KIT- SPORT- SOLAR Y19</v>
          </cell>
          <cell r="D643">
            <v>1416.57</v>
          </cell>
          <cell r="E643">
            <v>2360.9499999999998</v>
          </cell>
          <cell r="F643">
            <v>0</v>
          </cell>
          <cell r="G643">
            <v>0</v>
          </cell>
        </row>
        <row r="644">
          <cell r="A644" t="str">
            <v>MZ314143</v>
          </cell>
          <cell r="B644" t="str">
            <v>Z</v>
          </cell>
          <cell r="C644" t="str">
            <v>SPOILER- SPORT RR-QUICK SILVER</v>
          </cell>
          <cell r="D644">
            <v>484.18</v>
          </cell>
          <cell r="E644">
            <v>806.95</v>
          </cell>
          <cell r="F644">
            <v>0</v>
          </cell>
          <cell r="G644">
            <v>0</v>
          </cell>
        </row>
        <row r="645">
          <cell r="A645" t="str">
            <v>MZ314144</v>
          </cell>
          <cell r="B645" t="str">
            <v>Z</v>
          </cell>
          <cell r="C645" t="str">
            <v>SPOILER- SPORT RR-SATIN MEISAI</v>
          </cell>
          <cell r="D645">
            <v>484.18</v>
          </cell>
          <cell r="E645">
            <v>806.95</v>
          </cell>
          <cell r="F645">
            <v>0</v>
          </cell>
          <cell r="G645">
            <v>0</v>
          </cell>
        </row>
        <row r="646">
          <cell r="A646" t="str">
            <v>MZ314145</v>
          </cell>
          <cell r="B646" t="str">
            <v>Z</v>
          </cell>
          <cell r="C646" t="str">
            <v>SPOILER- SPORT RR-MAIZEN BLUE</v>
          </cell>
          <cell r="D646">
            <v>524.97</v>
          </cell>
          <cell r="E646">
            <v>874.95</v>
          </cell>
          <cell r="F646">
            <v>0</v>
          </cell>
          <cell r="G646">
            <v>0</v>
          </cell>
        </row>
        <row r="647">
          <cell r="A647" t="str">
            <v>MZ314146</v>
          </cell>
          <cell r="B647" t="str">
            <v>Z</v>
          </cell>
          <cell r="C647" t="str">
            <v>SPOILER- SPORT RR- YELLOW Y19</v>
          </cell>
          <cell r="D647">
            <v>524.97</v>
          </cell>
          <cell r="E647">
            <v>874.95</v>
          </cell>
          <cell r="F647">
            <v>0</v>
          </cell>
          <cell r="G647">
            <v>0</v>
          </cell>
        </row>
        <row r="648">
          <cell r="A648" t="str">
            <v>MZ314150</v>
          </cell>
          <cell r="B648" t="str">
            <v>S</v>
          </cell>
          <cell r="C648" t="str">
            <v>FOGLIGHT KIT</v>
          </cell>
          <cell r="D648">
            <v>158.97999999999999</v>
          </cell>
          <cell r="E648">
            <v>264.95</v>
          </cell>
          <cell r="F648">
            <v>0</v>
          </cell>
          <cell r="G648">
            <v>0</v>
          </cell>
        </row>
        <row r="649">
          <cell r="A649" t="str">
            <v>MZ314151</v>
          </cell>
          <cell r="B649" t="str">
            <v>U</v>
          </cell>
          <cell r="C649" t="str">
            <v>OIL- MOBIL 1- 5W30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</row>
        <row r="650">
          <cell r="A650" t="str">
            <v>MZ314152</v>
          </cell>
          <cell r="B650" t="str">
            <v>S</v>
          </cell>
          <cell r="C650" t="str">
            <v>WHEEL LOCK/LUG KIT- RALLIART</v>
          </cell>
          <cell r="D650">
            <v>274.64</v>
          </cell>
          <cell r="E650">
            <v>457.95</v>
          </cell>
          <cell r="F650">
            <v>0</v>
          </cell>
          <cell r="G650">
            <v>0</v>
          </cell>
        </row>
        <row r="651">
          <cell r="A651" t="str">
            <v>MZ314155</v>
          </cell>
          <cell r="B651" t="str">
            <v>S</v>
          </cell>
          <cell r="C651" t="str">
            <v>PAINT- PEN- CANYON BEIGE S32</v>
          </cell>
          <cell r="D651">
            <v>15.57</v>
          </cell>
          <cell r="E651">
            <v>23.95</v>
          </cell>
          <cell r="F651">
            <v>0</v>
          </cell>
          <cell r="G651">
            <v>0</v>
          </cell>
        </row>
        <row r="652">
          <cell r="A652" t="str">
            <v>MZ314157</v>
          </cell>
          <cell r="B652" t="str">
            <v>D</v>
          </cell>
          <cell r="C652" t="str">
            <v>PAINT-PEN-ROTOR GLOW (M08)</v>
          </cell>
          <cell r="D652">
            <v>15.57</v>
          </cell>
          <cell r="E652">
            <v>23.95</v>
          </cell>
          <cell r="F652">
            <v>8</v>
          </cell>
          <cell r="G652">
            <v>0</v>
          </cell>
        </row>
        <row r="653">
          <cell r="A653" t="str">
            <v>MZ314158</v>
          </cell>
          <cell r="B653" t="str">
            <v>Z</v>
          </cell>
          <cell r="C653" t="str">
            <v>AERO KIT- SPORT - SERVICE KIT</v>
          </cell>
          <cell r="D653">
            <v>80.37</v>
          </cell>
          <cell r="E653">
            <v>133.94999999999999</v>
          </cell>
          <cell r="F653">
            <v>0</v>
          </cell>
          <cell r="G653">
            <v>0</v>
          </cell>
        </row>
        <row r="654">
          <cell r="A654" t="str">
            <v>MZ314159</v>
          </cell>
          <cell r="B654" t="str">
            <v>C</v>
          </cell>
          <cell r="C654" t="str">
            <v>PAINT PEN- MANITOBA GREEN U03</v>
          </cell>
          <cell r="D654">
            <v>15.57</v>
          </cell>
          <cell r="E654">
            <v>23.95</v>
          </cell>
          <cell r="F654">
            <v>5</v>
          </cell>
          <cell r="G654">
            <v>0</v>
          </cell>
        </row>
        <row r="655">
          <cell r="A655" t="str">
            <v>MZ314175</v>
          </cell>
          <cell r="B655" t="str">
            <v>C</v>
          </cell>
          <cell r="C655" t="str">
            <v>FLOORMATS- ALL-WEATHER OUTLANDER &lt;2013</v>
          </cell>
          <cell r="D655">
            <v>160.77000000000001</v>
          </cell>
          <cell r="E655">
            <v>267.95</v>
          </cell>
          <cell r="F655">
            <v>12</v>
          </cell>
          <cell r="G655">
            <v>0</v>
          </cell>
        </row>
        <row r="656">
          <cell r="A656" t="str">
            <v>MZ314182</v>
          </cell>
          <cell r="B656" t="str">
            <v>S</v>
          </cell>
          <cell r="C656" t="str">
            <v>LICENSE PLATE FRAME- ECLIPSE</v>
          </cell>
          <cell r="D656">
            <v>41.37</v>
          </cell>
          <cell r="E656">
            <v>68.95</v>
          </cell>
          <cell r="F656">
            <v>0</v>
          </cell>
          <cell r="G656">
            <v>0</v>
          </cell>
        </row>
        <row r="657">
          <cell r="A657" t="str">
            <v>MZ314183</v>
          </cell>
          <cell r="B657" t="str">
            <v>S</v>
          </cell>
          <cell r="C657" t="str">
            <v>LICENSE PLATE FRAME- SPYDER</v>
          </cell>
          <cell r="D657">
            <v>44.97</v>
          </cell>
          <cell r="E657">
            <v>74.95</v>
          </cell>
          <cell r="F657">
            <v>0</v>
          </cell>
          <cell r="G657">
            <v>0</v>
          </cell>
        </row>
        <row r="658">
          <cell r="A658" t="str">
            <v>MZ314184</v>
          </cell>
          <cell r="B658" t="str">
            <v>S</v>
          </cell>
          <cell r="C658" t="str">
            <v>LICENSE PLATE FRAME- GALANT</v>
          </cell>
          <cell r="D658">
            <v>41.37</v>
          </cell>
          <cell r="E658">
            <v>68.95</v>
          </cell>
          <cell r="F658">
            <v>0</v>
          </cell>
          <cell r="G658">
            <v>0</v>
          </cell>
        </row>
        <row r="659">
          <cell r="A659" t="str">
            <v>MZ314189</v>
          </cell>
          <cell r="B659" t="str">
            <v>F</v>
          </cell>
          <cell r="C659" t="str">
            <v>PROTECTOR- REAR BUMPER- FILM</v>
          </cell>
          <cell r="D659">
            <v>62.97</v>
          </cell>
          <cell r="E659">
            <v>104.95</v>
          </cell>
          <cell r="F659">
            <v>0</v>
          </cell>
          <cell r="G659">
            <v>0</v>
          </cell>
        </row>
        <row r="660">
          <cell r="A660" t="str">
            <v>MZ314196</v>
          </cell>
          <cell r="B660" t="str">
            <v>S</v>
          </cell>
          <cell r="C660" t="str">
            <v>MAT- CARGO- RALLIART W/SUBWOOF</v>
          </cell>
          <cell r="D660">
            <v>91.17</v>
          </cell>
          <cell r="E660">
            <v>151.94999999999999</v>
          </cell>
          <cell r="F660">
            <v>0</v>
          </cell>
          <cell r="G660">
            <v>0</v>
          </cell>
        </row>
        <row r="661">
          <cell r="A661" t="str">
            <v>MZ314197</v>
          </cell>
          <cell r="B661" t="str">
            <v>S</v>
          </cell>
          <cell r="C661" t="str">
            <v>MAT-CARGO-RALLIART W/O SUBWOOF</v>
          </cell>
          <cell r="D661">
            <v>91.17</v>
          </cell>
          <cell r="E661">
            <v>151.94999999999999</v>
          </cell>
          <cell r="F661">
            <v>0</v>
          </cell>
          <cell r="G661">
            <v>0</v>
          </cell>
        </row>
        <row r="662">
          <cell r="A662" t="str">
            <v>MZ314235</v>
          </cell>
          <cell r="B662" t="str">
            <v>F</v>
          </cell>
          <cell r="C662" t="str">
            <v>KIT- RRVIEW CAMERA &amp; MIRROR</v>
          </cell>
          <cell r="D662">
            <v>703.77</v>
          </cell>
          <cell r="E662">
            <v>1172.95</v>
          </cell>
          <cell r="F662">
            <v>0</v>
          </cell>
          <cell r="G662">
            <v>0</v>
          </cell>
        </row>
        <row r="663">
          <cell r="A663" t="str">
            <v>MZ314239</v>
          </cell>
          <cell r="B663" t="str">
            <v>F</v>
          </cell>
          <cell r="C663" t="str">
            <v>SERVICE KIT-EVO AERO SIDE SILL</v>
          </cell>
          <cell r="D663">
            <v>8.3699999999999992</v>
          </cell>
          <cell r="E663">
            <v>13.95</v>
          </cell>
          <cell r="F663">
            <v>0</v>
          </cell>
          <cell r="G663">
            <v>0</v>
          </cell>
        </row>
        <row r="664">
          <cell r="A664" t="str">
            <v>MZ314252</v>
          </cell>
          <cell r="B664" t="str">
            <v>O</v>
          </cell>
          <cell r="C664" t="str">
            <v>PROTECTOR- HOOD</v>
          </cell>
          <cell r="D664">
            <v>139.46</v>
          </cell>
          <cell r="E664">
            <v>232.95</v>
          </cell>
          <cell r="F664">
            <v>46</v>
          </cell>
          <cell r="G664">
            <v>0</v>
          </cell>
        </row>
        <row r="665">
          <cell r="A665" t="str">
            <v>MZ314263</v>
          </cell>
          <cell r="B665" t="str">
            <v>Z</v>
          </cell>
          <cell r="C665" t="str">
            <v>KIT- RACK ADAPTER AEROBAR</v>
          </cell>
          <cell r="D665">
            <v>311.97000000000003</v>
          </cell>
          <cell r="E665">
            <v>519.95000000000005</v>
          </cell>
          <cell r="F665">
            <v>0</v>
          </cell>
          <cell r="G665">
            <v>0</v>
          </cell>
        </row>
        <row r="666">
          <cell r="A666" t="str">
            <v>MZ314300</v>
          </cell>
          <cell r="B666" t="str">
            <v>Z</v>
          </cell>
          <cell r="C666" t="str">
            <v>BIKE RACK- HITCH MOUNT X 4</v>
          </cell>
          <cell r="D666">
            <v>397.77</v>
          </cell>
          <cell r="E666">
            <v>662.95</v>
          </cell>
          <cell r="F666">
            <v>0</v>
          </cell>
          <cell r="G666">
            <v>0</v>
          </cell>
        </row>
        <row r="667">
          <cell r="A667" t="str">
            <v>MZ314339</v>
          </cell>
          <cell r="B667" t="str">
            <v>F</v>
          </cell>
          <cell r="C667" t="str">
            <v>SERVICE KIT- HOOD PROTECTOR</v>
          </cell>
          <cell r="D667">
            <v>34.17</v>
          </cell>
          <cell r="E667">
            <v>56.95</v>
          </cell>
          <cell r="F667">
            <v>0</v>
          </cell>
          <cell r="G667">
            <v>0</v>
          </cell>
        </row>
        <row r="668">
          <cell r="A668" t="str">
            <v>MZ314343</v>
          </cell>
          <cell r="B668" t="str">
            <v>Z</v>
          </cell>
          <cell r="C668" t="str">
            <v>DIFFUSER- REAR</v>
          </cell>
          <cell r="D668">
            <v>184.77</v>
          </cell>
          <cell r="E668">
            <v>307.95</v>
          </cell>
          <cell r="F668">
            <v>0</v>
          </cell>
          <cell r="G668">
            <v>0</v>
          </cell>
        </row>
        <row r="669">
          <cell r="A669" t="str">
            <v>MZ314344</v>
          </cell>
          <cell r="B669" t="str">
            <v>U</v>
          </cell>
          <cell r="C669" t="str">
            <v>ENGINE BLOCK HEATER KIT</v>
          </cell>
          <cell r="D669">
            <v>77</v>
          </cell>
          <cell r="E669">
            <v>128.94999999999999</v>
          </cell>
          <cell r="F669">
            <v>0</v>
          </cell>
          <cell r="G669">
            <v>0</v>
          </cell>
        </row>
        <row r="670">
          <cell r="A670" t="str">
            <v>MZ314345</v>
          </cell>
          <cell r="B670" t="str">
            <v>Z</v>
          </cell>
          <cell r="C670" t="str">
            <v>AERO KIT- SPORT- CARBON- U09</v>
          </cell>
          <cell r="D670">
            <v>1416.57</v>
          </cell>
          <cell r="E670">
            <v>2360.9499999999998</v>
          </cell>
          <cell r="F670">
            <v>0</v>
          </cell>
          <cell r="G670">
            <v>0</v>
          </cell>
        </row>
        <row r="671">
          <cell r="A671" t="str">
            <v>MZ314353</v>
          </cell>
          <cell r="B671" t="str">
            <v>z</v>
          </cell>
          <cell r="C671" t="str">
            <v>MAT- CARGO</v>
          </cell>
          <cell r="D671">
            <v>62.97</v>
          </cell>
          <cell r="E671">
            <v>104.95</v>
          </cell>
          <cell r="F671">
            <v>0</v>
          </cell>
          <cell r="G671">
            <v>0</v>
          </cell>
        </row>
        <row r="672">
          <cell r="A672" t="str">
            <v>MZ314354</v>
          </cell>
          <cell r="B672" t="str">
            <v>Z</v>
          </cell>
          <cell r="C672" t="str">
            <v>PHONE KIT- BLUETOOTH HANDSFREE</v>
          </cell>
          <cell r="D672">
            <v>401.37</v>
          </cell>
          <cell r="E672">
            <v>668.95</v>
          </cell>
          <cell r="F672">
            <v>0</v>
          </cell>
          <cell r="G672">
            <v>0</v>
          </cell>
        </row>
        <row r="673">
          <cell r="A673" t="str">
            <v>MZ314355</v>
          </cell>
          <cell r="B673" t="str">
            <v>F</v>
          </cell>
          <cell r="C673" t="str">
            <v>SPOILER-RR LIP-PEARL WHITE W55</v>
          </cell>
          <cell r="D673">
            <v>293.97000000000003</v>
          </cell>
          <cell r="E673">
            <v>489.95</v>
          </cell>
          <cell r="F673">
            <v>0</v>
          </cell>
          <cell r="G673">
            <v>0</v>
          </cell>
        </row>
        <row r="674">
          <cell r="A674" t="str">
            <v>MZ314360</v>
          </cell>
          <cell r="B674" t="str">
            <v>D</v>
          </cell>
          <cell r="C674" t="str">
            <v>PAINT- PEN- CARBON U09</v>
          </cell>
          <cell r="D674">
            <v>15.57</v>
          </cell>
          <cell r="E674">
            <v>23.95</v>
          </cell>
          <cell r="F674">
            <v>7</v>
          </cell>
          <cell r="G674">
            <v>0</v>
          </cell>
        </row>
        <row r="675">
          <cell r="A675" t="str">
            <v>MZ314363</v>
          </cell>
          <cell r="B675" t="str">
            <v>B</v>
          </cell>
          <cell r="C675" t="str">
            <v>PAINT- PEN- COSMIC BLUE(D14)</v>
          </cell>
          <cell r="D675">
            <v>15.57</v>
          </cell>
          <cell r="E675">
            <v>23.95</v>
          </cell>
          <cell r="F675">
            <v>109</v>
          </cell>
          <cell r="G675">
            <v>0</v>
          </cell>
        </row>
        <row r="676">
          <cell r="A676" t="str">
            <v>MZ314364</v>
          </cell>
          <cell r="B676" t="str">
            <v>B</v>
          </cell>
          <cell r="C676" t="str">
            <v>PAINT- PEN- QUARTZ BROWN (C06)</v>
          </cell>
          <cell r="D676">
            <v>15.57</v>
          </cell>
          <cell r="E676">
            <v>23.95</v>
          </cell>
          <cell r="F676">
            <v>14</v>
          </cell>
          <cell r="G676">
            <v>0</v>
          </cell>
        </row>
        <row r="677">
          <cell r="A677" t="str">
            <v>MZ314365</v>
          </cell>
          <cell r="B677" t="str">
            <v>D</v>
          </cell>
          <cell r="C677" t="str">
            <v>TRAILER HITCH WIRING HARNESS O/L &lt;2013</v>
          </cell>
          <cell r="D677">
            <v>103.36</v>
          </cell>
          <cell r="E677">
            <v>159.94999999999999</v>
          </cell>
          <cell r="F677">
            <v>2</v>
          </cell>
          <cell r="G677">
            <v>0</v>
          </cell>
        </row>
        <row r="678">
          <cell r="A678" t="str">
            <v>MZ314366</v>
          </cell>
          <cell r="B678" t="str">
            <v>B</v>
          </cell>
          <cell r="C678" t="str">
            <v>PAINT- PEN- WHITE PEARL W55</v>
          </cell>
          <cell r="D678">
            <v>15.57</v>
          </cell>
          <cell r="E678">
            <v>23.95</v>
          </cell>
          <cell r="F678">
            <v>13</v>
          </cell>
          <cell r="G678">
            <v>0</v>
          </cell>
        </row>
        <row r="679">
          <cell r="A679" t="str">
            <v>MZ314391</v>
          </cell>
          <cell r="B679" t="str">
            <v>F</v>
          </cell>
          <cell r="C679" t="str">
            <v>WHEEL LOCK KIT- RALLIART</v>
          </cell>
          <cell r="D679">
            <v>76.290000000000006</v>
          </cell>
          <cell r="E679">
            <v>127.15</v>
          </cell>
          <cell r="F679">
            <v>0</v>
          </cell>
          <cell r="G679">
            <v>0</v>
          </cell>
        </row>
        <row r="680">
          <cell r="A680" t="str">
            <v>MZ314392</v>
          </cell>
          <cell r="B680" t="str">
            <v>F</v>
          </cell>
          <cell r="C680" t="str">
            <v>LUGNUT- FLUTED- RALLIART</v>
          </cell>
          <cell r="D680">
            <v>12.57</v>
          </cell>
          <cell r="E680">
            <v>20.95</v>
          </cell>
          <cell r="F680">
            <v>0</v>
          </cell>
          <cell r="G680">
            <v>0</v>
          </cell>
        </row>
        <row r="681">
          <cell r="A681" t="str">
            <v>MZ314404</v>
          </cell>
          <cell r="B681" t="str">
            <v>F</v>
          </cell>
          <cell r="C681" t="str">
            <v>STYLING KIT</v>
          </cell>
          <cell r="D681">
            <v>803.37</v>
          </cell>
          <cell r="E681">
            <v>1338.95</v>
          </cell>
          <cell r="F681">
            <v>0</v>
          </cell>
          <cell r="G681">
            <v>0</v>
          </cell>
        </row>
        <row r="682">
          <cell r="A682" t="str">
            <v>MZ314443</v>
          </cell>
          <cell r="B682" t="str">
            <v>S</v>
          </cell>
          <cell r="C682" t="str">
            <v>BASE CARIER</v>
          </cell>
          <cell r="D682">
            <v>491.97</v>
          </cell>
          <cell r="E682">
            <v>819.95</v>
          </cell>
          <cell r="F682">
            <v>0</v>
          </cell>
          <cell r="G682">
            <v>0</v>
          </cell>
        </row>
        <row r="683">
          <cell r="A683" t="str">
            <v>MZ314449</v>
          </cell>
          <cell r="B683" t="str">
            <v>S</v>
          </cell>
          <cell r="C683" t="str">
            <v>FUEL DOOR- ALLOY</v>
          </cell>
          <cell r="D683">
            <v>180.67</v>
          </cell>
          <cell r="E683">
            <v>277.95</v>
          </cell>
          <cell r="F683">
            <v>0</v>
          </cell>
          <cell r="G683">
            <v>0</v>
          </cell>
        </row>
        <row r="684">
          <cell r="A684" t="str">
            <v>MZ314450</v>
          </cell>
          <cell r="B684" t="str">
            <v>F</v>
          </cell>
          <cell r="C684" t="str">
            <v>License Plate Frame</v>
          </cell>
          <cell r="D684">
            <v>0.01</v>
          </cell>
          <cell r="E684">
            <v>0</v>
          </cell>
          <cell r="F684">
            <v>0</v>
          </cell>
          <cell r="G684">
            <v>0</v>
          </cell>
        </row>
        <row r="685">
          <cell r="A685" t="str">
            <v>MZ314455</v>
          </cell>
          <cell r="B685" t="str">
            <v>X</v>
          </cell>
          <cell r="C685" t="str">
            <v>ROOF BASE CARRIER</v>
          </cell>
          <cell r="D685">
            <v>416.98</v>
          </cell>
          <cell r="E685">
            <v>694.95</v>
          </cell>
          <cell r="F685">
            <v>0</v>
          </cell>
          <cell r="G685">
            <v>0</v>
          </cell>
        </row>
        <row r="686">
          <cell r="A686" t="str">
            <v>MZ314475</v>
          </cell>
          <cell r="B686" t="str">
            <v>D</v>
          </cell>
          <cell r="C686" t="str">
            <v>CARGO NET- FLOOR TYPE</v>
          </cell>
          <cell r="D686">
            <v>34.42</v>
          </cell>
          <cell r="E686">
            <v>52.95</v>
          </cell>
          <cell r="F686">
            <v>5</v>
          </cell>
          <cell r="G686">
            <v>0</v>
          </cell>
        </row>
        <row r="687">
          <cell r="A687" t="str">
            <v>MZ314480</v>
          </cell>
          <cell r="B687" t="str">
            <v>F</v>
          </cell>
          <cell r="C687" t="str">
            <v>Handbreak lever</v>
          </cell>
          <cell r="D687">
            <v>0.01</v>
          </cell>
          <cell r="E687">
            <v>0</v>
          </cell>
          <cell r="F687">
            <v>0</v>
          </cell>
          <cell r="G687">
            <v>0</v>
          </cell>
        </row>
        <row r="688">
          <cell r="A688" t="str">
            <v>MZ314486</v>
          </cell>
          <cell r="B688" t="str">
            <v>Z</v>
          </cell>
          <cell r="C688" t="str">
            <v>B-PILLAR TRIM, CARBON FIBER</v>
          </cell>
          <cell r="D688">
            <v>238.77</v>
          </cell>
          <cell r="E688">
            <v>397.95</v>
          </cell>
          <cell r="F688">
            <v>0</v>
          </cell>
          <cell r="G688">
            <v>0</v>
          </cell>
        </row>
        <row r="689">
          <cell r="A689" t="str">
            <v>MZ314487</v>
          </cell>
          <cell r="B689" t="str">
            <v>F</v>
          </cell>
          <cell r="C689" t="str">
            <v>All Weather Floor Mats</v>
          </cell>
          <cell r="D689">
            <v>0.01</v>
          </cell>
          <cell r="E689">
            <v>0</v>
          </cell>
          <cell r="F689">
            <v>0</v>
          </cell>
          <cell r="G689">
            <v>0</v>
          </cell>
        </row>
        <row r="690">
          <cell r="A690" t="str">
            <v>MZ314488</v>
          </cell>
          <cell r="B690" t="str">
            <v>U</v>
          </cell>
          <cell r="C690" t="str">
            <v>CARGO MAT</v>
          </cell>
          <cell r="D690">
            <v>98.85</v>
          </cell>
          <cell r="E690">
            <v>164.95</v>
          </cell>
          <cell r="F690">
            <v>0</v>
          </cell>
          <cell r="G690">
            <v>0</v>
          </cell>
        </row>
        <row r="691">
          <cell r="A691" t="str">
            <v>MZ314490</v>
          </cell>
          <cell r="B691" t="str">
            <v>Z</v>
          </cell>
          <cell r="C691" t="str">
            <v>BOOT GRIP- NON-SLIP</v>
          </cell>
          <cell r="D691">
            <v>73.77</v>
          </cell>
          <cell r="E691">
            <v>122.95</v>
          </cell>
          <cell r="F691">
            <v>0</v>
          </cell>
          <cell r="G691">
            <v>0</v>
          </cell>
        </row>
        <row r="692">
          <cell r="A692" t="str">
            <v>MZ314491</v>
          </cell>
          <cell r="B692" t="str">
            <v>C</v>
          </cell>
          <cell r="C692" t="str">
            <v>CARGO NET- ENVELOPE</v>
          </cell>
          <cell r="D692">
            <v>39.61</v>
          </cell>
          <cell r="E692">
            <v>60.95</v>
          </cell>
          <cell r="F692">
            <v>0</v>
          </cell>
          <cell r="G692">
            <v>1</v>
          </cell>
        </row>
        <row r="693">
          <cell r="A693" t="str">
            <v>MZ314493</v>
          </cell>
          <cell r="B693" t="str">
            <v>Z</v>
          </cell>
          <cell r="C693" t="str">
            <v>CARGO MAT</v>
          </cell>
          <cell r="D693">
            <v>98.85</v>
          </cell>
          <cell r="E693">
            <v>164.95</v>
          </cell>
          <cell r="F693">
            <v>0</v>
          </cell>
          <cell r="G693">
            <v>0</v>
          </cell>
        </row>
        <row r="694">
          <cell r="A694" t="str">
            <v>MZ314494</v>
          </cell>
          <cell r="B694" t="str">
            <v>A</v>
          </cell>
          <cell r="C694" t="str">
            <v>PAINT PEN - U17</v>
          </cell>
          <cell r="D694">
            <v>15.57</v>
          </cell>
          <cell r="E694">
            <v>23.95</v>
          </cell>
          <cell r="F694">
            <v>281</v>
          </cell>
          <cell r="G694">
            <v>0</v>
          </cell>
        </row>
        <row r="695">
          <cell r="A695" t="str">
            <v>MZ314495</v>
          </cell>
          <cell r="B695" t="str">
            <v>C</v>
          </cell>
          <cell r="C695" t="str">
            <v>PAINT PEN - D17</v>
          </cell>
          <cell r="D695">
            <v>15.57</v>
          </cell>
          <cell r="E695">
            <v>23.95</v>
          </cell>
          <cell r="F695">
            <v>10</v>
          </cell>
          <cell r="G695">
            <v>0</v>
          </cell>
        </row>
        <row r="696">
          <cell r="A696" t="str">
            <v>MZ314501</v>
          </cell>
          <cell r="B696" t="str">
            <v>U</v>
          </cell>
          <cell r="C696" t="str">
            <v>ROOF RACK- RAISED RAILS</v>
          </cell>
          <cell r="D696">
            <v>556.79999999999995</v>
          </cell>
          <cell r="E696">
            <v>969.8</v>
          </cell>
          <cell r="F696">
            <v>0</v>
          </cell>
          <cell r="G696">
            <v>0</v>
          </cell>
        </row>
        <row r="697">
          <cell r="A697" t="str">
            <v>MZ314502</v>
          </cell>
          <cell r="B697" t="str">
            <v>Z</v>
          </cell>
          <cell r="C697" t="str">
            <v>FUSE HANDSFREE LINK SYSTEM</v>
          </cell>
          <cell r="D697">
            <v>509.36</v>
          </cell>
          <cell r="E697">
            <v>848.95</v>
          </cell>
          <cell r="F697">
            <v>0</v>
          </cell>
          <cell r="G697">
            <v>0</v>
          </cell>
        </row>
        <row r="698">
          <cell r="A698" t="str">
            <v>MZ314503</v>
          </cell>
          <cell r="B698" t="str">
            <v>B</v>
          </cell>
          <cell r="C698" t="str">
            <v>CARGO LINER- RVR</v>
          </cell>
          <cell r="D698">
            <v>129.35</v>
          </cell>
          <cell r="E698">
            <v>183.95</v>
          </cell>
          <cell r="F698">
            <v>206</v>
          </cell>
          <cell r="G698">
            <v>170</v>
          </cell>
        </row>
        <row r="699">
          <cell r="A699" t="str">
            <v>MZ314504</v>
          </cell>
          <cell r="B699" t="str">
            <v>U</v>
          </cell>
          <cell r="C699" t="str">
            <v>ROOF RACK- FIXED POINT</v>
          </cell>
          <cell r="D699">
            <v>556.79999999999995</v>
          </cell>
          <cell r="E699">
            <v>969.8</v>
          </cell>
          <cell r="F699">
            <v>0</v>
          </cell>
          <cell r="G699">
            <v>0</v>
          </cell>
        </row>
        <row r="700">
          <cell r="A700" t="str">
            <v>MZ314505</v>
          </cell>
          <cell r="B700" t="str">
            <v>Z</v>
          </cell>
          <cell r="C700" t="str">
            <v>FLOOR MATS- ALL WEATHER</v>
          </cell>
          <cell r="D700">
            <v>118.77</v>
          </cell>
          <cell r="E700">
            <v>197.95</v>
          </cell>
          <cell r="F700">
            <v>0</v>
          </cell>
          <cell r="G700">
            <v>0</v>
          </cell>
        </row>
        <row r="701">
          <cell r="A701" t="str">
            <v>MZ314508</v>
          </cell>
          <cell r="B701" t="str">
            <v>S</v>
          </cell>
          <cell r="C701" t="str">
            <v>BIKE ATTACHMENT- UPRIGHT MOUNT</v>
          </cell>
          <cell r="D701">
            <v>230.37</v>
          </cell>
          <cell r="E701">
            <v>383.95</v>
          </cell>
          <cell r="F701">
            <v>0</v>
          </cell>
          <cell r="G701">
            <v>0</v>
          </cell>
        </row>
        <row r="702">
          <cell r="A702" t="str">
            <v>MZ314510</v>
          </cell>
          <cell r="B702" t="str">
            <v>Z</v>
          </cell>
          <cell r="C702" t="str">
            <v>TEXTILE MAT SET</v>
          </cell>
          <cell r="D702">
            <v>55.78</v>
          </cell>
          <cell r="E702">
            <v>92.95</v>
          </cell>
          <cell r="F702">
            <v>0</v>
          </cell>
          <cell r="G702">
            <v>0</v>
          </cell>
        </row>
        <row r="703">
          <cell r="A703" t="str">
            <v>MZ314527</v>
          </cell>
          <cell r="B703" t="str">
            <v>U</v>
          </cell>
          <cell r="C703" t="str">
            <v>ENGINE BLOCK HEATER KIT - MIRAGE</v>
          </cell>
          <cell r="D703">
            <v>88.87</v>
          </cell>
          <cell r="E703">
            <v>148.94999999999999</v>
          </cell>
          <cell r="F703">
            <v>0</v>
          </cell>
          <cell r="G703">
            <v>0</v>
          </cell>
        </row>
        <row r="704">
          <cell r="A704" t="str">
            <v>MZ314528</v>
          </cell>
          <cell r="B704" t="str">
            <v>A</v>
          </cell>
          <cell r="C704" t="str">
            <v>ENGINE BLOCK HEATER KIT</v>
          </cell>
          <cell r="D704">
            <v>77</v>
          </cell>
          <cell r="E704">
            <v>128.94999999999999</v>
          </cell>
          <cell r="F704">
            <v>318</v>
          </cell>
          <cell r="G704">
            <v>520</v>
          </cell>
        </row>
        <row r="705">
          <cell r="A705" t="str">
            <v>MZ314529</v>
          </cell>
          <cell r="B705" t="str">
            <v>U</v>
          </cell>
          <cell r="C705" t="str">
            <v>ENGINE BLOCK HEATER KIT - 2.4</v>
          </cell>
          <cell r="D705">
            <v>85.5</v>
          </cell>
          <cell r="E705">
            <v>142.94999999999999</v>
          </cell>
          <cell r="F705">
            <v>0</v>
          </cell>
          <cell r="G705">
            <v>0</v>
          </cell>
        </row>
        <row r="706">
          <cell r="A706" t="str">
            <v>MZ314531</v>
          </cell>
          <cell r="B706" t="str">
            <v>D</v>
          </cell>
          <cell r="C706" t="str">
            <v>SERVICE KIT- ALLOY FUEL DOOR</v>
          </cell>
          <cell r="D706">
            <v>15.57</v>
          </cell>
          <cell r="E706">
            <v>25.95</v>
          </cell>
          <cell r="F706">
            <v>0</v>
          </cell>
          <cell r="G706">
            <v>0</v>
          </cell>
        </row>
        <row r="707">
          <cell r="A707" t="str">
            <v>MZ314536</v>
          </cell>
          <cell r="B707" t="str">
            <v>F</v>
          </cell>
          <cell r="C707" t="str">
            <v>FUSE HANDSFREE LINK SYSTEM</v>
          </cell>
          <cell r="D707">
            <v>285.70999999999998</v>
          </cell>
          <cell r="E707">
            <v>380.95</v>
          </cell>
          <cell r="F707">
            <v>0</v>
          </cell>
          <cell r="G707">
            <v>0</v>
          </cell>
        </row>
        <row r="708">
          <cell r="A708" t="str">
            <v>MZ314537</v>
          </cell>
          <cell r="B708" t="str">
            <v>S</v>
          </cell>
          <cell r="C708" t="str">
            <v>PHONE KIT-BLUETOOTH HANDSFREE O/L &lt;2013</v>
          </cell>
          <cell r="D708">
            <v>445.16</v>
          </cell>
          <cell r="E708">
            <v>741.95</v>
          </cell>
          <cell r="F708">
            <v>0</v>
          </cell>
          <cell r="G708">
            <v>0</v>
          </cell>
        </row>
        <row r="709">
          <cell r="A709" t="str">
            <v>MZ314538</v>
          </cell>
          <cell r="B709" t="str">
            <v>F</v>
          </cell>
          <cell r="C709" t="str">
            <v>FOGLIGHT KIT</v>
          </cell>
          <cell r="D709">
            <v>407.97</v>
          </cell>
          <cell r="E709">
            <v>679.95</v>
          </cell>
          <cell r="F709">
            <v>0</v>
          </cell>
          <cell r="G709">
            <v>0</v>
          </cell>
        </row>
        <row r="710">
          <cell r="A710" t="str">
            <v>MZ314558</v>
          </cell>
          <cell r="B710" t="str">
            <v>S</v>
          </cell>
          <cell r="C710" t="str">
            <v>FLOOR MATS</v>
          </cell>
          <cell r="D710">
            <v>92.96</v>
          </cell>
          <cell r="E710">
            <v>154.94999999999999</v>
          </cell>
          <cell r="F710">
            <v>0</v>
          </cell>
          <cell r="G710">
            <v>0</v>
          </cell>
        </row>
        <row r="711">
          <cell r="A711" t="str">
            <v>MZ314559</v>
          </cell>
          <cell r="B711" t="str">
            <v>S</v>
          </cell>
          <cell r="C711" t="str">
            <v>CARGO TRAY</v>
          </cell>
          <cell r="D711">
            <v>142.16</v>
          </cell>
          <cell r="E711">
            <v>236.95</v>
          </cell>
          <cell r="F711">
            <v>0</v>
          </cell>
          <cell r="G711">
            <v>0</v>
          </cell>
        </row>
        <row r="712">
          <cell r="A712" t="str">
            <v>MZ314560</v>
          </cell>
          <cell r="B712" t="str">
            <v>C</v>
          </cell>
          <cell r="C712" t="str">
            <v>FUEL DOOR- ALLOY</v>
          </cell>
          <cell r="D712">
            <v>172.17</v>
          </cell>
          <cell r="E712">
            <v>286.95</v>
          </cell>
          <cell r="F712">
            <v>27</v>
          </cell>
          <cell r="G712">
            <v>0</v>
          </cell>
        </row>
        <row r="713">
          <cell r="A713" t="str">
            <v>MZ314564</v>
          </cell>
          <cell r="B713" t="str">
            <v>F</v>
          </cell>
          <cell r="C713" t="str">
            <v>CARGO MAT</v>
          </cell>
          <cell r="D713">
            <v>62.97</v>
          </cell>
          <cell r="E713">
            <v>104.95</v>
          </cell>
          <cell r="F713">
            <v>0</v>
          </cell>
          <cell r="G713">
            <v>0</v>
          </cell>
        </row>
        <row r="714">
          <cell r="A714" t="str">
            <v>MZ314565</v>
          </cell>
          <cell r="B714" t="str">
            <v>F</v>
          </cell>
          <cell r="C714" t="str">
            <v>MOLDING- BODY SIDE</v>
          </cell>
          <cell r="D714">
            <v>137.97</v>
          </cell>
          <cell r="E714">
            <v>229.95</v>
          </cell>
          <cell r="F714">
            <v>0</v>
          </cell>
          <cell r="G714">
            <v>0</v>
          </cell>
        </row>
        <row r="715">
          <cell r="A715" t="str">
            <v>MZ314566</v>
          </cell>
          <cell r="B715" t="str">
            <v>S</v>
          </cell>
          <cell r="C715" t="str">
            <v>CARGO NET</v>
          </cell>
          <cell r="D715">
            <v>34.17</v>
          </cell>
          <cell r="E715">
            <v>56.95</v>
          </cell>
          <cell r="F715">
            <v>0</v>
          </cell>
          <cell r="G715">
            <v>0</v>
          </cell>
        </row>
        <row r="716">
          <cell r="A716" t="str">
            <v>MZ314567</v>
          </cell>
          <cell r="B716" t="str">
            <v>F</v>
          </cell>
          <cell r="C716" t="str">
            <v>LICENSE PLATE FRAME- I-MIEV</v>
          </cell>
          <cell r="D716">
            <v>41.36</v>
          </cell>
          <cell r="E716">
            <v>68.95</v>
          </cell>
          <cell r="F716">
            <v>0</v>
          </cell>
          <cell r="G716">
            <v>0</v>
          </cell>
        </row>
        <row r="717">
          <cell r="A717" t="str">
            <v>MZ314572</v>
          </cell>
          <cell r="B717" t="str">
            <v>F</v>
          </cell>
          <cell r="C717" t="str">
            <v>EXHAUST FINISHER</v>
          </cell>
          <cell r="D717">
            <v>43.17</v>
          </cell>
          <cell r="E717">
            <v>71.95</v>
          </cell>
          <cell r="F717">
            <v>1</v>
          </cell>
          <cell r="G717">
            <v>0</v>
          </cell>
        </row>
        <row r="718">
          <cell r="A718" t="str">
            <v>MZ314598</v>
          </cell>
          <cell r="B718" t="str">
            <v>D</v>
          </cell>
          <cell r="C718" t="str">
            <v>CHROME LOWER DOOR GARNISH SET</v>
          </cell>
          <cell r="D718">
            <v>212.37</v>
          </cell>
          <cell r="E718">
            <v>353.95</v>
          </cell>
          <cell r="F718">
            <v>2</v>
          </cell>
          <cell r="G718">
            <v>0</v>
          </cell>
        </row>
        <row r="719">
          <cell r="A719" t="str">
            <v>MZ314600</v>
          </cell>
          <cell r="B719" t="str">
            <v>S</v>
          </cell>
          <cell r="C719" t="str">
            <v>PAINT PEN-TOUCH UP- RASPBERRY P39</v>
          </cell>
          <cell r="D719">
            <v>13.16</v>
          </cell>
          <cell r="E719">
            <v>21.95</v>
          </cell>
          <cell r="F719">
            <v>0</v>
          </cell>
          <cell r="G719">
            <v>0</v>
          </cell>
        </row>
        <row r="720">
          <cell r="A720" t="str">
            <v>MZ314601</v>
          </cell>
          <cell r="B720" t="str">
            <v>F</v>
          </cell>
          <cell r="C720" t="str">
            <v>PAINT PEN-TOUCH UP-OCEAN BLUE D12</v>
          </cell>
          <cell r="D720">
            <v>15.57</v>
          </cell>
          <cell r="E720">
            <v>23.95</v>
          </cell>
          <cell r="F720">
            <v>0</v>
          </cell>
          <cell r="G720">
            <v>0</v>
          </cell>
        </row>
        <row r="721">
          <cell r="A721" t="str">
            <v>MZ314612</v>
          </cell>
          <cell r="B721" t="str">
            <v>U</v>
          </cell>
          <cell r="C721" t="str">
            <v>TOWBAR HARNESS OUTLANDER 2014&lt;</v>
          </cell>
          <cell r="D721">
            <v>123.97301</v>
          </cell>
          <cell r="E721">
            <v>199.95</v>
          </cell>
          <cell r="F721">
            <v>0</v>
          </cell>
          <cell r="G721">
            <v>0</v>
          </cell>
        </row>
        <row r="722">
          <cell r="A722" t="str">
            <v>MZ314615</v>
          </cell>
          <cell r="B722" t="str">
            <v>U</v>
          </cell>
          <cell r="C722" t="str">
            <v>SKI &amp; SNOWBOARD CARRIER</v>
          </cell>
          <cell r="D722">
            <v>185</v>
          </cell>
          <cell r="E722">
            <v>229.95</v>
          </cell>
          <cell r="F722">
            <v>0</v>
          </cell>
          <cell r="G722">
            <v>0</v>
          </cell>
        </row>
        <row r="723">
          <cell r="A723" t="str">
            <v>MZ314625</v>
          </cell>
          <cell r="B723" t="str">
            <v>O</v>
          </cell>
          <cell r="C723" t="str">
            <v>MUDGUARD SET RR - RVR2013&lt;</v>
          </cell>
          <cell r="D723">
            <v>85.17</v>
          </cell>
          <cell r="E723">
            <v>141.94999999999999</v>
          </cell>
          <cell r="F723">
            <v>1</v>
          </cell>
          <cell r="G723">
            <v>0</v>
          </cell>
        </row>
        <row r="724">
          <cell r="A724" t="str">
            <v>MZ314635</v>
          </cell>
          <cell r="B724" t="str">
            <v>U</v>
          </cell>
          <cell r="C724" t="str">
            <v>BASE CARRIER(THULE) W/ ROOF RAIL</v>
          </cell>
          <cell r="D724">
            <v>556.79999999999995</v>
          </cell>
          <cell r="E724">
            <v>969.8</v>
          </cell>
          <cell r="F724">
            <v>0</v>
          </cell>
          <cell r="G724">
            <v>0</v>
          </cell>
        </row>
        <row r="725">
          <cell r="A725" t="str">
            <v>MZ314636</v>
          </cell>
          <cell r="B725" t="str">
            <v>U</v>
          </cell>
          <cell r="C725" t="str">
            <v>ROOF CARRIER SET (AERO-CITY CRASH TYPE)</v>
          </cell>
          <cell r="D725">
            <v>504.95</v>
          </cell>
          <cell r="E725">
            <v>924.95</v>
          </cell>
          <cell r="F725">
            <v>0</v>
          </cell>
          <cell r="G725">
            <v>0</v>
          </cell>
        </row>
        <row r="726">
          <cell r="A726" t="str">
            <v>MZ314641</v>
          </cell>
          <cell r="B726" t="str">
            <v>F</v>
          </cell>
          <cell r="C726" t="str">
            <v>CARGO NET</v>
          </cell>
          <cell r="D726">
            <v>34.17</v>
          </cell>
          <cell r="E726">
            <v>56.95</v>
          </cell>
          <cell r="F726">
            <v>0</v>
          </cell>
          <cell r="G726">
            <v>0</v>
          </cell>
        </row>
        <row r="727">
          <cell r="A727" t="str">
            <v>MZ314642</v>
          </cell>
          <cell r="B727" t="str">
            <v>D</v>
          </cell>
          <cell r="C727" t="str">
            <v>FUEL DOOR- ALLOY</v>
          </cell>
          <cell r="D727">
            <v>180.67</v>
          </cell>
          <cell r="E727">
            <v>277.95</v>
          </cell>
          <cell r="F727">
            <v>0</v>
          </cell>
          <cell r="G727">
            <v>6</v>
          </cell>
        </row>
        <row r="728">
          <cell r="A728" t="str">
            <v>MZ314651</v>
          </cell>
          <cell r="B728" t="str">
            <v>S</v>
          </cell>
          <cell r="C728" t="str">
            <v>SIDE PROT MOULD SILVER (M)A31 O/L 2014&lt;</v>
          </cell>
          <cell r="D728">
            <v>227.47</v>
          </cell>
          <cell r="E728">
            <v>349.95</v>
          </cell>
          <cell r="F728">
            <v>0</v>
          </cell>
          <cell r="G728">
            <v>0</v>
          </cell>
        </row>
        <row r="729">
          <cell r="A729" t="str">
            <v>MZ314652</v>
          </cell>
          <cell r="B729" t="str">
            <v>S</v>
          </cell>
          <cell r="C729" t="str">
            <v>SIDE PROT MOULD COP MET (M)C07 O/L 2014&lt;</v>
          </cell>
          <cell r="D729">
            <v>142.77000000000001</v>
          </cell>
          <cell r="E729">
            <v>237.95</v>
          </cell>
          <cell r="F729">
            <v>0</v>
          </cell>
          <cell r="G729">
            <v>0</v>
          </cell>
        </row>
        <row r="730">
          <cell r="A730" t="str">
            <v>MZ314653</v>
          </cell>
          <cell r="B730" t="str">
            <v>S</v>
          </cell>
          <cell r="C730" t="str">
            <v>SIDE PROT. MOULD. COSMIC BLUE (M) D14</v>
          </cell>
          <cell r="D730">
            <v>243.57</v>
          </cell>
          <cell r="E730">
            <v>405.95</v>
          </cell>
          <cell r="F730">
            <v>0</v>
          </cell>
          <cell r="G730">
            <v>0</v>
          </cell>
        </row>
        <row r="731">
          <cell r="A731" t="str">
            <v>MZ314654</v>
          </cell>
          <cell r="B731" t="str">
            <v>U</v>
          </cell>
          <cell r="C731" t="str">
            <v>SIDE PROT MOULD T-GREY (M)U17 O/L 2014&lt;</v>
          </cell>
          <cell r="D731">
            <v>263.87</v>
          </cell>
          <cell r="E731">
            <v>405.95</v>
          </cell>
          <cell r="F731">
            <v>0</v>
          </cell>
          <cell r="G731">
            <v>0</v>
          </cell>
        </row>
        <row r="732">
          <cell r="A732" t="str">
            <v>MZ314655</v>
          </cell>
          <cell r="B732" t="str">
            <v>X</v>
          </cell>
          <cell r="C732" t="str">
            <v>SIDE PROT. MOULDING TECH SILVER U21</v>
          </cell>
          <cell r="D732">
            <v>152.97</v>
          </cell>
          <cell r="E732">
            <v>254.95</v>
          </cell>
          <cell r="F732">
            <v>0</v>
          </cell>
          <cell r="G732">
            <v>0</v>
          </cell>
        </row>
        <row r="733">
          <cell r="A733" t="str">
            <v>MZ314656</v>
          </cell>
          <cell r="B733" t="str">
            <v>U</v>
          </cell>
          <cell r="C733" t="str">
            <v>SIDE PROT. MOULD WHITE (P)W13 O/L 2014&lt;</v>
          </cell>
          <cell r="D733">
            <v>263.87</v>
          </cell>
          <cell r="E733">
            <v>405.95</v>
          </cell>
          <cell r="F733">
            <v>0</v>
          </cell>
          <cell r="G733">
            <v>0</v>
          </cell>
        </row>
        <row r="734">
          <cell r="A734" t="str">
            <v>MZ314657</v>
          </cell>
          <cell r="B734" t="str">
            <v>S</v>
          </cell>
          <cell r="C734" t="str">
            <v>SIDE PROT. MOULDING WHITE (S) W37</v>
          </cell>
          <cell r="D734">
            <v>152.97</v>
          </cell>
          <cell r="E734">
            <v>254.95</v>
          </cell>
          <cell r="F734">
            <v>0</v>
          </cell>
          <cell r="G734">
            <v>0</v>
          </cell>
        </row>
        <row r="735">
          <cell r="A735" t="str">
            <v>MZ314658</v>
          </cell>
          <cell r="B735" t="str">
            <v>U</v>
          </cell>
          <cell r="C735" t="str">
            <v>SIDE PROT MOULD BLACK (P) X42 O/L 2014&lt;</v>
          </cell>
          <cell r="D735">
            <v>263.87</v>
          </cell>
          <cell r="E735">
            <v>405.95</v>
          </cell>
          <cell r="F735">
            <v>0</v>
          </cell>
          <cell r="G735">
            <v>0</v>
          </cell>
        </row>
        <row r="736">
          <cell r="A736" t="str">
            <v>MZ314659</v>
          </cell>
          <cell r="B736" t="str">
            <v>U</v>
          </cell>
          <cell r="C736" t="str">
            <v>FLOOR CARPET MATS OUTLANDER 2014&lt;</v>
          </cell>
          <cell r="D736">
            <v>118.77</v>
          </cell>
          <cell r="E736">
            <v>197.95</v>
          </cell>
          <cell r="F736">
            <v>0</v>
          </cell>
          <cell r="G736">
            <v>0</v>
          </cell>
        </row>
        <row r="737">
          <cell r="A737" t="str">
            <v>MZ314660</v>
          </cell>
          <cell r="B737" t="str">
            <v>Z</v>
          </cell>
          <cell r="C737" t="str">
            <v>ROOF RACK KIT- MIRAGE</v>
          </cell>
          <cell r="D737">
            <v>235.77</v>
          </cell>
          <cell r="E737">
            <v>392.95</v>
          </cell>
          <cell r="F737">
            <v>0</v>
          </cell>
          <cell r="G737">
            <v>0</v>
          </cell>
        </row>
        <row r="738">
          <cell r="A738" t="str">
            <v>MZ314664</v>
          </cell>
          <cell r="B738" t="str">
            <v>Z</v>
          </cell>
          <cell r="C738" t="str">
            <v>MUDGUARDS FR OUTLANDER 2014&lt;</v>
          </cell>
          <cell r="D738">
            <v>63.57</v>
          </cell>
          <cell r="E738">
            <v>105.95</v>
          </cell>
          <cell r="F738">
            <v>3</v>
          </cell>
          <cell r="G738">
            <v>0</v>
          </cell>
        </row>
        <row r="739">
          <cell r="A739" t="str">
            <v>MZ314665</v>
          </cell>
          <cell r="B739" t="str">
            <v>Q</v>
          </cell>
          <cell r="C739" t="str">
            <v>MUDGUARDS RR OUTLANDER 2014&lt;</v>
          </cell>
          <cell r="D739">
            <v>63.57</v>
          </cell>
          <cell r="E739">
            <v>105.95</v>
          </cell>
          <cell r="F739">
            <v>5</v>
          </cell>
          <cell r="G739">
            <v>0</v>
          </cell>
        </row>
        <row r="740">
          <cell r="A740" t="str">
            <v>MZ314669</v>
          </cell>
          <cell r="B740" t="str">
            <v>Z</v>
          </cell>
          <cell r="C740" t="str">
            <v>LICENSE PLATE FRAME-OUTLANDER</v>
          </cell>
          <cell r="D740">
            <v>58.17</v>
          </cell>
          <cell r="E740">
            <v>96.95</v>
          </cell>
          <cell r="F740">
            <v>0</v>
          </cell>
          <cell r="G740">
            <v>0</v>
          </cell>
        </row>
        <row r="741">
          <cell r="A741" t="str">
            <v>MZ314710</v>
          </cell>
          <cell r="B741" t="str">
            <v>S</v>
          </cell>
          <cell r="C741" t="str">
            <v>TOWBAR OUTLANDER 2014&lt; 2" REC</v>
          </cell>
          <cell r="D741">
            <v>300</v>
          </cell>
          <cell r="E741">
            <v>611.95000000000005</v>
          </cell>
          <cell r="F741">
            <v>37</v>
          </cell>
          <cell r="G741">
            <v>0</v>
          </cell>
        </row>
        <row r="742">
          <cell r="A742" t="str">
            <v>MZ314735</v>
          </cell>
          <cell r="B742" t="str">
            <v>Q</v>
          </cell>
          <cell r="C742" t="str">
            <v>SUNROOF DEFLECTOR OUTLANDER 2014&lt;</v>
          </cell>
          <cell r="D742">
            <v>110.10625</v>
          </cell>
          <cell r="E742">
            <v>169.95</v>
          </cell>
          <cell r="F742">
            <v>1</v>
          </cell>
          <cell r="G742">
            <v>0</v>
          </cell>
        </row>
        <row r="743">
          <cell r="A743" t="str">
            <v>MZ314736</v>
          </cell>
          <cell r="B743" t="str">
            <v>Q</v>
          </cell>
          <cell r="C743" t="str">
            <v>CARGO MAT OUTLANDER 2014&lt;</v>
          </cell>
          <cell r="D743">
            <v>92.92</v>
          </cell>
          <cell r="E743">
            <v>142.94999999999999</v>
          </cell>
          <cell r="F743">
            <v>1</v>
          </cell>
          <cell r="G743">
            <v>0</v>
          </cell>
        </row>
        <row r="744">
          <cell r="A744" t="str">
            <v>MZ314737</v>
          </cell>
          <cell r="B744" t="str">
            <v>Q</v>
          </cell>
          <cell r="C744" t="str">
            <v>CARGO NET OUTLANDER/PHEV</v>
          </cell>
          <cell r="D744">
            <v>34.42</v>
          </cell>
          <cell r="E744">
            <v>52.95</v>
          </cell>
          <cell r="F744">
            <v>1</v>
          </cell>
          <cell r="G744">
            <v>0</v>
          </cell>
        </row>
        <row r="745">
          <cell r="A745" t="str">
            <v>MZ314738</v>
          </cell>
          <cell r="B745" t="str">
            <v>Q</v>
          </cell>
          <cell r="C745" t="str">
            <v>LUGGAGE TRAY OUTLANDER 2014&lt;</v>
          </cell>
          <cell r="D745">
            <v>113.07</v>
          </cell>
          <cell r="E745">
            <v>173.95</v>
          </cell>
          <cell r="F745">
            <v>13</v>
          </cell>
          <cell r="G745">
            <v>0</v>
          </cell>
        </row>
        <row r="746">
          <cell r="A746" t="str">
            <v>MZ314739</v>
          </cell>
          <cell r="B746" t="str">
            <v>Q</v>
          </cell>
          <cell r="C746" t="str">
            <v>ALL WEATHER FLOOR MATS OUTLANDER 2014&lt;</v>
          </cell>
          <cell r="D746">
            <v>160.77000000000001</v>
          </cell>
          <cell r="E746">
            <v>267.95</v>
          </cell>
          <cell r="F746">
            <v>3</v>
          </cell>
          <cell r="G746">
            <v>0</v>
          </cell>
        </row>
        <row r="747">
          <cell r="A747" t="str">
            <v>MZ314740</v>
          </cell>
          <cell r="B747" t="str">
            <v>C</v>
          </cell>
          <cell r="C747" t="str">
            <v>TOUCH-UP PAINT C07</v>
          </cell>
          <cell r="D747">
            <v>15.57</v>
          </cell>
          <cell r="E747">
            <v>23.95</v>
          </cell>
          <cell r="F747">
            <v>4</v>
          </cell>
          <cell r="G747">
            <v>0</v>
          </cell>
        </row>
        <row r="748">
          <cell r="A748" t="str">
            <v>MZ314752</v>
          </cell>
          <cell r="B748" t="str">
            <v>Q</v>
          </cell>
          <cell r="C748" t="str">
            <v>WHEEL ARCH MOULDING SET</v>
          </cell>
          <cell r="D748">
            <v>553.77</v>
          </cell>
          <cell r="E748">
            <v>851.95</v>
          </cell>
          <cell r="F748">
            <v>1</v>
          </cell>
          <cell r="G748">
            <v>0</v>
          </cell>
        </row>
        <row r="749">
          <cell r="A749" t="str">
            <v>MZ314753</v>
          </cell>
          <cell r="B749" t="str">
            <v>F</v>
          </cell>
          <cell r="C749" t="str">
            <v>FR WHEEL ARCH MOULDNG SERV-RH</v>
          </cell>
          <cell r="D749">
            <v>242.37</v>
          </cell>
          <cell r="E749">
            <v>403.95</v>
          </cell>
          <cell r="F749">
            <v>0</v>
          </cell>
          <cell r="G749">
            <v>0</v>
          </cell>
        </row>
        <row r="750">
          <cell r="A750" t="str">
            <v>MZ314754</v>
          </cell>
          <cell r="B750" t="str">
            <v>Z</v>
          </cell>
          <cell r="C750" t="str">
            <v>FR WHEEL ARCH MOULDNG SERV-LH</v>
          </cell>
          <cell r="D750">
            <v>242.37</v>
          </cell>
          <cell r="E750">
            <v>403.95</v>
          </cell>
          <cell r="F750">
            <v>0</v>
          </cell>
          <cell r="G750">
            <v>0</v>
          </cell>
        </row>
        <row r="751">
          <cell r="A751" t="str">
            <v>MZ314755</v>
          </cell>
          <cell r="B751" t="str">
            <v>D</v>
          </cell>
          <cell r="C751" t="str">
            <v>RR WHEEL ARCH MOULDNG SERV-RH</v>
          </cell>
          <cell r="D751">
            <v>242.37</v>
          </cell>
          <cell r="E751">
            <v>403.95</v>
          </cell>
          <cell r="F751">
            <v>1</v>
          </cell>
          <cell r="G751">
            <v>0</v>
          </cell>
        </row>
        <row r="752">
          <cell r="A752" t="str">
            <v>MZ314756</v>
          </cell>
          <cell r="B752" t="str">
            <v>F</v>
          </cell>
          <cell r="C752" t="str">
            <v>RR WHEEL ARCH MOULDNG SERV-LH</v>
          </cell>
          <cell r="D752">
            <v>242.37</v>
          </cell>
          <cell r="E752">
            <v>403.95</v>
          </cell>
          <cell r="F752">
            <v>0</v>
          </cell>
          <cell r="G752">
            <v>0</v>
          </cell>
        </row>
        <row r="753">
          <cell r="A753" t="str">
            <v>MZ314758</v>
          </cell>
          <cell r="B753" t="str">
            <v>S</v>
          </cell>
          <cell r="C753" t="str">
            <v>SIDE EXTENSION SET</v>
          </cell>
          <cell r="D753">
            <v>353.97</v>
          </cell>
          <cell r="E753">
            <v>589.95000000000005</v>
          </cell>
          <cell r="F753">
            <v>0</v>
          </cell>
          <cell r="G753">
            <v>0</v>
          </cell>
        </row>
        <row r="754">
          <cell r="A754" t="str">
            <v>MZ314764</v>
          </cell>
          <cell r="B754" t="str">
            <v>S</v>
          </cell>
          <cell r="C754" t="str">
            <v>BODY SIDE MOLDING SET-U04</v>
          </cell>
          <cell r="D754">
            <v>177.42</v>
          </cell>
          <cell r="E754">
            <v>272.95</v>
          </cell>
          <cell r="F754">
            <v>0</v>
          </cell>
          <cell r="G754">
            <v>0</v>
          </cell>
        </row>
        <row r="755">
          <cell r="A755" t="str">
            <v>MZ314765</v>
          </cell>
          <cell r="B755" t="str">
            <v>U</v>
          </cell>
          <cell r="C755" t="str">
            <v>BODY SIDE MOLDING SET-U17</v>
          </cell>
          <cell r="D755">
            <v>263.87</v>
          </cell>
          <cell r="E755">
            <v>405.95</v>
          </cell>
          <cell r="F755">
            <v>0</v>
          </cell>
          <cell r="G755">
            <v>0</v>
          </cell>
        </row>
        <row r="756">
          <cell r="A756" t="str">
            <v>MZ314766</v>
          </cell>
          <cell r="B756" t="str">
            <v>U</v>
          </cell>
          <cell r="C756" t="str">
            <v>BODY SIDE MOLDING SET-P26</v>
          </cell>
          <cell r="D756">
            <v>261.66000000000003</v>
          </cell>
          <cell r="E756">
            <v>436.95</v>
          </cell>
          <cell r="F756">
            <v>0</v>
          </cell>
          <cell r="G756">
            <v>0</v>
          </cell>
        </row>
        <row r="757">
          <cell r="A757" t="str">
            <v>MZ314767</v>
          </cell>
          <cell r="B757" t="str">
            <v>S</v>
          </cell>
          <cell r="C757" t="str">
            <v>BODY SIDE MOLDING SET-D17</v>
          </cell>
          <cell r="D757">
            <v>152.97</v>
          </cell>
          <cell r="E757">
            <v>254.95</v>
          </cell>
          <cell r="F757">
            <v>0</v>
          </cell>
          <cell r="G757">
            <v>0</v>
          </cell>
        </row>
        <row r="758">
          <cell r="A758" t="str">
            <v>MZ314768</v>
          </cell>
          <cell r="B758" t="str">
            <v>O</v>
          </cell>
          <cell r="C758" t="str">
            <v>BODY SIDE MOLDING SET-W55</v>
          </cell>
          <cell r="D758">
            <v>177.42</v>
          </cell>
          <cell r="E758">
            <v>272.95</v>
          </cell>
          <cell r="F758">
            <v>1</v>
          </cell>
          <cell r="G758">
            <v>0</v>
          </cell>
        </row>
        <row r="759">
          <cell r="A759" t="str">
            <v>MZ314769</v>
          </cell>
          <cell r="B759" t="str">
            <v>U</v>
          </cell>
          <cell r="C759" t="str">
            <v>BODY SIDE MOLDING SET-X42</v>
          </cell>
          <cell r="D759">
            <v>243.57</v>
          </cell>
          <cell r="E759">
            <v>405.95</v>
          </cell>
          <cell r="F759">
            <v>0</v>
          </cell>
          <cell r="G759">
            <v>0</v>
          </cell>
        </row>
        <row r="760">
          <cell r="A760" t="str">
            <v>MZ314774</v>
          </cell>
          <cell r="B760" t="str">
            <v>O</v>
          </cell>
          <cell r="C760" t="str">
            <v>FOGLAMP KIT (SOP)</v>
          </cell>
          <cell r="D760">
            <v>428.86</v>
          </cell>
          <cell r="E760">
            <v>714.95</v>
          </cell>
          <cell r="F760">
            <v>3</v>
          </cell>
          <cell r="G760">
            <v>0</v>
          </cell>
        </row>
        <row r="761">
          <cell r="A761" t="str">
            <v>MZ314775</v>
          </cell>
          <cell r="B761" t="str">
            <v>D</v>
          </cell>
          <cell r="C761" t="str">
            <v>CARGO MAT MIRAGE</v>
          </cell>
          <cell r="D761">
            <v>80.459999999999994</v>
          </cell>
          <cell r="E761">
            <v>134.94999999999999</v>
          </cell>
          <cell r="F761">
            <v>1</v>
          </cell>
          <cell r="G761">
            <v>0</v>
          </cell>
        </row>
        <row r="762">
          <cell r="A762" t="str">
            <v>MZ314776</v>
          </cell>
          <cell r="B762" t="str">
            <v>D</v>
          </cell>
          <cell r="C762" t="str">
            <v>CARGO NET MIRAGE</v>
          </cell>
          <cell r="D762">
            <v>57.17</v>
          </cell>
          <cell r="E762">
            <v>87.95</v>
          </cell>
          <cell r="F762">
            <v>1</v>
          </cell>
          <cell r="G762">
            <v>0</v>
          </cell>
        </row>
        <row r="763">
          <cell r="A763" t="str">
            <v>MZ314777</v>
          </cell>
          <cell r="B763" t="str">
            <v>D</v>
          </cell>
          <cell r="C763" t="str">
            <v>REAR BUMPER PROTECTION FOIL</v>
          </cell>
          <cell r="D763">
            <v>67.17</v>
          </cell>
          <cell r="E763">
            <v>111.95</v>
          </cell>
          <cell r="F763">
            <v>3</v>
          </cell>
          <cell r="G763">
            <v>0</v>
          </cell>
        </row>
        <row r="764">
          <cell r="A764" t="str">
            <v>MZ314781</v>
          </cell>
          <cell r="B764" t="str">
            <v>S</v>
          </cell>
          <cell r="C764" t="str">
            <v>NAVIGATION INSTALL KIT</v>
          </cell>
          <cell r="D764">
            <v>155.97</v>
          </cell>
          <cell r="E764">
            <v>259.95</v>
          </cell>
          <cell r="F764">
            <v>0</v>
          </cell>
          <cell r="G764">
            <v>0</v>
          </cell>
        </row>
        <row r="765">
          <cell r="A765" t="str">
            <v>MZ314787</v>
          </cell>
          <cell r="B765" t="str">
            <v>C</v>
          </cell>
          <cell r="C765" t="str">
            <v>TOUCH-UP PAINT- PEN A02</v>
          </cell>
          <cell r="D765">
            <v>15.57</v>
          </cell>
          <cell r="E765">
            <v>23.95</v>
          </cell>
          <cell r="F765">
            <v>15</v>
          </cell>
          <cell r="G765">
            <v>0</v>
          </cell>
        </row>
        <row r="766">
          <cell r="A766" t="str">
            <v>MZ314788</v>
          </cell>
          <cell r="B766" t="str">
            <v>C</v>
          </cell>
          <cell r="C766" t="str">
            <v>TOUCH-UP PAINT- PEN A66</v>
          </cell>
          <cell r="D766">
            <v>15.57</v>
          </cell>
          <cell r="E766">
            <v>23.95</v>
          </cell>
          <cell r="F766">
            <v>24</v>
          </cell>
          <cell r="G766">
            <v>0</v>
          </cell>
        </row>
        <row r="767">
          <cell r="A767" t="str">
            <v>MZ314789</v>
          </cell>
          <cell r="B767" t="str">
            <v>D</v>
          </cell>
          <cell r="C767" t="str">
            <v>TOUCH-UP PAINT- PEN F24</v>
          </cell>
          <cell r="D767">
            <v>15.57</v>
          </cell>
          <cell r="E767">
            <v>23.95</v>
          </cell>
          <cell r="F767">
            <v>8</v>
          </cell>
          <cell r="G767">
            <v>0</v>
          </cell>
        </row>
        <row r="768">
          <cell r="A768" t="str">
            <v>MZ314790</v>
          </cell>
          <cell r="B768" t="str">
            <v>C</v>
          </cell>
          <cell r="C768" t="str">
            <v>TOUCH-UP PAINT- PEN P19</v>
          </cell>
          <cell r="D768">
            <v>15.57</v>
          </cell>
          <cell r="E768">
            <v>23.95</v>
          </cell>
          <cell r="F768">
            <v>14</v>
          </cell>
          <cell r="G768">
            <v>0</v>
          </cell>
        </row>
        <row r="769">
          <cell r="A769" t="str">
            <v>MZ314791</v>
          </cell>
          <cell r="B769" t="str">
            <v>C</v>
          </cell>
          <cell r="C769" t="str">
            <v>TOUCH-UP PAINT- PEN T69</v>
          </cell>
          <cell r="D769">
            <v>15.57</v>
          </cell>
          <cell r="E769">
            <v>23.95</v>
          </cell>
          <cell r="F769">
            <v>18</v>
          </cell>
          <cell r="G769">
            <v>0</v>
          </cell>
        </row>
        <row r="770">
          <cell r="A770" t="str">
            <v>MZ314792</v>
          </cell>
          <cell r="B770" t="str">
            <v>C</v>
          </cell>
          <cell r="C770" t="str">
            <v>TOUCH-UP PAINT- PEN V08</v>
          </cell>
          <cell r="D770">
            <v>15.57</v>
          </cell>
          <cell r="E770">
            <v>23.95</v>
          </cell>
          <cell r="F770">
            <v>15</v>
          </cell>
          <cell r="G770">
            <v>0</v>
          </cell>
        </row>
        <row r="771">
          <cell r="A771" t="str">
            <v>MZ314793</v>
          </cell>
          <cell r="B771" t="str">
            <v>C</v>
          </cell>
          <cell r="C771" t="str">
            <v>TOUCH-UP PAINT- PEN W19</v>
          </cell>
          <cell r="D771">
            <v>15.57</v>
          </cell>
          <cell r="E771">
            <v>23.95</v>
          </cell>
          <cell r="F771">
            <v>7</v>
          </cell>
          <cell r="G771">
            <v>0</v>
          </cell>
        </row>
        <row r="772">
          <cell r="A772" t="str">
            <v>MZ314794</v>
          </cell>
          <cell r="B772" t="str">
            <v>C</v>
          </cell>
          <cell r="C772" t="str">
            <v>TOUCH-UP PAINT- PEN X08</v>
          </cell>
          <cell r="D772">
            <v>15.57</v>
          </cell>
          <cell r="E772">
            <v>23.95</v>
          </cell>
          <cell r="F772">
            <v>20</v>
          </cell>
          <cell r="G772">
            <v>0</v>
          </cell>
        </row>
        <row r="773">
          <cell r="A773" t="str">
            <v>MZ314795</v>
          </cell>
          <cell r="B773" t="str">
            <v>F</v>
          </cell>
          <cell r="C773" t="str">
            <v>FLOOR MAT SET</v>
          </cell>
          <cell r="D773">
            <v>105.57</v>
          </cell>
          <cell r="E773">
            <v>175.95</v>
          </cell>
          <cell r="F773">
            <v>0</v>
          </cell>
          <cell r="G773">
            <v>0</v>
          </cell>
        </row>
        <row r="774">
          <cell r="A774" t="str">
            <v>MZ314796</v>
          </cell>
          <cell r="B774" t="str">
            <v>Z</v>
          </cell>
          <cell r="C774" t="str">
            <v>BODY SIDE MOULDINGS BLACK MIRA</v>
          </cell>
          <cell r="D774">
            <v>159.57</v>
          </cell>
          <cell r="E774">
            <v>265.95</v>
          </cell>
          <cell r="F774">
            <v>0</v>
          </cell>
          <cell r="G774">
            <v>0</v>
          </cell>
        </row>
        <row r="775">
          <cell r="A775" t="str">
            <v>MZ314797</v>
          </cell>
          <cell r="B775" t="str">
            <v>D</v>
          </cell>
          <cell r="C775" t="str">
            <v>LICENSE PLATE FRAME MIRAGE</v>
          </cell>
          <cell r="D775">
            <v>42.87</v>
          </cell>
          <cell r="E775">
            <v>65.95</v>
          </cell>
          <cell r="F775">
            <v>6</v>
          </cell>
          <cell r="G775">
            <v>0</v>
          </cell>
        </row>
        <row r="776">
          <cell r="A776" t="str">
            <v>MZ314798</v>
          </cell>
          <cell r="B776" t="str">
            <v>U</v>
          </cell>
          <cell r="C776" t="str">
            <v>SIDE PROTECTION MOULDING P26</v>
          </cell>
          <cell r="D776">
            <v>263.87</v>
          </cell>
          <cell r="E776">
            <v>405.95</v>
          </cell>
          <cell r="F776">
            <v>0</v>
          </cell>
          <cell r="G776">
            <v>0</v>
          </cell>
        </row>
        <row r="777">
          <cell r="A777" t="str">
            <v>MZ314800</v>
          </cell>
          <cell r="B777" t="str">
            <v>S</v>
          </cell>
          <cell r="C777" t="str">
            <v>ALLOY FUEL DOOR</v>
          </cell>
          <cell r="D777">
            <v>200.37</v>
          </cell>
          <cell r="E777">
            <v>333.95</v>
          </cell>
          <cell r="F777">
            <v>2</v>
          </cell>
          <cell r="G777">
            <v>0</v>
          </cell>
        </row>
        <row r="778">
          <cell r="A778" t="str">
            <v>MZ314807</v>
          </cell>
          <cell r="B778" t="str">
            <v>F</v>
          </cell>
          <cell r="C778" t="str">
            <v>FOG LAMP KIT</v>
          </cell>
          <cell r="D778">
            <v>332.96</v>
          </cell>
          <cell r="E778">
            <v>554.95000000000005</v>
          </cell>
          <cell r="F778">
            <v>0</v>
          </cell>
          <cell r="G778">
            <v>0</v>
          </cell>
        </row>
        <row r="779">
          <cell r="A779" t="str">
            <v>MZ314811</v>
          </cell>
          <cell r="B779" t="str">
            <v>U</v>
          </cell>
          <cell r="C779" t="str">
            <v>BODY SIDE MOLDING SET-D06</v>
          </cell>
          <cell r="D779">
            <v>263.87</v>
          </cell>
          <cell r="E779">
            <v>405.95</v>
          </cell>
          <cell r="F779">
            <v>0</v>
          </cell>
          <cell r="G779">
            <v>0</v>
          </cell>
        </row>
        <row r="780">
          <cell r="A780" t="str">
            <v>MZ314812</v>
          </cell>
          <cell r="B780" t="str">
            <v>F</v>
          </cell>
          <cell r="C780" t="str">
            <v>TOUCH-UP PAINT PEN,BLUE,D22</v>
          </cell>
          <cell r="D780">
            <v>15.57</v>
          </cell>
          <cell r="E780">
            <v>23.95</v>
          </cell>
          <cell r="F780">
            <v>5</v>
          </cell>
          <cell r="G780">
            <v>0</v>
          </cell>
        </row>
        <row r="781">
          <cell r="A781" t="str">
            <v>MZ314813</v>
          </cell>
          <cell r="B781" t="str">
            <v>Q</v>
          </cell>
          <cell r="C781" t="str">
            <v>FLOOR MAT- THIRD ROW- FABRIC</v>
          </cell>
          <cell r="D781">
            <v>34.159999999999997</v>
          </cell>
          <cell r="E781">
            <v>56.95</v>
          </cell>
          <cell r="F781">
            <v>1</v>
          </cell>
          <cell r="G781">
            <v>0</v>
          </cell>
        </row>
        <row r="782">
          <cell r="A782" t="str">
            <v>MZ314816</v>
          </cell>
          <cell r="B782" t="str">
            <v>Z</v>
          </cell>
          <cell r="C782" t="str">
            <v>Bike Carrier, Fork Mount</v>
          </cell>
          <cell r="D782">
            <v>0.01</v>
          </cell>
          <cell r="E782">
            <v>0</v>
          </cell>
          <cell r="F782">
            <v>0</v>
          </cell>
          <cell r="G782">
            <v>0</v>
          </cell>
        </row>
        <row r="783">
          <cell r="A783" t="str">
            <v>MZ314817</v>
          </cell>
          <cell r="B783" t="str">
            <v>Q</v>
          </cell>
          <cell r="C783" t="str">
            <v>ENGINE BLOCK HEATER MIRAGE</v>
          </cell>
          <cell r="D783">
            <v>88.87</v>
          </cell>
          <cell r="E783">
            <v>148.94999999999999</v>
          </cell>
          <cell r="F783">
            <v>34</v>
          </cell>
          <cell r="G783">
            <v>0</v>
          </cell>
        </row>
        <row r="784">
          <cell r="A784" t="str">
            <v>MZ314833</v>
          </cell>
          <cell r="B784" t="str">
            <v>Z</v>
          </cell>
          <cell r="C784" t="str">
            <v>NAVIGATION INSTALL KIT</v>
          </cell>
          <cell r="D784">
            <v>135.69999999999999</v>
          </cell>
          <cell r="E784">
            <v>180.95</v>
          </cell>
          <cell r="F784">
            <v>0</v>
          </cell>
          <cell r="G784">
            <v>0</v>
          </cell>
        </row>
        <row r="785">
          <cell r="A785" t="str">
            <v>MZ314842</v>
          </cell>
          <cell r="B785" t="str">
            <v>F</v>
          </cell>
          <cell r="C785" t="str">
            <v>Floor Mats, All Weather</v>
          </cell>
          <cell r="D785">
            <v>0.01</v>
          </cell>
          <cell r="E785">
            <v>0</v>
          </cell>
          <cell r="F785">
            <v>0</v>
          </cell>
          <cell r="G785">
            <v>0</v>
          </cell>
        </row>
        <row r="786">
          <cell r="A786" t="str">
            <v>MZ314844</v>
          </cell>
          <cell r="B786" t="str">
            <v>C</v>
          </cell>
          <cell r="C786" t="str">
            <v>ENGINE BLOCK HEATER KIT - 2.4</v>
          </cell>
          <cell r="D786">
            <v>85.5</v>
          </cell>
          <cell r="E786">
            <v>142.94999999999999</v>
          </cell>
          <cell r="F786">
            <v>88</v>
          </cell>
          <cell r="G786">
            <v>20</v>
          </cell>
        </row>
        <row r="787">
          <cell r="A787" t="str">
            <v>MZ314870</v>
          </cell>
          <cell r="B787" t="str">
            <v>U</v>
          </cell>
          <cell r="C787" t="str">
            <v>BODY SIDE MOLDINGS- BROWN C06</v>
          </cell>
          <cell r="D787">
            <v>263.87</v>
          </cell>
          <cell r="E787">
            <v>405.95</v>
          </cell>
          <cell r="F787">
            <v>0</v>
          </cell>
          <cell r="G787">
            <v>0</v>
          </cell>
        </row>
        <row r="788">
          <cell r="A788" t="str">
            <v>MZ314877</v>
          </cell>
          <cell r="B788" t="str">
            <v>C</v>
          </cell>
          <cell r="C788" t="str">
            <v>TOUCH-UP PAINT PEN,WHITE,W54</v>
          </cell>
          <cell r="D788">
            <v>15.57</v>
          </cell>
          <cell r="E788">
            <v>23.95</v>
          </cell>
          <cell r="F788">
            <v>3</v>
          </cell>
          <cell r="G788">
            <v>0</v>
          </cell>
        </row>
        <row r="789">
          <cell r="A789" t="str">
            <v>MZ314878</v>
          </cell>
          <cell r="B789" t="str">
            <v>Q</v>
          </cell>
          <cell r="C789" t="str">
            <v>CARGO LINER- OUTLANDER &amp; PHEV</v>
          </cell>
          <cell r="D789">
            <v>64.17</v>
          </cell>
          <cell r="E789">
            <v>106.95</v>
          </cell>
          <cell r="F789">
            <v>292</v>
          </cell>
          <cell r="G789">
            <v>0</v>
          </cell>
        </row>
        <row r="790">
          <cell r="A790" t="str">
            <v>MZ314894</v>
          </cell>
          <cell r="B790" t="str">
            <v>F</v>
          </cell>
          <cell r="C790" t="str">
            <v>SIDE PROTECTION MOLDING - X40</v>
          </cell>
          <cell r="D790">
            <v>227.47</v>
          </cell>
          <cell r="E790">
            <v>349.95</v>
          </cell>
          <cell r="F790">
            <v>0</v>
          </cell>
          <cell r="G790">
            <v>0</v>
          </cell>
        </row>
        <row r="791">
          <cell r="A791" t="str">
            <v>MZ314908</v>
          </cell>
          <cell r="B791" t="str">
            <v>F</v>
          </cell>
          <cell r="C791" t="str">
            <v>ROCKFORD FOSGATE PREMIUM AUDIO</v>
          </cell>
          <cell r="D791">
            <v>831.57</v>
          </cell>
          <cell r="E791">
            <v>1385.95</v>
          </cell>
          <cell r="F791">
            <v>0</v>
          </cell>
          <cell r="G791">
            <v>0</v>
          </cell>
        </row>
        <row r="792">
          <cell r="A792" t="str">
            <v>MZ314912</v>
          </cell>
          <cell r="B792" t="str">
            <v>F</v>
          </cell>
          <cell r="C792" t="str">
            <v>AMPLIFIER,ROCKFORD,MIRAGE</v>
          </cell>
          <cell r="D792">
            <v>312.57</v>
          </cell>
          <cell r="E792">
            <v>520.95000000000005</v>
          </cell>
          <cell r="F792">
            <v>0</v>
          </cell>
          <cell r="G792">
            <v>0</v>
          </cell>
        </row>
        <row r="793">
          <cell r="A793" t="str">
            <v>MZ314913</v>
          </cell>
          <cell r="B793" t="str">
            <v>F</v>
          </cell>
          <cell r="C793" t="str">
            <v>INSTALL KIT,ROCKFORD,MIRAGE</v>
          </cell>
          <cell r="D793">
            <v>249.57</v>
          </cell>
          <cell r="E793">
            <v>415.95</v>
          </cell>
          <cell r="F793">
            <v>0</v>
          </cell>
          <cell r="G793">
            <v>0</v>
          </cell>
        </row>
        <row r="794">
          <cell r="A794" t="str">
            <v>MZ314914</v>
          </cell>
          <cell r="B794" t="str">
            <v>F</v>
          </cell>
          <cell r="C794" t="str">
            <v>SUBWOOFER,ROCKFORD,MIRAGE</v>
          </cell>
          <cell r="D794">
            <v>299.37</v>
          </cell>
          <cell r="E794">
            <v>498.95</v>
          </cell>
          <cell r="F794">
            <v>0</v>
          </cell>
          <cell r="G794">
            <v>0</v>
          </cell>
        </row>
        <row r="795">
          <cell r="A795" t="str">
            <v>MZ314922</v>
          </cell>
          <cell r="B795" t="str">
            <v>F</v>
          </cell>
          <cell r="C795" t="str">
            <v>FLOOR MATS, CARPET - G4</v>
          </cell>
          <cell r="D795">
            <v>105.57</v>
          </cell>
          <cell r="E795">
            <v>175.95</v>
          </cell>
          <cell r="F795">
            <v>0</v>
          </cell>
          <cell r="G795">
            <v>0</v>
          </cell>
        </row>
        <row r="796">
          <cell r="A796" t="str">
            <v>MZ314923</v>
          </cell>
          <cell r="B796" t="str">
            <v>Q</v>
          </cell>
          <cell r="C796" t="str">
            <v>FLOOR MATS, ALL WEATHER</v>
          </cell>
          <cell r="D796">
            <v>139.41</v>
          </cell>
          <cell r="E796">
            <v>232.95</v>
          </cell>
          <cell r="F796">
            <v>4</v>
          </cell>
          <cell r="G796">
            <v>0</v>
          </cell>
        </row>
        <row r="797">
          <cell r="A797" t="str">
            <v>MZ314924</v>
          </cell>
          <cell r="B797" t="str">
            <v>S</v>
          </cell>
          <cell r="C797" t="str">
            <v>CARGO MAT</v>
          </cell>
          <cell r="D797">
            <v>101.89</v>
          </cell>
          <cell r="E797">
            <v>169.95</v>
          </cell>
          <cell r="F797">
            <v>0</v>
          </cell>
          <cell r="G797">
            <v>0</v>
          </cell>
        </row>
        <row r="798">
          <cell r="A798" t="str">
            <v>MZ314925</v>
          </cell>
          <cell r="B798" t="str">
            <v>S</v>
          </cell>
          <cell r="C798" t="str">
            <v>CARGO NET</v>
          </cell>
          <cell r="D798">
            <v>64.17</v>
          </cell>
          <cell r="E798">
            <v>106.95</v>
          </cell>
          <cell r="F798">
            <v>1</v>
          </cell>
          <cell r="G798">
            <v>0</v>
          </cell>
        </row>
        <row r="799">
          <cell r="A799" t="str">
            <v>MZ314927</v>
          </cell>
          <cell r="B799" t="str">
            <v>C</v>
          </cell>
          <cell r="C799" t="str">
            <v>TOUCH-UP PAINT M09</v>
          </cell>
          <cell r="D799">
            <v>15.57</v>
          </cell>
          <cell r="E799">
            <v>23.95</v>
          </cell>
          <cell r="F799">
            <v>4</v>
          </cell>
          <cell r="G799">
            <v>0</v>
          </cell>
        </row>
        <row r="800">
          <cell r="A800" t="str">
            <v>MZ314928</v>
          </cell>
          <cell r="B800" t="str">
            <v>C</v>
          </cell>
          <cell r="C800" t="str">
            <v>PAINT TOUCH UP PENS - P57</v>
          </cell>
          <cell r="D800">
            <v>15.57</v>
          </cell>
          <cell r="E800">
            <v>23.95</v>
          </cell>
          <cell r="F800">
            <v>15</v>
          </cell>
          <cell r="G800">
            <v>0</v>
          </cell>
        </row>
        <row r="801">
          <cell r="A801" t="str">
            <v>MZ314929</v>
          </cell>
          <cell r="B801" t="str">
            <v>B</v>
          </cell>
          <cell r="C801" t="str">
            <v>TOUCH-UP PAINT U25</v>
          </cell>
          <cell r="D801">
            <v>15.54</v>
          </cell>
          <cell r="E801">
            <v>23.95</v>
          </cell>
          <cell r="F801">
            <v>142</v>
          </cell>
          <cell r="G801">
            <v>0</v>
          </cell>
        </row>
        <row r="802">
          <cell r="A802" t="str">
            <v>MZ314940</v>
          </cell>
          <cell r="B802" t="str">
            <v>O</v>
          </cell>
          <cell r="C802" t="str">
            <v>FLOOR MATS,ALL WEATHER</v>
          </cell>
          <cell r="D802">
            <v>160.77000000000001</v>
          </cell>
          <cell r="E802">
            <v>267.95</v>
          </cell>
          <cell r="F802">
            <v>111</v>
          </cell>
          <cell r="G802">
            <v>0</v>
          </cell>
        </row>
        <row r="803">
          <cell r="A803" t="str">
            <v>MZ314941</v>
          </cell>
          <cell r="B803" t="str">
            <v>U</v>
          </cell>
          <cell r="C803" t="str">
            <v>FLOOR MATS,CARPET - PHEV</v>
          </cell>
          <cell r="D803">
            <v>118.77</v>
          </cell>
          <cell r="E803">
            <v>197.95</v>
          </cell>
          <cell r="F803">
            <v>24</v>
          </cell>
          <cell r="G803">
            <v>0</v>
          </cell>
        </row>
        <row r="804">
          <cell r="A804" t="str">
            <v>MZ314942</v>
          </cell>
          <cell r="B804" t="str">
            <v>U</v>
          </cell>
          <cell r="C804" t="str">
            <v>TOW HITCH WIRE HARNESS</v>
          </cell>
          <cell r="D804">
            <v>127.31404000000001</v>
          </cell>
          <cell r="E804">
            <v>199.95</v>
          </cell>
          <cell r="F804">
            <v>30</v>
          </cell>
          <cell r="G804">
            <v>0</v>
          </cell>
        </row>
        <row r="805">
          <cell r="A805" t="str">
            <v>MZ314952</v>
          </cell>
          <cell r="B805" t="str">
            <v>B</v>
          </cell>
          <cell r="C805" t="str">
            <v>PROTECTOR- HOOD</v>
          </cell>
          <cell r="D805">
            <v>128.97</v>
          </cell>
          <cell r="E805">
            <v>214.95</v>
          </cell>
          <cell r="F805">
            <v>13</v>
          </cell>
          <cell r="G805">
            <v>0</v>
          </cell>
        </row>
        <row r="806">
          <cell r="A806" t="str">
            <v>MZ314955</v>
          </cell>
          <cell r="B806" t="str">
            <v>C</v>
          </cell>
          <cell r="C806" t="str">
            <v>TOUCH-UP PAINT X40</v>
          </cell>
          <cell r="D806">
            <v>15.57</v>
          </cell>
          <cell r="E806">
            <v>23.95</v>
          </cell>
          <cell r="F806">
            <v>12</v>
          </cell>
          <cell r="G806">
            <v>0</v>
          </cell>
        </row>
        <row r="807">
          <cell r="A807" t="str">
            <v>MZ314965</v>
          </cell>
          <cell r="B807" t="str">
            <v>C</v>
          </cell>
          <cell r="C807" t="str">
            <v>PROTECTOR- HOOD</v>
          </cell>
          <cell r="D807">
            <v>128.97</v>
          </cell>
          <cell r="E807">
            <v>214.95</v>
          </cell>
          <cell r="F807">
            <v>67</v>
          </cell>
          <cell r="G807">
            <v>0</v>
          </cell>
        </row>
        <row r="808">
          <cell r="A808" t="str">
            <v>MZ314972</v>
          </cell>
          <cell r="B808" t="str">
            <v>F</v>
          </cell>
          <cell r="C808" t="str">
            <v>ALLOY FUEL LID</v>
          </cell>
          <cell r="D808">
            <v>0.01</v>
          </cell>
          <cell r="E808">
            <v>0.01</v>
          </cell>
          <cell r="F808">
            <v>0</v>
          </cell>
          <cell r="G808">
            <v>0</v>
          </cell>
        </row>
        <row r="809">
          <cell r="A809" t="str">
            <v>MZ314973</v>
          </cell>
          <cell r="B809" t="str">
            <v>B</v>
          </cell>
          <cell r="C809" t="str">
            <v>HOOD PROTECTOR</v>
          </cell>
          <cell r="D809">
            <v>128.37</v>
          </cell>
          <cell r="E809">
            <v>213.95</v>
          </cell>
          <cell r="F809">
            <v>16</v>
          </cell>
          <cell r="G809">
            <v>0</v>
          </cell>
        </row>
        <row r="810">
          <cell r="A810" t="str">
            <v>MZ314979</v>
          </cell>
          <cell r="B810" t="str">
            <v>A</v>
          </cell>
          <cell r="C810" t="str">
            <v>ALL SEASON RUBBER MATS ECLIPSE</v>
          </cell>
          <cell r="D810">
            <v>139.41</v>
          </cell>
          <cell r="E810">
            <v>211.95</v>
          </cell>
          <cell r="F810">
            <v>1184</v>
          </cell>
          <cell r="G810">
            <v>0</v>
          </cell>
        </row>
        <row r="811">
          <cell r="A811" t="str">
            <v>MZ314981</v>
          </cell>
          <cell r="B811" t="str">
            <v>C</v>
          </cell>
          <cell r="C811" t="str">
            <v>LUGGAGE TRAY</v>
          </cell>
          <cell r="D811">
            <v>141.57</v>
          </cell>
          <cell r="E811">
            <v>235.95</v>
          </cell>
          <cell r="F811">
            <v>85</v>
          </cell>
          <cell r="G811">
            <v>0</v>
          </cell>
        </row>
        <row r="812">
          <cell r="A812" t="str">
            <v>MZ314985</v>
          </cell>
          <cell r="B812" t="str">
            <v>C</v>
          </cell>
          <cell r="C812" t="str">
            <v>TOW BAR</v>
          </cell>
          <cell r="D812">
            <v>450.27</v>
          </cell>
          <cell r="E812">
            <v>749.95</v>
          </cell>
          <cell r="F812">
            <v>20</v>
          </cell>
          <cell r="G812">
            <v>0</v>
          </cell>
        </row>
        <row r="813">
          <cell r="A813" t="str">
            <v>MZ314988</v>
          </cell>
          <cell r="B813" t="str">
            <v>C</v>
          </cell>
          <cell r="C813" t="str">
            <v>TOWBAR HARNESS</v>
          </cell>
          <cell r="D813">
            <v>188.6</v>
          </cell>
          <cell r="E813">
            <v>312.95</v>
          </cell>
          <cell r="F813">
            <v>25</v>
          </cell>
          <cell r="G813">
            <v>0</v>
          </cell>
        </row>
        <row r="814">
          <cell r="A814" t="str">
            <v>MZ314991</v>
          </cell>
          <cell r="B814" t="str">
            <v>F</v>
          </cell>
          <cell r="C814" t="str">
            <v>LUGGAGE MAT</v>
          </cell>
          <cell r="D814">
            <v>0.01</v>
          </cell>
          <cell r="E814">
            <v>0.01</v>
          </cell>
          <cell r="F814">
            <v>0</v>
          </cell>
          <cell r="G814">
            <v>0</v>
          </cell>
        </row>
        <row r="815">
          <cell r="A815" t="str">
            <v>MZ314998</v>
          </cell>
          <cell r="B815" t="str">
            <v>S</v>
          </cell>
          <cell r="C815" t="str">
            <v>FLOOR MATS</v>
          </cell>
          <cell r="D815">
            <v>0.01</v>
          </cell>
          <cell r="E815">
            <v>0.01</v>
          </cell>
          <cell r="F815">
            <v>0</v>
          </cell>
          <cell r="G815">
            <v>0</v>
          </cell>
        </row>
        <row r="816">
          <cell r="A816" t="str">
            <v>MZ314999</v>
          </cell>
          <cell r="B816" t="str">
            <v>C</v>
          </cell>
          <cell r="C816" t="str">
            <v>ROOF CARRIER W/O RAILS</v>
          </cell>
          <cell r="D816">
            <v>409.17</v>
          </cell>
          <cell r="E816">
            <v>681.95</v>
          </cell>
          <cell r="F816">
            <v>36</v>
          </cell>
          <cell r="G816">
            <v>20</v>
          </cell>
        </row>
        <row r="817">
          <cell r="A817" t="str">
            <v>MZ315000</v>
          </cell>
          <cell r="B817" t="str">
            <v>C</v>
          </cell>
          <cell r="C817" t="str">
            <v>RC Mitsubishi 4X45 XT Wingbar</v>
          </cell>
          <cell r="D817">
            <v>467.86</v>
          </cell>
          <cell r="E817">
            <v>789.95</v>
          </cell>
          <cell r="F817">
            <v>11</v>
          </cell>
          <cell r="G817">
            <v>0</v>
          </cell>
        </row>
        <row r="818">
          <cell r="A818" t="str">
            <v>MZ315001</v>
          </cell>
          <cell r="B818" t="str">
            <v>U</v>
          </cell>
          <cell r="C818" t="str">
            <v>ENGINE BLOCK HEATER KIT - NS</v>
          </cell>
          <cell r="D818">
            <v>89.62</v>
          </cell>
          <cell r="E818">
            <v>149.94999999999999</v>
          </cell>
          <cell r="F818">
            <v>0</v>
          </cell>
          <cell r="G818">
            <v>0</v>
          </cell>
        </row>
        <row r="819">
          <cell r="A819" t="str">
            <v>MZ315002</v>
          </cell>
          <cell r="B819" t="str">
            <v>C</v>
          </cell>
          <cell r="C819" t="str">
            <v>LUGGAGE NET EC ENVELOPPE STYLE</v>
          </cell>
          <cell r="D819">
            <v>52.77</v>
          </cell>
          <cell r="E819">
            <v>87.95</v>
          </cell>
          <cell r="F819">
            <v>1</v>
          </cell>
          <cell r="G819">
            <v>0</v>
          </cell>
        </row>
        <row r="820">
          <cell r="A820" t="str">
            <v>MZ315003</v>
          </cell>
          <cell r="B820" t="str">
            <v>Z</v>
          </cell>
          <cell r="C820" t="str">
            <v>SIDE PROT MOULD SILVER (M)A31</v>
          </cell>
          <cell r="D820">
            <v>227.47</v>
          </cell>
          <cell r="E820">
            <v>349.95</v>
          </cell>
          <cell r="F820">
            <v>0</v>
          </cell>
          <cell r="G820">
            <v>0</v>
          </cell>
        </row>
        <row r="821">
          <cell r="A821" t="str">
            <v>MZ315005</v>
          </cell>
          <cell r="B821" t="str">
            <v>S</v>
          </cell>
          <cell r="C821" t="str">
            <v>SIDE PROT. MOULD. COSMIC BLUE</v>
          </cell>
          <cell r="D821">
            <v>243.57</v>
          </cell>
          <cell r="E821">
            <v>405.95</v>
          </cell>
          <cell r="F821">
            <v>2</v>
          </cell>
          <cell r="G821">
            <v>0</v>
          </cell>
        </row>
        <row r="822">
          <cell r="A822" t="str">
            <v>MZ315006</v>
          </cell>
          <cell r="B822" t="str">
            <v>O</v>
          </cell>
          <cell r="C822" t="str">
            <v>SIDE PROT MOULD T-GREY (M)U17</v>
          </cell>
          <cell r="D822">
            <v>263.87</v>
          </cell>
          <cell r="E822">
            <v>405.95</v>
          </cell>
          <cell r="F822">
            <v>11</v>
          </cell>
          <cell r="G822">
            <v>0</v>
          </cell>
        </row>
        <row r="823">
          <cell r="A823" t="str">
            <v>MZ315008</v>
          </cell>
          <cell r="B823" t="str">
            <v>O</v>
          </cell>
          <cell r="C823" t="str">
            <v>SIDE PROT. MOULD WHITE (P)W13</v>
          </cell>
          <cell r="D823">
            <v>263.87</v>
          </cell>
          <cell r="E823">
            <v>405.95</v>
          </cell>
          <cell r="F823">
            <v>25</v>
          </cell>
          <cell r="G823">
            <v>0</v>
          </cell>
        </row>
        <row r="824">
          <cell r="A824" t="str">
            <v>MZ315010</v>
          </cell>
          <cell r="B824" t="str">
            <v>Z</v>
          </cell>
          <cell r="C824" t="str">
            <v>SIDE PROT MOULD BLACK (P) X42</v>
          </cell>
          <cell r="D824">
            <v>263.87</v>
          </cell>
          <cell r="E824">
            <v>405.95</v>
          </cell>
          <cell r="F824">
            <v>0</v>
          </cell>
          <cell r="G824">
            <v>0</v>
          </cell>
        </row>
        <row r="825">
          <cell r="A825" t="str">
            <v>MZ315011</v>
          </cell>
          <cell r="B825" t="str">
            <v>O</v>
          </cell>
          <cell r="C825" t="str">
            <v>SIDE PROTECTION MOULDING P26</v>
          </cell>
          <cell r="D825">
            <v>263.87</v>
          </cell>
          <cell r="E825">
            <v>405.95</v>
          </cell>
          <cell r="F825">
            <v>0</v>
          </cell>
          <cell r="G825">
            <v>1</v>
          </cell>
        </row>
        <row r="826">
          <cell r="A826" t="str">
            <v>MZ315012</v>
          </cell>
          <cell r="B826" t="str">
            <v>Z</v>
          </cell>
          <cell r="C826" t="str">
            <v>BODY SIDE MOLDINGS- BROWN C06</v>
          </cell>
          <cell r="D826">
            <v>263.87</v>
          </cell>
          <cell r="E826">
            <v>405.95</v>
          </cell>
          <cell r="F826">
            <v>0</v>
          </cell>
          <cell r="G826">
            <v>0</v>
          </cell>
        </row>
        <row r="827">
          <cell r="A827" t="str">
            <v>MZ315013</v>
          </cell>
          <cell r="B827" t="str">
            <v>U</v>
          </cell>
          <cell r="C827" t="str">
            <v>SIDE PROTECTION MOLDING - X40</v>
          </cell>
          <cell r="D827">
            <v>227.47</v>
          </cell>
          <cell r="E827">
            <v>349.95</v>
          </cell>
          <cell r="F827">
            <v>0</v>
          </cell>
          <cell r="G827">
            <v>0</v>
          </cell>
        </row>
        <row r="828">
          <cell r="A828" t="str">
            <v>MZ315015</v>
          </cell>
          <cell r="B828" t="str">
            <v>U</v>
          </cell>
          <cell r="C828" t="str">
            <v>BODY SIDE MOLDING SET-U17</v>
          </cell>
          <cell r="D828">
            <v>263.87</v>
          </cell>
          <cell r="E828">
            <v>405.95</v>
          </cell>
          <cell r="F828">
            <v>0</v>
          </cell>
          <cell r="G828">
            <v>0</v>
          </cell>
        </row>
        <row r="829">
          <cell r="A829" t="str">
            <v>MZ315016</v>
          </cell>
          <cell r="B829" t="str">
            <v>O</v>
          </cell>
          <cell r="C829" t="str">
            <v>BODY SIDE MOLDING SET-P26</v>
          </cell>
          <cell r="D829">
            <v>261.66000000000003</v>
          </cell>
          <cell r="E829">
            <v>436.95</v>
          </cell>
          <cell r="F829">
            <v>4</v>
          </cell>
          <cell r="G829">
            <v>0</v>
          </cell>
        </row>
        <row r="830">
          <cell r="A830" t="str">
            <v>MZ315019</v>
          </cell>
          <cell r="B830" t="str">
            <v>Z</v>
          </cell>
          <cell r="C830" t="str">
            <v>BODY SIDE MOLDING SET-X42</v>
          </cell>
          <cell r="D830">
            <v>243.57</v>
          </cell>
          <cell r="E830">
            <v>405.95</v>
          </cell>
          <cell r="F830">
            <v>0</v>
          </cell>
          <cell r="G830">
            <v>0</v>
          </cell>
        </row>
        <row r="831">
          <cell r="A831" t="str">
            <v>MZ315020</v>
          </cell>
          <cell r="B831" t="str">
            <v>Z</v>
          </cell>
          <cell r="C831" t="str">
            <v>BODY SIDE MOLDING SET-D06</v>
          </cell>
          <cell r="D831">
            <v>263.87</v>
          </cell>
          <cell r="E831">
            <v>405.95</v>
          </cell>
          <cell r="F831">
            <v>0</v>
          </cell>
          <cell r="G831">
            <v>0</v>
          </cell>
        </row>
        <row r="832">
          <cell r="A832" t="str">
            <v>MZ315021</v>
          </cell>
          <cell r="B832" t="str">
            <v>F</v>
          </cell>
          <cell r="C832" t="str">
            <v>BODY SIDE MOULDINGS,C06</v>
          </cell>
          <cell r="D832">
            <v>227.47</v>
          </cell>
          <cell r="E832">
            <v>349.95</v>
          </cell>
          <cell r="F832">
            <v>0</v>
          </cell>
          <cell r="G832">
            <v>0</v>
          </cell>
        </row>
        <row r="833">
          <cell r="A833" t="str">
            <v>MZ315022</v>
          </cell>
          <cell r="B833" t="str">
            <v>S</v>
          </cell>
          <cell r="C833" t="str">
            <v>BODY SIDE MOULDINGS,A31</v>
          </cell>
          <cell r="D833">
            <v>227.47</v>
          </cell>
          <cell r="E833">
            <v>349.95</v>
          </cell>
          <cell r="F833">
            <v>0</v>
          </cell>
          <cell r="G833">
            <v>0</v>
          </cell>
        </row>
        <row r="834">
          <cell r="A834" t="str">
            <v>MZ315023</v>
          </cell>
          <cell r="B834" t="str">
            <v>D</v>
          </cell>
          <cell r="C834" t="str">
            <v>BODY SIDE MOULDINGS,W13</v>
          </cell>
          <cell r="D834">
            <v>261.66000000000003</v>
          </cell>
          <cell r="E834">
            <v>402.95</v>
          </cell>
          <cell r="F834">
            <v>0</v>
          </cell>
          <cell r="G834">
            <v>0</v>
          </cell>
        </row>
        <row r="835">
          <cell r="A835" t="str">
            <v>MZ315037</v>
          </cell>
          <cell r="B835" t="str">
            <v>Z</v>
          </cell>
          <cell r="C835" t="str">
            <v>SIDE PROTECTION MOLDINGS - U25</v>
          </cell>
          <cell r="D835">
            <v>227.47</v>
          </cell>
          <cell r="E835">
            <v>349.95</v>
          </cell>
          <cell r="F835">
            <v>2</v>
          </cell>
          <cell r="G835">
            <v>0</v>
          </cell>
        </row>
        <row r="836">
          <cell r="A836" t="str">
            <v>MZ315038</v>
          </cell>
          <cell r="B836" t="str">
            <v>Z</v>
          </cell>
          <cell r="C836" t="str">
            <v>BODY SIDE MOULDINGS,U25</v>
          </cell>
          <cell r="D836">
            <v>227.47</v>
          </cell>
          <cell r="E836">
            <v>349.95</v>
          </cell>
          <cell r="F836">
            <v>0</v>
          </cell>
          <cell r="G836">
            <v>0</v>
          </cell>
        </row>
        <row r="837">
          <cell r="A837" t="str">
            <v>MZ315045</v>
          </cell>
          <cell r="B837" t="str">
            <v>Q</v>
          </cell>
          <cell r="C837" t="str">
            <v>LICENSE PLATE FRAME PHEV</v>
          </cell>
          <cell r="D837">
            <v>64.17</v>
          </cell>
          <cell r="E837">
            <v>106.95</v>
          </cell>
          <cell r="F837">
            <v>1</v>
          </cell>
          <cell r="G837">
            <v>0</v>
          </cell>
        </row>
        <row r="838">
          <cell r="A838" t="str">
            <v>MZ315046</v>
          </cell>
          <cell r="B838" t="str">
            <v>Z</v>
          </cell>
          <cell r="C838" t="str">
            <v>LICENSE PLATE FRAME ECLIPSE CR</v>
          </cell>
          <cell r="D838">
            <v>64.17</v>
          </cell>
          <cell r="E838">
            <v>106.95</v>
          </cell>
          <cell r="F838">
            <v>0</v>
          </cell>
          <cell r="G838">
            <v>0</v>
          </cell>
        </row>
        <row r="839">
          <cell r="A839" t="str">
            <v>MZ315047</v>
          </cell>
          <cell r="B839" t="str">
            <v>Q</v>
          </cell>
          <cell r="C839" t="str">
            <v>ALLOY FUEL DOOR</v>
          </cell>
          <cell r="D839">
            <v>208.17</v>
          </cell>
          <cell r="E839">
            <v>346.95</v>
          </cell>
          <cell r="F839">
            <v>5</v>
          </cell>
          <cell r="G839">
            <v>0</v>
          </cell>
        </row>
        <row r="840">
          <cell r="A840" t="str">
            <v>MZ315048</v>
          </cell>
          <cell r="B840" t="str">
            <v>C</v>
          </cell>
          <cell r="C840" t="str">
            <v>TOUCH-UP PAINT P62</v>
          </cell>
          <cell r="D840">
            <v>15.57</v>
          </cell>
          <cell r="E840">
            <v>23.95</v>
          </cell>
          <cell r="F840">
            <v>200</v>
          </cell>
          <cell r="G840">
            <v>0</v>
          </cell>
        </row>
        <row r="841">
          <cell r="A841" t="str">
            <v>MZ315049</v>
          </cell>
          <cell r="B841" t="str">
            <v>C</v>
          </cell>
          <cell r="C841" t="str">
            <v>TOUCH-UP PAINT C21</v>
          </cell>
          <cell r="D841">
            <v>15.57</v>
          </cell>
          <cell r="E841">
            <v>23.95</v>
          </cell>
          <cell r="F841">
            <v>18</v>
          </cell>
          <cell r="G841">
            <v>0</v>
          </cell>
        </row>
        <row r="842">
          <cell r="A842" t="str">
            <v>MZ315051</v>
          </cell>
          <cell r="B842" t="str">
            <v>D</v>
          </cell>
          <cell r="C842" t="str">
            <v>BLACK LUG NUTS AND WHEEL LOCKS</v>
          </cell>
          <cell r="D842">
            <v>278.94</v>
          </cell>
          <cell r="E842">
            <v>465.95</v>
          </cell>
          <cell r="F842">
            <v>3</v>
          </cell>
          <cell r="G842">
            <v>0</v>
          </cell>
        </row>
        <row r="843">
          <cell r="A843" t="str">
            <v>MZ315052</v>
          </cell>
          <cell r="B843" t="str">
            <v>D</v>
          </cell>
          <cell r="C843" t="str">
            <v>BLACK LUG NUTS SET  (5 PACK)</v>
          </cell>
          <cell r="D843">
            <v>117</v>
          </cell>
          <cell r="E843">
            <v>195.95</v>
          </cell>
          <cell r="F843">
            <v>1</v>
          </cell>
          <cell r="G843">
            <v>0</v>
          </cell>
        </row>
        <row r="844">
          <cell r="A844" t="str">
            <v>MZ315060B</v>
          </cell>
          <cell r="B844" t="str">
            <v>Z</v>
          </cell>
          <cell r="C844" t="str">
            <v>ALLOY WHEEL (18 IN) - BLACK</v>
          </cell>
          <cell r="D844">
            <v>209.62</v>
          </cell>
          <cell r="E844">
            <v>349.95</v>
          </cell>
          <cell r="F844">
            <v>0</v>
          </cell>
          <cell r="G844">
            <v>0</v>
          </cell>
        </row>
        <row r="845">
          <cell r="A845" t="str">
            <v>MZ315060BD</v>
          </cell>
          <cell r="B845" t="str">
            <v>Z</v>
          </cell>
          <cell r="C845" t="str">
            <v>ALLOY WHEEL (18 IN) - BLDIACUT</v>
          </cell>
          <cell r="D845">
            <v>246.52</v>
          </cell>
          <cell r="E845">
            <v>399.95</v>
          </cell>
          <cell r="F845">
            <v>0</v>
          </cell>
          <cell r="G845">
            <v>0</v>
          </cell>
        </row>
        <row r="846">
          <cell r="A846" t="str">
            <v>MZ315060G</v>
          </cell>
          <cell r="B846" t="str">
            <v>F</v>
          </cell>
          <cell r="C846" t="str">
            <v>ALLOY WHEEL (18 IN) - GREY</v>
          </cell>
          <cell r="D846">
            <v>209.62</v>
          </cell>
          <cell r="E846">
            <v>349.95</v>
          </cell>
          <cell r="F846">
            <v>31</v>
          </cell>
          <cell r="G846">
            <v>0</v>
          </cell>
        </row>
        <row r="847">
          <cell r="A847" t="str">
            <v>MZ315060S</v>
          </cell>
          <cell r="B847" t="str">
            <v>D</v>
          </cell>
          <cell r="C847" t="str">
            <v>ALLOY WHEEL (18 IN) - SILVER</v>
          </cell>
          <cell r="D847">
            <v>209.62</v>
          </cell>
          <cell r="E847">
            <v>349.95</v>
          </cell>
          <cell r="F847">
            <v>7</v>
          </cell>
          <cell r="G847">
            <v>0</v>
          </cell>
        </row>
        <row r="848">
          <cell r="A848" t="str">
            <v>MZ315066</v>
          </cell>
          <cell r="B848" t="str">
            <v>Q</v>
          </cell>
          <cell r="C848" t="str">
            <v>SCUFF PLATES</v>
          </cell>
          <cell r="D848">
            <v>116.97</v>
          </cell>
          <cell r="E848">
            <v>194.95</v>
          </cell>
          <cell r="F848">
            <v>28</v>
          </cell>
          <cell r="G848">
            <v>0</v>
          </cell>
        </row>
        <row r="849">
          <cell r="A849" t="str">
            <v>MZ315067B</v>
          </cell>
          <cell r="B849" t="str">
            <v>Z</v>
          </cell>
          <cell r="C849" t="str">
            <v>ALLOY WHEEL (16 in) - BLACK</v>
          </cell>
          <cell r="D849">
            <v>180.38</v>
          </cell>
          <cell r="E849">
            <v>299.95</v>
          </cell>
          <cell r="F849">
            <v>0</v>
          </cell>
          <cell r="G849">
            <v>0</v>
          </cell>
        </row>
        <row r="850">
          <cell r="A850" t="str">
            <v>MZ315067BD</v>
          </cell>
          <cell r="B850" t="str">
            <v>Z</v>
          </cell>
          <cell r="C850" t="str">
            <v>ALLOY WHEEL (16 IN) - BLDIACUT</v>
          </cell>
          <cell r="D850">
            <v>209.42</v>
          </cell>
          <cell r="E850">
            <v>349.95</v>
          </cell>
          <cell r="F850">
            <v>0</v>
          </cell>
          <cell r="G850">
            <v>0</v>
          </cell>
        </row>
        <row r="851">
          <cell r="A851" t="str">
            <v>MZ315067G</v>
          </cell>
          <cell r="B851" t="str">
            <v>D</v>
          </cell>
          <cell r="C851" t="str">
            <v>ALLOY WHEEL (16 IN) - GREY</v>
          </cell>
          <cell r="D851">
            <v>180.38</v>
          </cell>
          <cell r="E851">
            <v>299.95</v>
          </cell>
          <cell r="F851">
            <v>4</v>
          </cell>
          <cell r="G851">
            <v>0</v>
          </cell>
        </row>
        <row r="852">
          <cell r="A852" t="str">
            <v>MZ315067S</v>
          </cell>
          <cell r="B852" t="str">
            <v>D</v>
          </cell>
          <cell r="C852" t="str">
            <v>ALLOY WHEEL (16 IN) - SILVER</v>
          </cell>
          <cell r="D852">
            <v>180.38</v>
          </cell>
          <cell r="E852">
            <v>299.95</v>
          </cell>
          <cell r="F852">
            <v>4</v>
          </cell>
          <cell r="G852">
            <v>0</v>
          </cell>
        </row>
        <row r="853">
          <cell r="A853" t="str">
            <v>MZ315080</v>
          </cell>
          <cell r="B853" t="str">
            <v>Q</v>
          </cell>
          <cell r="C853" t="str">
            <v>TOW HITCH WIRING HARNESS</v>
          </cell>
          <cell r="D853">
            <v>123.97301</v>
          </cell>
          <cell r="E853">
            <v>199.95</v>
          </cell>
          <cell r="F853">
            <v>253</v>
          </cell>
          <cell r="G853">
            <v>0</v>
          </cell>
        </row>
        <row r="854">
          <cell r="A854" t="str">
            <v>MZ315081</v>
          </cell>
          <cell r="B854" t="str">
            <v>Q</v>
          </cell>
          <cell r="C854" t="str">
            <v>TOW HITCH HARNESS</v>
          </cell>
          <cell r="D854">
            <v>127.31404000000001</v>
          </cell>
          <cell r="E854">
            <v>199.95</v>
          </cell>
          <cell r="F854">
            <v>108</v>
          </cell>
          <cell r="G854">
            <v>0</v>
          </cell>
        </row>
        <row r="855">
          <cell r="A855" t="str">
            <v>MZ315109</v>
          </cell>
          <cell r="B855" t="str">
            <v>F</v>
          </cell>
          <cell r="C855" t="str">
            <v>Scuff Plates</v>
          </cell>
          <cell r="D855">
            <v>0.01</v>
          </cell>
          <cell r="E855">
            <v>0</v>
          </cell>
          <cell r="F855">
            <v>0</v>
          </cell>
          <cell r="G855">
            <v>0</v>
          </cell>
        </row>
        <row r="856">
          <cell r="A856" t="str">
            <v>MZ315110</v>
          </cell>
          <cell r="B856" t="str">
            <v>B</v>
          </cell>
          <cell r="C856" t="str">
            <v>HOOD PROTECTOR-MY20RVR</v>
          </cell>
          <cell r="D856">
            <v>160.77000000000001</v>
          </cell>
          <cell r="E856">
            <v>267.95</v>
          </cell>
          <cell r="F856">
            <v>31</v>
          </cell>
          <cell r="G856">
            <v>10</v>
          </cell>
        </row>
        <row r="857">
          <cell r="A857" t="str">
            <v>MZ315111</v>
          </cell>
          <cell r="B857" t="str">
            <v>B</v>
          </cell>
          <cell r="C857" t="str">
            <v>REAR BUMPER PROTECTOR MY20RVR</v>
          </cell>
          <cell r="D857">
            <v>112.77</v>
          </cell>
          <cell r="E857">
            <v>187.95</v>
          </cell>
          <cell r="F857">
            <v>32</v>
          </cell>
          <cell r="G857">
            <v>30</v>
          </cell>
        </row>
        <row r="858">
          <cell r="A858" t="str">
            <v>MZ315112</v>
          </cell>
          <cell r="B858" t="str">
            <v>D</v>
          </cell>
          <cell r="C858" t="str">
            <v>BODY SIDE GRAPHIC RVR</v>
          </cell>
          <cell r="D858">
            <v>172.77</v>
          </cell>
          <cell r="E858">
            <v>287.95</v>
          </cell>
          <cell r="F858">
            <v>2</v>
          </cell>
          <cell r="G858">
            <v>0</v>
          </cell>
        </row>
        <row r="859">
          <cell r="A859" t="str">
            <v>MZ315113</v>
          </cell>
          <cell r="B859" t="str">
            <v>D</v>
          </cell>
          <cell r="C859" t="str">
            <v>HOOD PROTECTOR MIRAGE</v>
          </cell>
          <cell r="D859">
            <v>118.53</v>
          </cell>
          <cell r="E859">
            <v>197.95</v>
          </cell>
          <cell r="F859">
            <v>6</v>
          </cell>
          <cell r="G859">
            <v>0</v>
          </cell>
        </row>
        <row r="860">
          <cell r="A860" t="str">
            <v>MZ315114</v>
          </cell>
          <cell r="B860" t="str">
            <v>L</v>
          </cell>
          <cell r="C860" t="str">
            <v>BODY SIDE MOLDING SET,M11</v>
          </cell>
          <cell r="D860">
            <v>332.97</v>
          </cell>
          <cell r="E860">
            <v>554.95000000000005</v>
          </cell>
          <cell r="F860">
            <v>2</v>
          </cell>
          <cell r="G860">
            <v>0</v>
          </cell>
        </row>
        <row r="861">
          <cell r="A861" t="str">
            <v>MZ315115</v>
          </cell>
          <cell r="B861" t="str">
            <v>L</v>
          </cell>
          <cell r="C861" t="str">
            <v>BODY SIDE MOLDING SET,P62</v>
          </cell>
          <cell r="D861">
            <v>332.97</v>
          </cell>
          <cell r="E861">
            <v>554.95000000000005</v>
          </cell>
          <cell r="F861">
            <v>1</v>
          </cell>
          <cell r="G861">
            <v>0</v>
          </cell>
        </row>
        <row r="862">
          <cell r="A862" t="str">
            <v>MZ315116</v>
          </cell>
          <cell r="B862" t="str">
            <v>S</v>
          </cell>
          <cell r="C862" t="str">
            <v>BODY SIDE MOLDING SET,C22</v>
          </cell>
          <cell r="D862">
            <v>332.97</v>
          </cell>
          <cell r="E862">
            <v>554.95000000000005</v>
          </cell>
          <cell r="F862">
            <v>0</v>
          </cell>
          <cell r="G862">
            <v>0</v>
          </cell>
        </row>
        <row r="863">
          <cell r="A863" t="str">
            <v>MZ315117</v>
          </cell>
          <cell r="B863" t="str">
            <v>C</v>
          </cell>
          <cell r="C863" t="str">
            <v>TOUCH-UP PAINT C22</v>
          </cell>
          <cell r="D863">
            <v>25.77</v>
          </cell>
          <cell r="E863">
            <v>42.95</v>
          </cell>
          <cell r="F863">
            <v>3</v>
          </cell>
          <cell r="G863">
            <v>0</v>
          </cell>
        </row>
        <row r="864">
          <cell r="A864" t="str">
            <v>MZ315118</v>
          </cell>
          <cell r="B864" t="str">
            <v>C</v>
          </cell>
          <cell r="C864" t="str">
            <v>TOUCH-UP PAINT M11</v>
          </cell>
          <cell r="D864">
            <v>27.57</v>
          </cell>
          <cell r="E864">
            <v>45.95</v>
          </cell>
          <cell r="F864">
            <v>17</v>
          </cell>
          <cell r="G864">
            <v>0</v>
          </cell>
        </row>
        <row r="865">
          <cell r="A865" t="str">
            <v>MZ315127</v>
          </cell>
          <cell r="B865" t="str">
            <v>D</v>
          </cell>
          <cell r="C865" t="str">
            <v>FLOORMAT, THIRD ROW</v>
          </cell>
          <cell r="D865">
            <v>67.17</v>
          </cell>
          <cell r="E865">
            <v>111.95</v>
          </cell>
          <cell r="F865">
            <v>1</v>
          </cell>
          <cell r="G865">
            <v>0</v>
          </cell>
        </row>
        <row r="866">
          <cell r="A866" t="str">
            <v>MZ315130</v>
          </cell>
          <cell r="B866" t="str">
            <v>D</v>
          </cell>
          <cell r="C866" t="str">
            <v>BODY SIDE MOLDINGS, RED P62</v>
          </cell>
          <cell r="D866">
            <v>263.87</v>
          </cell>
          <cell r="E866">
            <v>405.95</v>
          </cell>
          <cell r="F866">
            <v>2</v>
          </cell>
          <cell r="G866">
            <v>0</v>
          </cell>
        </row>
        <row r="867">
          <cell r="A867" t="str">
            <v>MZ315136</v>
          </cell>
          <cell r="B867" t="str">
            <v>B</v>
          </cell>
          <cell r="C867" t="str">
            <v>HOOD PROTECTOR TINTED  - DG</v>
          </cell>
          <cell r="D867">
            <v>140.37</v>
          </cell>
          <cell r="E867">
            <v>233.95</v>
          </cell>
          <cell r="F867">
            <v>84</v>
          </cell>
          <cell r="G867">
            <v>0</v>
          </cell>
        </row>
        <row r="868">
          <cell r="A868" t="str">
            <v>MZ315137</v>
          </cell>
          <cell r="B868" t="str">
            <v>Z</v>
          </cell>
          <cell r="C868" t="str">
            <v>CARGO LINER CLOTH - OUTLANDER</v>
          </cell>
          <cell r="D868">
            <v>80.97</v>
          </cell>
          <cell r="E868">
            <v>134.94999999999999</v>
          </cell>
          <cell r="F868">
            <v>0</v>
          </cell>
          <cell r="G868">
            <v>0</v>
          </cell>
        </row>
        <row r="869">
          <cell r="A869" t="str">
            <v>MZ315138</v>
          </cell>
          <cell r="B869" t="str">
            <v>C</v>
          </cell>
          <cell r="C869" t="str">
            <v>CARGO NET OUTLANDER</v>
          </cell>
          <cell r="D869">
            <v>37.67</v>
          </cell>
          <cell r="E869">
            <v>57.95</v>
          </cell>
          <cell r="F869">
            <v>2</v>
          </cell>
          <cell r="G869">
            <v>1</v>
          </cell>
        </row>
        <row r="870">
          <cell r="A870" t="str">
            <v>MZ315139</v>
          </cell>
          <cell r="B870" t="str">
            <v>Q</v>
          </cell>
          <cell r="C870" t="str">
            <v>HIGH EDGE FLOOR GUARDS-DG</v>
          </cell>
          <cell r="D870">
            <v>127.17</v>
          </cell>
          <cell r="E870">
            <v>211.95</v>
          </cell>
          <cell r="F870">
            <v>242</v>
          </cell>
          <cell r="G870">
            <v>0</v>
          </cell>
        </row>
        <row r="871">
          <cell r="A871" t="str">
            <v>MZ315140</v>
          </cell>
          <cell r="B871" t="str">
            <v>A</v>
          </cell>
          <cell r="C871" t="str">
            <v>MUDGUARDS FRONT - BLACK OUTLAN</v>
          </cell>
          <cell r="D871">
            <v>38.97</v>
          </cell>
          <cell r="E871">
            <v>64.95</v>
          </cell>
          <cell r="F871">
            <v>1812</v>
          </cell>
          <cell r="G871">
            <v>0</v>
          </cell>
        </row>
        <row r="872">
          <cell r="A872" t="str">
            <v>MZ315141</v>
          </cell>
          <cell r="B872" t="str">
            <v>B</v>
          </cell>
          <cell r="C872" t="str">
            <v>REAR BUMPER PLATE CHROME - DG</v>
          </cell>
          <cell r="D872">
            <v>153.57</v>
          </cell>
          <cell r="E872">
            <v>255.95</v>
          </cell>
          <cell r="F872">
            <v>550</v>
          </cell>
          <cell r="G872">
            <v>0</v>
          </cell>
        </row>
        <row r="873">
          <cell r="A873" t="str">
            <v>MZ315142</v>
          </cell>
          <cell r="B873" t="str">
            <v>Z</v>
          </cell>
          <cell r="C873" t="str">
            <v>TOW HITCH,W/DRAWBAR &amp; BALL -DG</v>
          </cell>
          <cell r="D873">
            <v>473.55</v>
          </cell>
          <cell r="E873">
            <v>789.95</v>
          </cell>
          <cell r="F873">
            <v>0</v>
          </cell>
          <cell r="G873">
            <v>0</v>
          </cell>
        </row>
        <row r="874">
          <cell r="A874" t="str">
            <v>MZ315143</v>
          </cell>
          <cell r="B874" t="str">
            <v>Z</v>
          </cell>
          <cell r="C874" t="str">
            <v>TOW HITCH  HARNESS OUTLANDER</v>
          </cell>
          <cell r="D874">
            <v>122.26</v>
          </cell>
          <cell r="E874">
            <v>199.95</v>
          </cell>
          <cell r="F874">
            <v>0</v>
          </cell>
          <cell r="G874">
            <v>0</v>
          </cell>
        </row>
        <row r="875">
          <cell r="A875" t="str">
            <v>MZ315144</v>
          </cell>
          <cell r="B875" t="str">
            <v>Q</v>
          </cell>
          <cell r="C875" t="str">
            <v>FLOOR MATS 1/2/3 ROW - DG</v>
          </cell>
          <cell r="D875">
            <v>172.77</v>
          </cell>
          <cell r="E875">
            <v>287.95</v>
          </cell>
          <cell r="F875">
            <v>3</v>
          </cell>
          <cell r="G875">
            <v>0</v>
          </cell>
        </row>
        <row r="876">
          <cell r="A876" t="str">
            <v>MZ315181</v>
          </cell>
          <cell r="B876" t="str">
            <v>C</v>
          </cell>
          <cell r="C876" t="str">
            <v>SCUFF PLATES W/ ECLIPSE LOGO</v>
          </cell>
          <cell r="D876">
            <v>137.97</v>
          </cell>
          <cell r="E876">
            <v>229.95</v>
          </cell>
          <cell r="F876">
            <v>193</v>
          </cell>
          <cell r="G876">
            <v>0</v>
          </cell>
        </row>
        <row r="877">
          <cell r="A877" t="str">
            <v>MZ315186</v>
          </cell>
          <cell r="B877" t="str">
            <v>D</v>
          </cell>
          <cell r="C877" t="str">
            <v>LUGGAGE NET ENVELOPPE STYLE EC</v>
          </cell>
          <cell r="D877">
            <v>35.97</v>
          </cell>
          <cell r="E877">
            <v>59.95</v>
          </cell>
          <cell r="F877">
            <v>1</v>
          </cell>
          <cell r="G877">
            <v>0</v>
          </cell>
        </row>
        <row r="878">
          <cell r="A878" t="str">
            <v>MZ315187</v>
          </cell>
          <cell r="B878" t="str">
            <v>U</v>
          </cell>
          <cell r="C878" t="str">
            <v>LUGGAGE MAT - FABRIC ECLIPSE</v>
          </cell>
          <cell r="D878">
            <v>112.77</v>
          </cell>
          <cell r="E878">
            <v>187.95</v>
          </cell>
          <cell r="F878">
            <v>3</v>
          </cell>
          <cell r="G878">
            <v>2</v>
          </cell>
        </row>
        <row r="879">
          <cell r="A879" t="str">
            <v>MZ315188</v>
          </cell>
          <cell r="B879" t="str">
            <v>D</v>
          </cell>
          <cell r="C879" t="str">
            <v>HOOD PROTECTOR ECLIPSE CROSS</v>
          </cell>
          <cell r="D879">
            <v>112.77</v>
          </cell>
          <cell r="E879">
            <v>187.95</v>
          </cell>
          <cell r="F879">
            <v>11</v>
          </cell>
          <cell r="G879">
            <v>15</v>
          </cell>
        </row>
        <row r="880">
          <cell r="A880" t="str">
            <v>MZ315193</v>
          </cell>
          <cell r="B880" t="str">
            <v>B</v>
          </cell>
          <cell r="C880" t="str">
            <v>CARGO LINER - ECLIPSE CROSS</v>
          </cell>
          <cell r="D880">
            <v>118.17</v>
          </cell>
          <cell r="E880">
            <v>196.95</v>
          </cell>
          <cell r="F880">
            <v>279</v>
          </cell>
          <cell r="G880">
            <v>0</v>
          </cell>
        </row>
        <row r="881">
          <cell r="A881" t="str">
            <v>MZ315194</v>
          </cell>
          <cell r="B881" t="str">
            <v>B</v>
          </cell>
          <cell r="C881" t="str">
            <v>TRAILER HITCH ECLIPSE</v>
          </cell>
          <cell r="D881">
            <v>505.42</v>
          </cell>
          <cell r="E881">
            <v>839.95</v>
          </cell>
          <cell r="F881">
            <v>6</v>
          </cell>
          <cell r="G881">
            <v>2</v>
          </cell>
        </row>
        <row r="882">
          <cell r="A882" t="str">
            <v>MZ315195</v>
          </cell>
          <cell r="B882" t="str">
            <v>B</v>
          </cell>
          <cell r="C882" t="str">
            <v>TRAILER HITCH WIRING HARNESS</v>
          </cell>
          <cell r="D882">
            <v>222.17</v>
          </cell>
          <cell r="E882">
            <v>317.95</v>
          </cell>
          <cell r="F882">
            <v>10</v>
          </cell>
          <cell r="G882">
            <v>0</v>
          </cell>
        </row>
        <row r="883">
          <cell r="A883" t="str">
            <v>MZ315197</v>
          </cell>
          <cell r="B883" t="str">
            <v>A</v>
          </cell>
          <cell r="C883" t="str">
            <v>ENGINE BLOCK HEATER KIT - NS</v>
          </cell>
          <cell r="D883">
            <v>89.62</v>
          </cell>
          <cell r="E883">
            <v>149.94999999999999</v>
          </cell>
          <cell r="F883">
            <v>144</v>
          </cell>
          <cell r="G883">
            <v>600</v>
          </cell>
        </row>
        <row r="884">
          <cell r="A884" t="str">
            <v>MZ315198</v>
          </cell>
          <cell r="B884" t="str">
            <v>D</v>
          </cell>
          <cell r="C884" t="str">
            <v>SEAT BACK NET (ENVELOPE TYPE)</v>
          </cell>
          <cell r="D884">
            <v>25.17</v>
          </cell>
          <cell r="E884">
            <v>41.95</v>
          </cell>
          <cell r="F884">
            <v>0</v>
          </cell>
          <cell r="G884">
            <v>0</v>
          </cell>
        </row>
        <row r="885">
          <cell r="A885" t="str">
            <v>MZ315200</v>
          </cell>
          <cell r="B885" t="str">
            <v>L</v>
          </cell>
          <cell r="C885" t="str">
            <v>WHEEL LOCKS &amp; NUTS BLACK</v>
          </cell>
          <cell r="D885">
            <v>172.77</v>
          </cell>
          <cell r="E885">
            <v>287.95</v>
          </cell>
          <cell r="F885">
            <v>96</v>
          </cell>
          <cell r="G885">
            <v>0</v>
          </cell>
        </row>
        <row r="886">
          <cell r="A886" t="str">
            <v>MZ315203</v>
          </cell>
          <cell r="B886" t="str">
            <v>B</v>
          </cell>
          <cell r="C886" t="str">
            <v>ROOF CARRIER KIT</v>
          </cell>
          <cell r="D886">
            <v>281.37</v>
          </cell>
          <cell r="E886">
            <v>468.95</v>
          </cell>
          <cell r="F886">
            <v>751</v>
          </cell>
          <cell r="G886">
            <v>0</v>
          </cell>
        </row>
        <row r="887">
          <cell r="A887" t="str">
            <v>MZ315205</v>
          </cell>
          <cell r="B887" t="str">
            <v>C</v>
          </cell>
          <cell r="C887" t="str">
            <v>MIRROR COVER CHROME</v>
          </cell>
          <cell r="D887">
            <v>117.57</v>
          </cell>
          <cell r="E887">
            <v>195.95</v>
          </cell>
          <cell r="F887">
            <v>114</v>
          </cell>
          <cell r="G887">
            <v>0</v>
          </cell>
        </row>
        <row r="888">
          <cell r="A888" t="str">
            <v>MZ315206</v>
          </cell>
          <cell r="B888" t="str">
            <v>D</v>
          </cell>
          <cell r="C888" t="str">
            <v>MIRROR COVERS - CARBON</v>
          </cell>
          <cell r="D888">
            <v>178.77</v>
          </cell>
          <cell r="E888">
            <v>297.95</v>
          </cell>
          <cell r="F888">
            <v>20</v>
          </cell>
          <cell r="G888">
            <v>0</v>
          </cell>
        </row>
        <row r="889">
          <cell r="A889" t="str">
            <v>MZ315207</v>
          </cell>
          <cell r="B889" t="str">
            <v>C</v>
          </cell>
          <cell r="C889" t="str">
            <v>MIRROR COVER GLOSS BLACK</v>
          </cell>
          <cell r="D889">
            <v>145.77000000000001</v>
          </cell>
          <cell r="E889">
            <v>242.95</v>
          </cell>
          <cell r="F889">
            <v>81</v>
          </cell>
          <cell r="G889">
            <v>0</v>
          </cell>
        </row>
        <row r="890">
          <cell r="A890" t="str">
            <v>MZ315209</v>
          </cell>
          <cell r="B890" t="str">
            <v>Q</v>
          </cell>
          <cell r="C890" t="str">
            <v>TOW HITCH,VERTICAL</v>
          </cell>
          <cell r="D890">
            <v>509.7</v>
          </cell>
          <cell r="E890">
            <v>784.95</v>
          </cell>
          <cell r="F890">
            <v>189</v>
          </cell>
          <cell r="G890">
            <v>0</v>
          </cell>
        </row>
        <row r="891">
          <cell r="A891" t="str">
            <v>MZ315221</v>
          </cell>
          <cell r="B891" t="str">
            <v>C</v>
          </cell>
          <cell r="C891" t="str">
            <v>SCUFF PLATE - WITH ILLUM</v>
          </cell>
          <cell r="D891">
            <v>334.17</v>
          </cell>
          <cell r="E891">
            <v>556.95000000000005</v>
          </cell>
          <cell r="F891">
            <v>134</v>
          </cell>
          <cell r="G891">
            <v>0</v>
          </cell>
        </row>
        <row r="892">
          <cell r="A892" t="str">
            <v>MZ315254</v>
          </cell>
          <cell r="B892" t="str">
            <v>A</v>
          </cell>
          <cell r="C892" t="str">
            <v>MUD GUARD, REAR - DG</v>
          </cell>
          <cell r="D892">
            <v>38.97</v>
          </cell>
          <cell r="E892">
            <v>64.95</v>
          </cell>
          <cell r="F892">
            <v>2345</v>
          </cell>
          <cell r="G892">
            <v>300</v>
          </cell>
        </row>
        <row r="893">
          <cell r="A893" t="str">
            <v>MZ315255</v>
          </cell>
          <cell r="B893" t="str">
            <v>U</v>
          </cell>
          <cell r="C893" t="str">
            <v>TOWING WIRE HARNESS</v>
          </cell>
          <cell r="D893">
            <v>134.5</v>
          </cell>
          <cell r="E893">
            <v>224.95</v>
          </cell>
          <cell r="F893">
            <v>0</v>
          </cell>
          <cell r="G893">
            <v>0</v>
          </cell>
        </row>
        <row r="894">
          <cell r="A894" t="str">
            <v>MZ315257</v>
          </cell>
          <cell r="B894" t="str">
            <v>D</v>
          </cell>
          <cell r="C894" t="str">
            <v>FLOOR MATS, CARPET</v>
          </cell>
          <cell r="D894">
            <v>126.31</v>
          </cell>
          <cell r="E894">
            <v>211.95</v>
          </cell>
          <cell r="F894">
            <v>13</v>
          </cell>
          <cell r="G894">
            <v>0</v>
          </cell>
        </row>
        <row r="895">
          <cell r="A895" t="str">
            <v>MZ315258</v>
          </cell>
          <cell r="B895" t="str">
            <v>Q</v>
          </cell>
          <cell r="C895" t="str">
            <v>FLOOR MATS, ALL-WEATHER</v>
          </cell>
          <cell r="D895">
            <v>127.17</v>
          </cell>
          <cell r="E895">
            <v>211.95</v>
          </cell>
          <cell r="F895">
            <v>397</v>
          </cell>
          <cell r="G895">
            <v>0</v>
          </cell>
        </row>
        <row r="896">
          <cell r="A896" t="str">
            <v>MZ315259</v>
          </cell>
          <cell r="B896" t="str">
            <v>C</v>
          </cell>
          <cell r="C896" t="str">
            <v>CARGO MAT, REVERSIBLE</v>
          </cell>
          <cell r="D896">
            <v>107.97</v>
          </cell>
          <cell r="E896">
            <v>179.95</v>
          </cell>
          <cell r="F896">
            <v>90</v>
          </cell>
          <cell r="G896">
            <v>0</v>
          </cell>
        </row>
        <row r="897">
          <cell r="A897" t="str">
            <v>MZ315261</v>
          </cell>
          <cell r="B897" t="str">
            <v>D</v>
          </cell>
          <cell r="C897" t="str">
            <v>SEAT BACK NET - DG</v>
          </cell>
          <cell r="D897">
            <v>34.770000000000003</v>
          </cell>
          <cell r="E897">
            <v>57.95</v>
          </cell>
          <cell r="F897">
            <v>1</v>
          </cell>
          <cell r="G897">
            <v>0</v>
          </cell>
        </row>
        <row r="898">
          <cell r="A898" t="str">
            <v>MZ315263</v>
          </cell>
          <cell r="B898" t="str">
            <v>C</v>
          </cell>
          <cell r="C898" t="str">
            <v>ONE KEY SYSTEM 4-PK MITSU CAN</v>
          </cell>
          <cell r="D898">
            <v>54.21</v>
          </cell>
          <cell r="E898">
            <v>99.95</v>
          </cell>
          <cell r="F898">
            <v>4</v>
          </cell>
          <cell r="G898">
            <v>0</v>
          </cell>
        </row>
        <row r="899">
          <cell r="A899" t="str">
            <v>MZ315271</v>
          </cell>
          <cell r="B899" t="str">
            <v>Q</v>
          </cell>
          <cell r="C899" t="str">
            <v>FLOOR CARPET MATS OUTLANDER 20</v>
          </cell>
          <cell r="D899">
            <v>118.77</v>
          </cell>
          <cell r="E899">
            <v>197.95</v>
          </cell>
          <cell r="F899">
            <v>22</v>
          </cell>
          <cell r="G899">
            <v>0</v>
          </cell>
        </row>
        <row r="900">
          <cell r="A900" t="str">
            <v>MZ315273</v>
          </cell>
          <cell r="B900" t="str">
            <v>Q</v>
          </cell>
          <cell r="C900" t="str">
            <v>FLOOR MATS,CARPET - PHEV</v>
          </cell>
          <cell r="D900">
            <v>118.77</v>
          </cell>
          <cell r="E900">
            <v>197.95</v>
          </cell>
          <cell r="F900">
            <v>23</v>
          </cell>
          <cell r="G900">
            <v>0</v>
          </cell>
        </row>
        <row r="901">
          <cell r="A901" t="str">
            <v>MZ315277</v>
          </cell>
          <cell r="B901" t="str">
            <v>Z</v>
          </cell>
          <cell r="C901" t="str">
            <v>LICENSE PLATE FRAME,CHROME</v>
          </cell>
          <cell r="D901">
            <v>46.17</v>
          </cell>
          <cell r="E901">
            <v>76.95</v>
          </cell>
          <cell r="F901">
            <v>0</v>
          </cell>
          <cell r="G901">
            <v>0</v>
          </cell>
        </row>
        <row r="902">
          <cell r="A902" t="str">
            <v>MZ315278</v>
          </cell>
          <cell r="B902" t="str">
            <v>Z</v>
          </cell>
          <cell r="C902" t="str">
            <v>LICENSE PLATE FRAME,BLACK</v>
          </cell>
          <cell r="D902">
            <v>46.17</v>
          </cell>
          <cell r="E902">
            <v>76.95</v>
          </cell>
          <cell r="F902">
            <v>0</v>
          </cell>
          <cell r="G902">
            <v>0</v>
          </cell>
        </row>
        <row r="903">
          <cell r="A903" t="str">
            <v>MZ315279</v>
          </cell>
          <cell r="B903" t="str">
            <v>A</v>
          </cell>
          <cell r="C903" t="str">
            <v>WHEEL LOCKS &amp; NUTS CHROME</v>
          </cell>
          <cell r="D903">
            <v>53</v>
          </cell>
          <cell r="E903">
            <v>88.95</v>
          </cell>
          <cell r="F903">
            <v>1642</v>
          </cell>
          <cell r="G903">
            <v>3018</v>
          </cell>
        </row>
        <row r="904">
          <cell r="A904" t="str">
            <v>MZ315280</v>
          </cell>
          <cell r="B904" t="str">
            <v>D</v>
          </cell>
          <cell r="C904" t="str">
            <v>WHEEL LOCKS &amp; NUTS BLACK</v>
          </cell>
          <cell r="D904">
            <v>232.17</v>
          </cell>
          <cell r="E904">
            <v>386.95</v>
          </cell>
          <cell r="F904">
            <v>1</v>
          </cell>
          <cell r="G904">
            <v>0</v>
          </cell>
        </row>
        <row r="905">
          <cell r="A905" t="str">
            <v>MZ315294</v>
          </cell>
          <cell r="B905" t="str">
            <v>X</v>
          </cell>
          <cell r="C905" t="str">
            <v>FLOOR MATS,CARPET - MIRAGE USA</v>
          </cell>
          <cell r="D905">
            <v>105.3</v>
          </cell>
          <cell r="E905">
            <v>175.95</v>
          </cell>
          <cell r="F905">
            <v>0</v>
          </cell>
          <cell r="G905">
            <v>0</v>
          </cell>
        </row>
        <row r="906">
          <cell r="A906" t="str">
            <v>MZ315296</v>
          </cell>
          <cell r="B906" t="str">
            <v>X</v>
          </cell>
          <cell r="C906" t="str">
            <v>CARPETED FLOOR MATS, NON WOVEN</v>
          </cell>
          <cell r="D906">
            <v>0.01</v>
          </cell>
          <cell r="E906">
            <v>0.01</v>
          </cell>
          <cell r="F906">
            <v>0</v>
          </cell>
          <cell r="G906">
            <v>0</v>
          </cell>
        </row>
        <row r="907">
          <cell r="A907" t="str">
            <v>MZ315301</v>
          </cell>
          <cell r="B907" t="str">
            <v>B</v>
          </cell>
          <cell r="C907" t="str">
            <v>MUDGUARD KIT</v>
          </cell>
          <cell r="D907">
            <v>75.56</v>
          </cell>
          <cell r="E907">
            <v>125.95</v>
          </cell>
          <cell r="F907">
            <v>388</v>
          </cell>
          <cell r="G907">
            <v>500</v>
          </cell>
        </row>
        <row r="908">
          <cell r="A908" t="str">
            <v>MZ315304</v>
          </cell>
          <cell r="B908" t="str">
            <v>U</v>
          </cell>
          <cell r="C908" t="str">
            <v>REAR BUMPER PLATE CHROME - DG</v>
          </cell>
          <cell r="D908">
            <v>153.57</v>
          </cell>
          <cell r="E908">
            <v>255.95</v>
          </cell>
          <cell r="F908">
            <v>0</v>
          </cell>
          <cell r="G908">
            <v>0</v>
          </cell>
        </row>
        <row r="909">
          <cell r="A909" t="str">
            <v>MZ315319</v>
          </cell>
          <cell r="B909" t="str">
            <v>B</v>
          </cell>
          <cell r="C909" t="str">
            <v>TRAILER HITCH ECLIPSE</v>
          </cell>
          <cell r="D909">
            <v>727.28</v>
          </cell>
          <cell r="E909">
            <v>1038.95</v>
          </cell>
          <cell r="F909">
            <v>69</v>
          </cell>
          <cell r="G909">
            <v>0</v>
          </cell>
        </row>
        <row r="910">
          <cell r="A910" t="str">
            <v>MZ315320</v>
          </cell>
          <cell r="B910" t="str">
            <v>B</v>
          </cell>
          <cell r="C910" t="str">
            <v>TOW BALL &amp; MOUNT</v>
          </cell>
          <cell r="D910">
            <v>123.53</v>
          </cell>
          <cell r="E910">
            <v>199.95</v>
          </cell>
          <cell r="F910">
            <v>60</v>
          </cell>
          <cell r="G910">
            <v>0</v>
          </cell>
        </row>
        <row r="911">
          <cell r="A911" t="str">
            <v>MZ315321</v>
          </cell>
          <cell r="B911" t="str">
            <v>B</v>
          </cell>
          <cell r="C911" t="str">
            <v>CARGO FLOOR LINER</v>
          </cell>
          <cell r="D911">
            <v>84.57</v>
          </cell>
          <cell r="E911">
            <v>140.94999999999999</v>
          </cell>
          <cell r="F911">
            <v>263</v>
          </cell>
          <cell r="G911">
            <v>0</v>
          </cell>
        </row>
        <row r="912">
          <cell r="A912" t="str">
            <v>MZ315322</v>
          </cell>
          <cell r="B912" t="str">
            <v>C</v>
          </cell>
          <cell r="C912" t="str">
            <v>CARGO NET</v>
          </cell>
          <cell r="D912">
            <v>92.97</v>
          </cell>
          <cell r="E912">
            <v>154.94999999999999</v>
          </cell>
          <cell r="F912">
            <v>14</v>
          </cell>
          <cell r="G912">
            <v>0</v>
          </cell>
        </row>
        <row r="913">
          <cell r="A913" t="str">
            <v>MZ315324</v>
          </cell>
          <cell r="B913" t="str">
            <v>B</v>
          </cell>
          <cell r="C913" t="str">
            <v>TOW HITCH,VERTICAL</v>
          </cell>
          <cell r="D913">
            <v>470.97</v>
          </cell>
          <cell r="E913">
            <v>784.95</v>
          </cell>
          <cell r="F913">
            <v>168</v>
          </cell>
          <cell r="G913">
            <v>0</v>
          </cell>
        </row>
        <row r="914">
          <cell r="A914" t="str">
            <v>MZ315325</v>
          </cell>
          <cell r="B914" t="str">
            <v>B</v>
          </cell>
          <cell r="C914" t="str">
            <v>TOW BALL &amp; MOUNT</v>
          </cell>
          <cell r="D914">
            <v>155.97</v>
          </cell>
          <cell r="E914">
            <v>259.95</v>
          </cell>
          <cell r="F914">
            <v>100</v>
          </cell>
          <cell r="G914">
            <v>0</v>
          </cell>
        </row>
        <row r="915">
          <cell r="A915" t="str">
            <v>MZ315326</v>
          </cell>
          <cell r="B915" t="str">
            <v>A</v>
          </cell>
          <cell r="C915" t="str">
            <v>TOW HITCH EXTENSION</v>
          </cell>
          <cell r="D915">
            <v>103.89</v>
          </cell>
          <cell r="E915">
            <v>159.94999999999999</v>
          </cell>
          <cell r="F915">
            <v>161</v>
          </cell>
          <cell r="G915">
            <v>10</v>
          </cell>
        </row>
        <row r="916">
          <cell r="A916" t="str">
            <v>MZ315327</v>
          </cell>
          <cell r="B916" t="str">
            <v>Q</v>
          </cell>
          <cell r="C916" t="str">
            <v>TOW BALL &amp; MOUNT</v>
          </cell>
          <cell r="D916">
            <v>159.41999999999999</v>
          </cell>
          <cell r="E916">
            <v>245.95</v>
          </cell>
          <cell r="F916">
            <v>143</v>
          </cell>
          <cell r="G916">
            <v>0</v>
          </cell>
        </row>
        <row r="917">
          <cell r="A917" t="str">
            <v>MZ315328</v>
          </cell>
          <cell r="B917" t="str">
            <v>C</v>
          </cell>
          <cell r="C917" t="str">
            <v>TOW HITCH EXTENSION</v>
          </cell>
          <cell r="D917">
            <v>102.28</v>
          </cell>
          <cell r="E917">
            <v>169.95</v>
          </cell>
          <cell r="F917">
            <v>35</v>
          </cell>
          <cell r="G917">
            <v>0</v>
          </cell>
        </row>
        <row r="918">
          <cell r="A918" t="str">
            <v>MZ315331</v>
          </cell>
          <cell r="B918" t="str">
            <v>B</v>
          </cell>
          <cell r="C918" t="str">
            <v>TRAILER HITCH WIRING HARNESS</v>
          </cell>
          <cell r="D918">
            <v>228.47</v>
          </cell>
          <cell r="E918">
            <v>326.95</v>
          </cell>
          <cell r="F918">
            <v>76</v>
          </cell>
          <cell r="G918">
            <v>0</v>
          </cell>
        </row>
        <row r="919">
          <cell r="A919" t="str">
            <v>MZ315333</v>
          </cell>
          <cell r="B919" t="str">
            <v>D</v>
          </cell>
          <cell r="C919" t="str">
            <v>TOW CAP &amp; PIN KIT (SERVICE)</v>
          </cell>
          <cell r="D919">
            <v>22.4</v>
          </cell>
          <cell r="E919">
            <v>36.950000000000003</v>
          </cell>
          <cell r="F919">
            <v>6</v>
          </cell>
          <cell r="G919">
            <v>0</v>
          </cell>
        </row>
        <row r="920">
          <cell r="A920" t="str">
            <v>MZ315334</v>
          </cell>
          <cell r="B920" t="str">
            <v>N</v>
          </cell>
          <cell r="C920" t="str">
            <v>Tow Hitch Kit (Service)</v>
          </cell>
          <cell r="D920">
            <v>20.34</v>
          </cell>
          <cell r="E920">
            <v>32.950000000000003</v>
          </cell>
          <cell r="F920">
            <v>0</v>
          </cell>
          <cell r="G920">
            <v>0</v>
          </cell>
        </row>
        <row r="921">
          <cell r="A921" t="str">
            <v>MZ315335</v>
          </cell>
          <cell r="B921" t="str">
            <v>N</v>
          </cell>
          <cell r="C921" t="str">
            <v>Tow Hitch Kit (Service)</v>
          </cell>
          <cell r="D921">
            <v>46.74</v>
          </cell>
          <cell r="E921">
            <v>76.95</v>
          </cell>
          <cell r="F921">
            <v>0</v>
          </cell>
          <cell r="G921">
            <v>0</v>
          </cell>
        </row>
        <row r="922">
          <cell r="A922" t="str">
            <v>MZ315340</v>
          </cell>
          <cell r="B922" t="str">
            <v>N</v>
          </cell>
          <cell r="C922" t="str">
            <v>CARPETED FLOORMATS,RALLIART DG</v>
          </cell>
          <cell r="D922">
            <v>113.37</v>
          </cell>
          <cell r="E922">
            <v>188.95</v>
          </cell>
          <cell r="F922">
            <v>2</v>
          </cell>
          <cell r="G922">
            <v>0</v>
          </cell>
        </row>
        <row r="923">
          <cell r="A923" t="str">
            <v>MZ315341</v>
          </cell>
          <cell r="B923" t="str">
            <v>N</v>
          </cell>
          <cell r="C923" t="str">
            <v>CARPETED FLOORMATS,RALLIARTDGE</v>
          </cell>
          <cell r="D923">
            <v>163.77000000000001</v>
          </cell>
          <cell r="E923">
            <v>272.95</v>
          </cell>
          <cell r="F923">
            <v>2</v>
          </cell>
          <cell r="G923">
            <v>0</v>
          </cell>
        </row>
        <row r="924">
          <cell r="A924" t="str">
            <v>MZ315461</v>
          </cell>
          <cell r="B924" t="str">
            <v>D</v>
          </cell>
          <cell r="C924" t="str">
            <v>LUGGAGE MAT - FABRIC ECLIPSE</v>
          </cell>
          <cell r="D924">
            <v>112.77</v>
          </cell>
          <cell r="E924">
            <v>187.95</v>
          </cell>
          <cell r="F924">
            <v>31</v>
          </cell>
          <cell r="G924">
            <v>0</v>
          </cell>
        </row>
        <row r="925">
          <cell r="A925" t="str">
            <v>MZ315463</v>
          </cell>
          <cell r="B925" t="str">
            <v>O</v>
          </cell>
          <cell r="C925" t="str">
            <v>NOIR BADGE</v>
          </cell>
          <cell r="D925">
            <v>15.57</v>
          </cell>
          <cell r="E925">
            <v>25.95</v>
          </cell>
          <cell r="F925">
            <v>4908</v>
          </cell>
          <cell r="G925">
            <v>1000</v>
          </cell>
        </row>
        <row r="926">
          <cell r="A926" t="str">
            <v>MZ315469</v>
          </cell>
          <cell r="B926" t="str">
            <v>B</v>
          </cell>
          <cell r="C926" t="str">
            <v>HOOD PROTECTOR</v>
          </cell>
          <cell r="D926">
            <v>145.77000000000001</v>
          </cell>
          <cell r="E926">
            <v>239.95</v>
          </cell>
          <cell r="F926">
            <v>24</v>
          </cell>
          <cell r="G926">
            <v>0</v>
          </cell>
        </row>
        <row r="927">
          <cell r="A927" t="str">
            <v>MZ315470</v>
          </cell>
          <cell r="B927" t="str">
            <v>B</v>
          </cell>
          <cell r="C927" t="str">
            <v>REAR BUMPER PROTECTOR</v>
          </cell>
          <cell r="D927">
            <v>167.97</v>
          </cell>
          <cell r="E927">
            <v>279.95</v>
          </cell>
          <cell r="F927">
            <v>155</v>
          </cell>
          <cell r="G927">
            <v>0</v>
          </cell>
        </row>
        <row r="928">
          <cell r="A928" t="str">
            <v>MZ315476</v>
          </cell>
          <cell r="B928" t="str">
            <v>A</v>
          </cell>
          <cell r="C928" t="str">
            <v>ALL WEATHER FLOOR MATS</v>
          </cell>
          <cell r="D928">
            <v>102.1</v>
          </cell>
          <cell r="E928">
            <v>169.95</v>
          </cell>
          <cell r="F928">
            <v>1091</v>
          </cell>
          <cell r="G928">
            <v>0</v>
          </cell>
        </row>
        <row r="929">
          <cell r="A929" t="str">
            <v>MZ315478</v>
          </cell>
          <cell r="B929" t="str">
            <v>N</v>
          </cell>
          <cell r="C929" t="str">
            <v>TOWBAR</v>
          </cell>
          <cell r="D929">
            <v>0.01</v>
          </cell>
          <cell r="E929">
            <v>0.01</v>
          </cell>
          <cell r="F929">
            <v>0</v>
          </cell>
          <cell r="G929">
            <v>0</v>
          </cell>
        </row>
        <row r="930">
          <cell r="A930" t="str">
            <v>MZ315480</v>
          </cell>
          <cell r="B930" t="str">
            <v>B</v>
          </cell>
          <cell r="C930" t="str">
            <v>CARGO LINER - ALL WEATHER</v>
          </cell>
          <cell r="D930">
            <v>131.37</v>
          </cell>
          <cell r="E930">
            <v>218.95</v>
          </cell>
          <cell r="F930">
            <v>52</v>
          </cell>
          <cell r="G930">
            <v>0</v>
          </cell>
        </row>
        <row r="931">
          <cell r="A931" t="str">
            <v>MZ315481</v>
          </cell>
          <cell r="B931" t="str">
            <v>D</v>
          </cell>
          <cell r="C931" t="str">
            <v>SEATBACK ORGANIZER</v>
          </cell>
          <cell r="D931">
            <v>119.97</v>
          </cell>
          <cell r="E931">
            <v>199.95</v>
          </cell>
          <cell r="F931">
            <v>50</v>
          </cell>
          <cell r="G931">
            <v>0</v>
          </cell>
        </row>
        <row r="932">
          <cell r="A932" t="str">
            <v>MZ315484</v>
          </cell>
          <cell r="B932" t="str">
            <v>B</v>
          </cell>
          <cell r="C932" t="str">
            <v>TOW BALL MOUNT W/ BALL</v>
          </cell>
          <cell r="D932">
            <v>188.81</v>
          </cell>
          <cell r="E932">
            <v>314.95</v>
          </cell>
          <cell r="F932">
            <v>284</v>
          </cell>
          <cell r="G932">
            <v>24</v>
          </cell>
        </row>
        <row r="933">
          <cell r="A933" t="str">
            <v>MZ315488</v>
          </cell>
          <cell r="B933" t="str">
            <v>N</v>
          </cell>
          <cell r="C933" t="str">
            <v>ROOF CARRIER</v>
          </cell>
          <cell r="D933">
            <v>363.24</v>
          </cell>
          <cell r="E933">
            <v>605.4</v>
          </cell>
          <cell r="F933">
            <v>0</v>
          </cell>
          <cell r="G933">
            <v>60</v>
          </cell>
        </row>
        <row r="934">
          <cell r="A934" t="str">
            <v>MZ315490</v>
          </cell>
          <cell r="B934" t="str">
            <v>N</v>
          </cell>
          <cell r="C934" t="str">
            <v>TOWBAR MOUNT</v>
          </cell>
          <cell r="D934">
            <v>245.97</v>
          </cell>
          <cell r="E934">
            <v>409.95</v>
          </cell>
          <cell r="F934">
            <v>0</v>
          </cell>
          <cell r="G934">
            <v>0</v>
          </cell>
        </row>
        <row r="935">
          <cell r="A935" t="str">
            <v>MZ315491</v>
          </cell>
          <cell r="B935" t="str">
            <v>N</v>
          </cell>
          <cell r="C935" t="str">
            <v>FLOOR MATS, CARPET</v>
          </cell>
          <cell r="D935">
            <v>110.22</v>
          </cell>
          <cell r="E935">
            <v>183.95</v>
          </cell>
          <cell r="F935">
            <v>1</v>
          </cell>
          <cell r="G935">
            <v>0</v>
          </cell>
        </row>
        <row r="936">
          <cell r="A936" t="str">
            <v>MZ315493</v>
          </cell>
          <cell r="B936" t="str">
            <v>N</v>
          </cell>
          <cell r="C936" t="str">
            <v>RUGGED SIDE DECAL</v>
          </cell>
          <cell r="D936">
            <v>622.27</v>
          </cell>
          <cell r="E936">
            <v>888.95</v>
          </cell>
          <cell r="F936">
            <v>28</v>
          </cell>
          <cell r="G936">
            <v>10</v>
          </cell>
        </row>
        <row r="937">
          <cell r="A937" t="str">
            <v>MZ315510</v>
          </cell>
          <cell r="B937" t="str">
            <v>A</v>
          </cell>
          <cell r="C937" t="str">
            <v>TOW HARNESS</v>
          </cell>
          <cell r="D937">
            <v>134.5</v>
          </cell>
          <cell r="E937">
            <v>224.95</v>
          </cell>
          <cell r="F937">
            <v>115</v>
          </cell>
          <cell r="G937">
            <v>0</v>
          </cell>
        </row>
        <row r="938">
          <cell r="A938" t="str">
            <v>MZ319010</v>
          </cell>
          <cell r="B938" t="str">
            <v>B</v>
          </cell>
          <cell r="C938" t="str">
            <v>MOON STONE GRAY METALLIC (U35)</v>
          </cell>
          <cell r="D938">
            <v>15.57</v>
          </cell>
          <cell r="E938">
            <v>23.95</v>
          </cell>
          <cell r="F938">
            <v>116</v>
          </cell>
          <cell r="G938">
            <v>0</v>
          </cell>
        </row>
        <row r="939">
          <cell r="A939" t="str">
            <v>MZ321000</v>
          </cell>
          <cell r="B939" t="str">
            <v>B</v>
          </cell>
          <cell r="C939" t="str">
            <v>PAINT PEN WHITE DIAMOND W85</v>
          </cell>
          <cell r="D939">
            <v>15.57</v>
          </cell>
          <cell r="E939">
            <v>23.95</v>
          </cell>
          <cell r="F939">
            <v>433</v>
          </cell>
          <cell r="G939">
            <v>0</v>
          </cell>
        </row>
        <row r="940">
          <cell r="A940" t="str">
            <v>MZ321001</v>
          </cell>
          <cell r="B940" t="str">
            <v>D</v>
          </cell>
          <cell r="C940" t="str">
            <v>PAINT PEN - Y35</v>
          </cell>
          <cell r="D940">
            <v>15.57</v>
          </cell>
          <cell r="E940">
            <v>23.95</v>
          </cell>
          <cell r="F940">
            <v>3</v>
          </cell>
          <cell r="G940">
            <v>1</v>
          </cell>
        </row>
        <row r="941">
          <cell r="A941" t="str">
            <v>MZ321027</v>
          </cell>
          <cell r="B941" t="str">
            <v>C</v>
          </cell>
          <cell r="C941" t="str">
            <v>PAINT PEN - C17</v>
          </cell>
          <cell r="D941">
            <v>15.57</v>
          </cell>
          <cell r="E941">
            <v>23.95</v>
          </cell>
          <cell r="F941">
            <v>13</v>
          </cell>
          <cell r="G941">
            <v>0</v>
          </cell>
        </row>
        <row r="942">
          <cell r="A942" t="str">
            <v>MZ321028</v>
          </cell>
          <cell r="B942" t="str">
            <v>B</v>
          </cell>
          <cell r="C942" t="str">
            <v>PAINT PEN - BLACK DIAMOND X47</v>
          </cell>
          <cell r="D942">
            <v>15.57</v>
          </cell>
          <cell r="E942">
            <v>23.95</v>
          </cell>
          <cell r="F942">
            <v>245</v>
          </cell>
          <cell r="G942">
            <v>0</v>
          </cell>
        </row>
        <row r="943">
          <cell r="A943" t="str">
            <v>MZ321148</v>
          </cell>
          <cell r="B943" t="str">
            <v>B</v>
          </cell>
          <cell r="C943" t="str">
            <v>TOUCH UP PAINT PEN U28 - GRAPH</v>
          </cell>
          <cell r="D943">
            <v>15.57</v>
          </cell>
          <cell r="E943">
            <v>23.95</v>
          </cell>
          <cell r="F943">
            <v>149</v>
          </cell>
          <cell r="G943">
            <v>0</v>
          </cell>
        </row>
        <row r="944">
          <cell r="A944" t="str">
            <v>MZ321149</v>
          </cell>
          <cell r="B944" t="str">
            <v>C</v>
          </cell>
          <cell r="C944" t="str">
            <v>PAINT PEN - JET BLACK (X37)</v>
          </cell>
          <cell r="D944">
            <v>15.57</v>
          </cell>
          <cell r="E944">
            <v>23.95</v>
          </cell>
          <cell r="F944">
            <v>47</v>
          </cell>
          <cell r="G944">
            <v>0</v>
          </cell>
        </row>
        <row r="945">
          <cell r="A945" t="str">
            <v>MZ321259</v>
          </cell>
          <cell r="B945" t="str">
            <v>C</v>
          </cell>
          <cell r="C945" t="str">
            <v>PAINT PROTECTION FILM - HOOD</v>
          </cell>
          <cell r="D945">
            <v>94.77</v>
          </cell>
          <cell r="E945">
            <v>157.94999999999999</v>
          </cell>
          <cell r="F945">
            <v>419</v>
          </cell>
          <cell r="G945">
            <v>0</v>
          </cell>
        </row>
        <row r="946">
          <cell r="A946" t="str">
            <v>MZ321260</v>
          </cell>
          <cell r="B946" t="str">
            <v>C</v>
          </cell>
          <cell r="C946" t="str">
            <v>PAINT PROTECTION FILM -  GRILL</v>
          </cell>
          <cell r="D946">
            <v>94.77</v>
          </cell>
          <cell r="E946">
            <v>157.94999999999999</v>
          </cell>
          <cell r="F946">
            <v>363</v>
          </cell>
          <cell r="G946">
            <v>0</v>
          </cell>
        </row>
        <row r="947">
          <cell r="A947" t="str">
            <v>MZ330438</v>
          </cell>
          <cell r="B947" t="str">
            <v>Q</v>
          </cell>
          <cell r="C947" t="str">
            <v>EXHAUST EXTENSION MIRAGE</v>
          </cell>
          <cell r="D947">
            <v>30.57</v>
          </cell>
          <cell r="E947">
            <v>50.95</v>
          </cell>
          <cell r="F947">
            <v>5</v>
          </cell>
          <cell r="G947">
            <v>0</v>
          </cell>
        </row>
        <row r="948">
          <cell r="A948" t="str">
            <v>MZ330441</v>
          </cell>
          <cell r="B948" t="str">
            <v>Q</v>
          </cell>
          <cell r="C948" t="str">
            <v>SCUFF PLATES MIRAGE</v>
          </cell>
          <cell r="D948">
            <v>109.17</v>
          </cell>
          <cell r="E948">
            <v>181.95</v>
          </cell>
          <cell r="F948">
            <v>41</v>
          </cell>
          <cell r="G948">
            <v>0</v>
          </cell>
        </row>
        <row r="949">
          <cell r="A949" t="str">
            <v>MZ330442</v>
          </cell>
          <cell r="B949" t="str">
            <v>F</v>
          </cell>
          <cell r="C949" t="str">
            <v>SHIFT KNOB CVT</v>
          </cell>
          <cell r="D949">
            <v>67.17</v>
          </cell>
          <cell r="E949">
            <v>111.95</v>
          </cell>
          <cell r="F949">
            <v>0</v>
          </cell>
          <cell r="G949">
            <v>0</v>
          </cell>
        </row>
        <row r="950">
          <cell r="A950" t="str">
            <v>MZ330443</v>
          </cell>
          <cell r="B950" t="str">
            <v>Q</v>
          </cell>
          <cell r="C950" t="str">
            <v>CHROME GARNISH,METER HOOD</v>
          </cell>
          <cell r="D950">
            <v>84.75</v>
          </cell>
          <cell r="E950">
            <v>113.95</v>
          </cell>
          <cell r="F950">
            <v>44</v>
          </cell>
          <cell r="G950">
            <v>0</v>
          </cell>
        </row>
        <row r="951">
          <cell r="A951" t="str">
            <v>MZ330444</v>
          </cell>
          <cell r="B951" t="str">
            <v>Q</v>
          </cell>
          <cell r="C951" t="str">
            <v>ARMREST</v>
          </cell>
          <cell r="D951">
            <v>152.97</v>
          </cell>
          <cell r="E951">
            <v>254.95</v>
          </cell>
          <cell r="F951">
            <v>3</v>
          </cell>
          <cell r="G951">
            <v>0</v>
          </cell>
        </row>
        <row r="952">
          <cell r="A952" t="str">
            <v>MZ330446</v>
          </cell>
          <cell r="B952" t="str">
            <v>Q</v>
          </cell>
          <cell r="C952" t="str">
            <v>CARGO LINER- MIRAGE</v>
          </cell>
          <cell r="D952">
            <v>44.97</v>
          </cell>
          <cell r="E952">
            <v>74.95</v>
          </cell>
          <cell r="F952">
            <v>118</v>
          </cell>
          <cell r="G952">
            <v>0</v>
          </cell>
        </row>
        <row r="953">
          <cell r="A953" t="str">
            <v>MZ330448</v>
          </cell>
          <cell r="B953" t="str">
            <v>Z</v>
          </cell>
          <cell r="C953" t="str">
            <v>REAR ROOF SPOILER- COOL SILVER (A66)</v>
          </cell>
          <cell r="D953">
            <v>260.37</v>
          </cell>
          <cell r="E953">
            <v>433.95</v>
          </cell>
          <cell r="F953">
            <v>0</v>
          </cell>
          <cell r="G953">
            <v>0</v>
          </cell>
        </row>
        <row r="954">
          <cell r="A954" t="str">
            <v>MZ330449</v>
          </cell>
          <cell r="B954" t="str">
            <v>Z</v>
          </cell>
          <cell r="C954" t="str">
            <v>REAR ROOF SPOILER- BLACK (X08)</v>
          </cell>
          <cell r="D954">
            <v>260.37</v>
          </cell>
          <cell r="E954">
            <v>433.95</v>
          </cell>
          <cell r="F954">
            <v>0</v>
          </cell>
          <cell r="G954">
            <v>0</v>
          </cell>
        </row>
        <row r="955">
          <cell r="A955" t="str">
            <v>MZ330450</v>
          </cell>
          <cell r="B955" t="str">
            <v>Z</v>
          </cell>
          <cell r="C955" t="str">
            <v>REAR ROOF SPOILER- BLUE (T69)</v>
          </cell>
          <cell r="D955">
            <v>260.37</v>
          </cell>
          <cell r="E955">
            <v>433.95</v>
          </cell>
          <cell r="F955">
            <v>0</v>
          </cell>
          <cell r="G955">
            <v>0</v>
          </cell>
        </row>
        <row r="956">
          <cell r="A956" t="str">
            <v>MZ330452</v>
          </cell>
          <cell r="B956" t="str">
            <v>Z</v>
          </cell>
          <cell r="C956" t="str">
            <v>REAR ROOF SPOILER- GRAY (A02)</v>
          </cell>
          <cell r="D956">
            <v>260.37</v>
          </cell>
          <cell r="E956">
            <v>433.95</v>
          </cell>
          <cell r="F956">
            <v>0</v>
          </cell>
          <cell r="G956">
            <v>0</v>
          </cell>
        </row>
        <row r="957">
          <cell r="A957" t="str">
            <v>MZ330453</v>
          </cell>
          <cell r="B957" t="str">
            <v>Z</v>
          </cell>
          <cell r="C957" t="str">
            <v>REAR ROOF SPOILER- RED (P19)</v>
          </cell>
          <cell r="D957">
            <v>260.37</v>
          </cell>
          <cell r="E957">
            <v>433.95</v>
          </cell>
          <cell r="F957">
            <v>0</v>
          </cell>
          <cell r="G957">
            <v>0</v>
          </cell>
        </row>
        <row r="958">
          <cell r="A958" t="str">
            <v>MZ330454</v>
          </cell>
          <cell r="B958" t="str">
            <v>Z</v>
          </cell>
          <cell r="C958" t="str">
            <v>REAR ROOF SPOILER- GREEN (F24)</v>
          </cell>
          <cell r="D958">
            <v>260.37</v>
          </cell>
          <cell r="E958">
            <v>433.95</v>
          </cell>
          <cell r="F958">
            <v>0</v>
          </cell>
          <cell r="G958">
            <v>0</v>
          </cell>
        </row>
        <row r="959">
          <cell r="A959" t="str">
            <v>MZ330456</v>
          </cell>
          <cell r="B959" t="str">
            <v>S</v>
          </cell>
          <cell r="C959" t="str">
            <v>GARNISH- FRONT BUMPER- CHROME</v>
          </cell>
          <cell r="D959">
            <v>64.77</v>
          </cell>
          <cell r="E959">
            <v>107.95</v>
          </cell>
          <cell r="F959">
            <v>0</v>
          </cell>
          <cell r="G959">
            <v>0</v>
          </cell>
        </row>
        <row r="960">
          <cell r="A960" t="str">
            <v>MZ330457</v>
          </cell>
          <cell r="B960" t="str">
            <v>S</v>
          </cell>
          <cell r="C960" t="str">
            <v>CHROME PLATED FOGLAMP GARNISH</v>
          </cell>
          <cell r="D960">
            <v>59.25</v>
          </cell>
          <cell r="E960">
            <v>82.95</v>
          </cell>
          <cell r="F960">
            <v>0</v>
          </cell>
          <cell r="G960">
            <v>0</v>
          </cell>
        </row>
        <row r="961">
          <cell r="A961" t="str">
            <v>MZ330458</v>
          </cell>
          <cell r="B961" t="str">
            <v>Q</v>
          </cell>
          <cell r="C961" t="str">
            <v>GARNISH- HEADLIGHT- CHROME</v>
          </cell>
          <cell r="D961">
            <v>101.4</v>
          </cell>
          <cell r="E961">
            <v>141.94999999999999</v>
          </cell>
          <cell r="F961">
            <v>16</v>
          </cell>
          <cell r="G961">
            <v>0</v>
          </cell>
        </row>
        <row r="962">
          <cell r="A962" t="str">
            <v>MZ330459</v>
          </cell>
          <cell r="B962" t="str">
            <v>S</v>
          </cell>
          <cell r="C962" t="str">
            <v>CHROME PLATED REAR COMBI LAMP GARNISH</v>
          </cell>
          <cell r="D962">
            <v>94.96</v>
          </cell>
          <cell r="E962">
            <v>132.94999999999999</v>
          </cell>
          <cell r="F962">
            <v>0</v>
          </cell>
          <cell r="G962">
            <v>0</v>
          </cell>
        </row>
        <row r="963">
          <cell r="A963" t="str">
            <v>MZ330460</v>
          </cell>
          <cell r="B963" t="str">
            <v>U</v>
          </cell>
          <cell r="C963" t="str">
            <v>USE MZ330458</v>
          </cell>
          <cell r="D963">
            <v>101.4</v>
          </cell>
          <cell r="E963">
            <v>141.94999999999999</v>
          </cell>
          <cell r="F963">
            <v>0</v>
          </cell>
          <cell r="G963">
            <v>0</v>
          </cell>
        </row>
        <row r="964">
          <cell r="A964" t="str">
            <v>MZ330461</v>
          </cell>
          <cell r="B964" t="str">
            <v>Q</v>
          </cell>
          <cell r="C964" t="str">
            <v>CHROME PLATED TAILGATE GARNISH</v>
          </cell>
          <cell r="D964">
            <v>42.17</v>
          </cell>
          <cell r="E964">
            <v>59.95</v>
          </cell>
          <cell r="F964">
            <v>13</v>
          </cell>
          <cell r="G964">
            <v>0</v>
          </cell>
        </row>
        <row r="965">
          <cell r="A965" t="str">
            <v>MZ330464</v>
          </cell>
          <cell r="B965" t="str">
            <v>Q</v>
          </cell>
          <cell r="C965" t="str">
            <v>B PILLER DECAL MIRAGE CARBON</v>
          </cell>
          <cell r="D965">
            <v>85.77</v>
          </cell>
          <cell r="E965">
            <v>142.94999999999999</v>
          </cell>
          <cell r="F965">
            <v>0</v>
          </cell>
          <cell r="G965">
            <v>10</v>
          </cell>
        </row>
        <row r="966">
          <cell r="A966" t="str">
            <v>MZ330475</v>
          </cell>
          <cell r="B966" t="str">
            <v>S</v>
          </cell>
          <cell r="C966" t="str">
            <v>SIDE PROTEC MOLDING MIRAGE A66</v>
          </cell>
          <cell r="D966">
            <v>88.17</v>
          </cell>
          <cell r="E966">
            <v>146.94999999999999</v>
          </cell>
          <cell r="F966">
            <v>0</v>
          </cell>
          <cell r="G966">
            <v>0</v>
          </cell>
        </row>
        <row r="967">
          <cell r="A967" t="str">
            <v>MZ330476</v>
          </cell>
          <cell r="B967" t="str">
            <v>Z</v>
          </cell>
          <cell r="C967" t="str">
            <v>SIDE PROTEC MOLDING MIRAGE X08</v>
          </cell>
          <cell r="D967">
            <v>82.17</v>
          </cell>
          <cell r="E967">
            <v>136.94999999999999</v>
          </cell>
          <cell r="F967">
            <v>0</v>
          </cell>
          <cell r="G967">
            <v>0</v>
          </cell>
        </row>
        <row r="968">
          <cell r="A968" t="str">
            <v>MZ330477</v>
          </cell>
          <cell r="B968" t="str">
            <v>S</v>
          </cell>
          <cell r="C968" t="str">
            <v>SIDE PROTEC MOLDING MIRAGE T69</v>
          </cell>
          <cell r="D968">
            <v>82.17</v>
          </cell>
          <cell r="E968">
            <v>136.94999999999999</v>
          </cell>
          <cell r="F968">
            <v>6</v>
          </cell>
          <cell r="G968">
            <v>0</v>
          </cell>
        </row>
        <row r="969">
          <cell r="A969" t="str">
            <v>MZ330478</v>
          </cell>
          <cell r="B969" t="str">
            <v>S</v>
          </cell>
          <cell r="C969" t="str">
            <v>SIDE MOLDING</v>
          </cell>
          <cell r="D969">
            <v>118.77</v>
          </cell>
          <cell r="E969">
            <v>197.95</v>
          </cell>
          <cell r="F969">
            <v>0</v>
          </cell>
          <cell r="G969">
            <v>0</v>
          </cell>
        </row>
        <row r="970">
          <cell r="A970" t="str">
            <v>MZ330479</v>
          </cell>
          <cell r="B970" t="str">
            <v>S</v>
          </cell>
          <cell r="C970" t="str">
            <v>SIDE PROTECTION MOLDINGS-AO2</v>
          </cell>
          <cell r="D970">
            <v>70.77</v>
          </cell>
          <cell r="E970">
            <v>117.95</v>
          </cell>
          <cell r="F970">
            <v>0</v>
          </cell>
          <cell r="G970">
            <v>0</v>
          </cell>
        </row>
        <row r="971">
          <cell r="A971" t="str">
            <v>MZ330480</v>
          </cell>
          <cell r="B971" t="str">
            <v>Q</v>
          </cell>
          <cell r="C971" t="str">
            <v>SIDE PROTEC MOLDING MIRAGE P19</v>
          </cell>
          <cell r="D971">
            <v>82.17</v>
          </cell>
          <cell r="E971">
            <v>136.94999999999999</v>
          </cell>
          <cell r="F971">
            <v>3</v>
          </cell>
          <cell r="G971">
            <v>0</v>
          </cell>
        </row>
        <row r="972">
          <cell r="A972" t="str">
            <v>MZ330481</v>
          </cell>
          <cell r="B972" t="str">
            <v>S</v>
          </cell>
          <cell r="C972" t="str">
            <v>SIDE PROTECTION MOLDINGS-F24</v>
          </cell>
          <cell r="D972">
            <v>65.97</v>
          </cell>
          <cell r="E972">
            <v>109.95</v>
          </cell>
          <cell r="F972">
            <v>0</v>
          </cell>
          <cell r="G972">
            <v>0</v>
          </cell>
        </row>
        <row r="973">
          <cell r="A973" t="str">
            <v>MZ330484</v>
          </cell>
          <cell r="B973" t="str">
            <v>Z</v>
          </cell>
          <cell r="C973" t="str">
            <v>MUDGUARDS (FR)</v>
          </cell>
          <cell r="D973">
            <v>24.57</v>
          </cell>
          <cell r="E973">
            <v>40.950000000000003</v>
          </cell>
          <cell r="F973">
            <v>0</v>
          </cell>
          <cell r="G973">
            <v>0</v>
          </cell>
        </row>
        <row r="974">
          <cell r="A974" t="str">
            <v>MZ330493</v>
          </cell>
          <cell r="B974" t="str">
            <v>Z</v>
          </cell>
          <cell r="C974" t="str">
            <v>MUDGUARDS (RR)</v>
          </cell>
          <cell r="D974">
            <v>24.56</v>
          </cell>
          <cell r="E974">
            <v>40.950000000000003</v>
          </cell>
          <cell r="F974">
            <v>0</v>
          </cell>
          <cell r="G974">
            <v>0</v>
          </cell>
        </row>
        <row r="975">
          <cell r="A975" t="str">
            <v>MZ330538</v>
          </cell>
          <cell r="B975" t="str">
            <v>Z</v>
          </cell>
          <cell r="C975" t="str">
            <v>REAR ROOF SPOILER- PURPLE (V08)</v>
          </cell>
          <cell r="D975">
            <v>260.37</v>
          </cell>
          <cell r="E975">
            <v>433.95</v>
          </cell>
          <cell r="F975">
            <v>0</v>
          </cell>
          <cell r="G975">
            <v>0</v>
          </cell>
        </row>
        <row r="976">
          <cell r="A976" t="str">
            <v>MZ330539</v>
          </cell>
          <cell r="B976" t="str">
            <v>Z</v>
          </cell>
          <cell r="C976" t="str">
            <v>REAR ROOF SPOILER- WHITE (W19)</v>
          </cell>
          <cell r="D976">
            <v>260.37</v>
          </cell>
          <cell r="E976">
            <v>433.95</v>
          </cell>
          <cell r="F976">
            <v>0</v>
          </cell>
          <cell r="G976">
            <v>0</v>
          </cell>
        </row>
        <row r="977">
          <cell r="A977" t="str">
            <v>MZ330557</v>
          </cell>
          <cell r="B977" t="str">
            <v>Q</v>
          </cell>
          <cell r="C977" t="str">
            <v>MUD GUARD FRONT</v>
          </cell>
          <cell r="D977">
            <v>47.37</v>
          </cell>
          <cell r="E977">
            <v>78.95</v>
          </cell>
          <cell r="F977">
            <v>12</v>
          </cell>
          <cell r="G977">
            <v>0</v>
          </cell>
        </row>
        <row r="978">
          <cell r="A978" t="str">
            <v>MZ330559</v>
          </cell>
          <cell r="B978" t="str">
            <v>S</v>
          </cell>
          <cell r="C978" t="str">
            <v>MUDGUARDS (FR)- GREEN (F24)</v>
          </cell>
          <cell r="D978">
            <v>91.17</v>
          </cell>
          <cell r="E978">
            <v>151.94999999999999</v>
          </cell>
          <cell r="F978">
            <v>0</v>
          </cell>
          <cell r="G978">
            <v>0</v>
          </cell>
        </row>
        <row r="979">
          <cell r="A979" t="str">
            <v>MZ330560</v>
          </cell>
          <cell r="B979" t="str">
            <v>S</v>
          </cell>
          <cell r="C979" t="str">
            <v>MUDGUARDS (FR)- PURPLE (V08)</v>
          </cell>
          <cell r="D979">
            <v>91.17</v>
          </cell>
          <cell r="E979">
            <v>151.94999999999999</v>
          </cell>
          <cell r="F979">
            <v>0</v>
          </cell>
          <cell r="G979">
            <v>0</v>
          </cell>
        </row>
        <row r="980">
          <cell r="A980" t="str">
            <v>MZ330561</v>
          </cell>
          <cell r="B980" t="str">
            <v>S</v>
          </cell>
          <cell r="C980" t="str">
            <v>MUDGUARDS (FR)- BLUE (T69)</v>
          </cell>
          <cell r="D980">
            <v>91.17</v>
          </cell>
          <cell r="E980">
            <v>151.94999999999999</v>
          </cell>
          <cell r="F980">
            <v>0</v>
          </cell>
          <cell r="G980">
            <v>0</v>
          </cell>
        </row>
        <row r="981">
          <cell r="A981" t="str">
            <v>MZ330562</v>
          </cell>
          <cell r="B981" t="str">
            <v>S</v>
          </cell>
          <cell r="C981" t="str">
            <v>MUDGUARDS (FR)- RED (P19)</v>
          </cell>
          <cell r="D981">
            <v>91.17</v>
          </cell>
          <cell r="E981">
            <v>151.94999999999999</v>
          </cell>
          <cell r="F981">
            <v>0</v>
          </cell>
          <cell r="G981">
            <v>0</v>
          </cell>
        </row>
        <row r="982">
          <cell r="A982" t="str">
            <v>MZ330563</v>
          </cell>
          <cell r="B982" t="str">
            <v>Q</v>
          </cell>
          <cell r="C982" t="str">
            <v>MUDGUARDS (FR)- BLACK (X08)</v>
          </cell>
          <cell r="D982">
            <v>91.17</v>
          </cell>
          <cell r="E982">
            <v>151.94999999999999</v>
          </cell>
          <cell r="F982">
            <v>8</v>
          </cell>
          <cell r="G982">
            <v>0</v>
          </cell>
        </row>
        <row r="983">
          <cell r="A983" t="str">
            <v>MZ330564</v>
          </cell>
          <cell r="B983" t="str">
            <v>S</v>
          </cell>
          <cell r="C983" t="str">
            <v>MUDGUARDS (FR)- GRAY (A02)</v>
          </cell>
          <cell r="D983">
            <v>91.17</v>
          </cell>
          <cell r="E983">
            <v>151.94999999999999</v>
          </cell>
          <cell r="F983">
            <v>0</v>
          </cell>
          <cell r="G983">
            <v>0</v>
          </cell>
        </row>
        <row r="984">
          <cell r="A984" t="str">
            <v>MZ330565</v>
          </cell>
          <cell r="B984" t="str">
            <v>S</v>
          </cell>
          <cell r="C984" t="str">
            <v>MUDGUARDS (FR)- COOL SILVER (A66)</v>
          </cell>
          <cell r="D984">
            <v>91.17</v>
          </cell>
          <cell r="E984">
            <v>151.94999999999999</v>
          </cell>
          <cell r="F984">
            <v>0</v>
          </cell>
          <cell r="G984">
            <v>0</v>
          </cell>
        </row>
        <row r="985">
          <cell r="A985" t="str">
            <v>MZ330566</v>
          </cell>
          <cell r="B985" t="str">
            <v>Z</v>
          </cell>
          <cell r="C985" t="str">
            <v>MUDGUARDS (FR) W54</v>
          </cell>
          <cell r="D985">
            <v>101.37</v>
          </cell>
          <cell r="E985">
            <v>168.95</v>
          </cell>
          <cell r="F985">
            <v>0</v>
          </cell>
          <cell r="G985">
            <v>0</v>
          </cell>
        </row>
        <row r="986">
          <cell r="A986" t="str">
            <v>MZ330567</v>
          </cell>
          <cell r="B986" t="str">
            <v>S</v>
          </cell>
          <cell r="C986" t="str">
            <v>MUDGUARDS (FR)- WHITE (W19)</v>
          </cell>
          <cell r="D986">
            <v>91.17</v>
          </cell>
          <cell r="E986">
            <v>151.94999999999999</v>
          </cell>
          <cell r="F986">
            <v>0</v>
          </cell>
          <cell r="G986">
            <v>0</v>
          </cell>
        </row>
        <row r="987">
          <cell r="A987" t="str">
            <v>MZ330568</v>
          </cell>
          <cell r="B987" t="str">
            <v>Q</v>
          </cell>
          <cell r="C987" t="str">
            <v>BODY SIDE MOULDINGS PURPLE (V08)</v>
          </cell>
          <cell r="D987">
            <v>76.67</v>
          </cell>
          <cell r="E987">
            <v>117.95</v>
          </cell>
          <cell r="F987">
            <v>1</v>
          </cell>
          <cell r="G987">
            <v>0</v>
          </cell>
        </row>
        <row r="988">
          <cell r="A988" t="str">
            <v>MZ330621</v>
          </cell>
          <cell r="B988" t="str">
            <v>S</v>
          </cell>
          <cell r="C988" t="str">
            <v>BODY SIDE MOULDINGS WHITE (W19)</v>
          </cell>
          <cell r="D988">
            <v>76.67</v>
          </cell>
          <cell r="E988">
            <v>117.95</v>
          </cell>
          <cell r="F988">
            <v>0</v>
          </cell>
          <cell r="G988">
            <v>0</v>
          </cell>
        </row>
        <row r="989">
          <cell r="A989" t="str">
            <v>MZ330623</v>
          </cell>
          <cell r="B989" t="str">
            <v>S</v>
          </cell>
          <cell r="C989" t="str">
            <v>MUDGUARDS (RR)- GREEN (F24)</v>
          </cell>
          <cell r="D989">
            <v>92.37</v>
          </cell>
          <cell r="E989">
            <v>153.94999999999999</v>
          </cell>
          <cell r="F989">
            <v>0</v>
          </cell>
          <cell r="G989">
            <v>0</v>
          </cell>
        </row>
        <row r="990">
          <cell r="A990" t="str">
            <v>MZ330624</v>
          </cell>
          <cell r="B990" t="str">
            <v>S</v>
          </cell>
          <cell r="C990" t="str">
            <v>MUDGUARDS (RR)- PURPLE (V08)</v>
          </cell>
          <cell r="D990">
            <v>92.37</v>
          </cell>
          <cell r="E990">
            <v>153.94999999999999</v>
          </cell>
          <cell r="F990">
            <v>0</v>
          </cell>
          <cell r="G990">
            <v>0</v>
          </cell>
        </row>
        <row r="991">
          <cell r="A991" t="str">
            <v>MZ330625</v>
          </cell>
          <cell r="B991" t="str">
            <v>F</v>
          </cell>
          <cell r="C991" t="str">
            <v>MUDGUARDS (RR)- BLUE (T69)</v>
          </cell>
          <cell r="D991">
            <v>92.37</v>
          </cell>
          <cell r="E991">
            <v>153.94999999999999</v>
          </cell>
          <cell r="F991">
            <v>7</v>
          </cell>
          <cell r="G991">
            <v>0</v>
          </cell>
        </row>
        <row r="992">
          <cell r="A992" t="str">
            <v>MZ330626</v>
          </cell>
          <cell r="B992" t="str">
            <v>S</v>
          </cell>
          <cell r="C992" t="str">
            <v>MUDGUARDS (RR)- RED (P19)</v>
          </cell>
          <cell r="D992">
            <v>92.37</v>
          </cell>
          <cell r="E992">
            <v>153.94999999999999</v>
          </cell>
          <cell r="F992">
            <v>0</v>
          </cell>
          <cell r="G992">
            <v>0</v>
          </cell>
        </row>
        <row r="993">
          <cell r="A993" t="str">
            <v>MZ330627</v>
          </cell>
          <cell r="B993" t="str">
            <v>Q</v>
          </cell>
          <cell r="C993" t="str">
            <v>MUDGUARDS (RR)- BLACK (X08)</v>
          </cell>
          <cell r="D993">
            <v>149.16381000000001</v>
          </cell>
          <cell r="E993">
            <v>248.95</v>
          </cell>
          <cell r="F993">
            <v>6</v>
          </cell>
          <cell r="G993">
            <v>0</v>
          </cell>
        </row>
        <row r="994">
          <cell r="A994" t="str">
            <v>MZ330628</v>
          </cell>
          <cell r="B994" t="str">
            <v>S</v>
          </cell>
          <cell r="C994" t="str">
            <v>MUDGUARDS (RR)- GRAY (A02)</v>
          </cell>
          <cell r="D994">
            <v>92.37</v>
          </cell>
          <cell r="E994">
            <v>153.94999999999999</v>
          </cell>
          <cell r="F994">
            <v>0</v>
          </cell>
          <cell r="G994">
            <v>0</v>
          </cell>
        </row>
        <row r="995">
          <cell r="A995" t="str">
            <v>MZ330629</v>
          </cell>
          <cell r="B995" t="str">
            <v>F</v>
          </cell>
          <cell r="C995" t="str">
            <v>MUDGUARDS (RR)- COOL SILVER (A66)</v>
          </cell>
          <cell r="D995">
            <v>92.37</v>
          </cell>
          <cell r="E995">
            <v>153.94999999999999</v>
          </cell>
          <cell r="F995">
            <v>77</v>
          </cell>
          <cell r="G995">
            <v>0</v>
          </cell>
        </row>
        <row r="996">
          <cell r="A996" t="str">
            <v>MZ330630</v>
          </cell>
          <cell r="B996" t="str">
            <v>S</v>
          </cell>
          <cell r="C996" t="str">
            <v>MUDGUARDS (RR)- WHITE (W19)</v>
          </cell>
          <cell r="D996">
            <v>92.37</v>
          </cell>
          <cell r="E996">
            <v>153.94999999999999</v>
          </cell>
          <cell r="F996">
            <v>0</v>
          </cell>
          <cell r="G996">
            <v>0</v>
          </cell>
        </row>
        <row r="997">
          <cell r="A997" t="str">
            <v>MZ330631</v>
          </cell>
          <cell r="B997" t="str">
            <v>Z</v>
          </cell>
          <cell r="C997" t="str">
            <v>Mudguards (Rr) W54</v>
          </cell>
          <cell r="D997">
            <v>0.01</v>
          </cell>
          <cell r="E997">
            <v>0</v>
          </cell>
          <cell r="F997">
            <v>0</v>
          </cell>
          <cell r="G997">
            <v>0</v>
          </cell>
        </row>
        <row r="998">
          <cell r="A998" t="str">
            <v>MZ330660</v>
          </cell>
          <cell r="B998" t="str">
            <v>S</v>
          </cell>
          <cell r="C998" t="str">
            <v>FRONT AIR DAM, BLUE T69</v>
          </cell>
          <cell r="D998">
            <v>251.91</v>
          </cell>
          <cell r="E998">
            <v>419.95</v>
          </cell>
          <cell r="F998">
            <v>1</v>
          </cell>
          <cell r="G998">
            <v>0</v>
          </cell>
        </row>
        <row r="999">
          <cell r="A999" t="str">
            <v>MZ330661</v>
          </cell>
          <cell r="B999" t="str">
            <v>S</v>
          </cell>
          <cell r="C999" t="str">
            <v>FRONT AIR DAM, RED P19</v>
          </cell>
          <cell r="D999">
            <v>251.91</v>
          </cell>
          <cell r="E999">
            <v>419.95</v>
          </cell>
          <cell r="F999">
            <v>0</v>
          </cell>
          <cell r="G999">
            <v>0</v>
          </cell>
        </row>
        <row r="1000">
          <cell r="A1000" t="str">
            <v>MZ330662</v>
          </cell>
          <cell r="B1000" t="str">
            <v>S</v>
          </cell>
          <cell r="C1000" t="str">
            <v>FRONT AIR DAM, BLACK X08</v>
          </cell>
          <cell r="D1000">
            <v>251.91</v>
          </cell>
          <cell r="E1000">
            <v>419.95</v>
          </cell>
          <cell r="F1000">
            <v>0</v>
          </cell>
          <cell r="G1000">
            <v>0</v>
          </cell>
        </row>
        <row r="1001">
          <cell r="A1001" t="str">
            <v>MZ330664</v>
          </cell>
          <cell r="B1001" t="str">
            <v>S</v>
          </cell>
          <cell r="C1001" t="str">
            <v>FRONT AIR DAM, SILVER A66</v>
          </cell>
          <cell r="D1001">
            <v>251.91</v>
          </cell>
          <cell r="E1001">
            <v>419.95</v>
          </cell>
          <cell r="F1001">
            <v>0</v>
          </cell>
          <cell r="G1001">
            <v>0</v>
          </cell>
        </row>
        <row r="1002">
          <cell r="A1002" t="str">
            <v>MZ330665</v>
          </cell>
          <cell r="B1002" t="str">
            <v>S</v>
          </cell>
          <cell r="C1002" t="str">
            <v>FRONT AIR DAM, WHITE PEARL W54</v>
          </cell>
          <cell r="D1002">
            <v>251.91</v>
          </cell>
          <cell r="E1002">
            <v>419.95</v>
          </cell>
          <cell r="F1002">
            <v>0</v>
          </cell>
          <cell r="G1002">
            <v>0</v>
          </cell>
        </row>
        <row r="1003">
          <cell r="A1003" t="str">
            <v>MZ330668</v>
          </cell>
          <cell r="B1003" t="str">
            <v>Z</v>
          </cell>
          <cell r="C1003" t="str">
            <v>REAR AIRDAM P19</v>
          </cell>
          <cell r="D1003">
            <v>321.57</v>
          </cell>
          <cell r="E1003">
            <v>535.95000000000005</v>
          </cell>
          <cell r="F1003">
            <v>0</v>
          </cell>
          <cell r="G1003">
            <v>0</v>
          </cell>
        </row>
        <row r="1004">
          <cell r="A1004" t="str">
            <v>MZ330674</v>
          </cell>
          <cell r="B1004" t="str">
            <v>S</v>
          </cell>
          <cell r="C1004" t="str">
            <v>SIDE AIR DAMS, BLUE T69</v>
          </cell>
          <cell r="D1004">
            <v>324.97000000000003</v>
          </cell>
          <cell r="E1004">
            <v>499.95</v>
          </cell>
          <cell r="F1004">
            <v>1</v>
          </cell>
          <cell r="G1004">
            <v>0</v>
          </cell>
        </row>
        <row r="1005">
          <cell r="A1005" t="str">
            <v>MZ330675</v>
          </cell>
          <cell r="B1005" t="str">
            <v>S</v>
          </cell>
          <cell r="C1005" t="str">
            <v>SIDE AIR DAMS, RED P19</v>
          </cell>
          <cell r="D1005">
            <v>324.97000000000003</v>
          </cell>
          <cell r="E1005">
            <v>499.95</v>
          </cell>
          <cell r="F1005">
            <v>0</v>
          </cell>
          <cell r="G1005">
            <v>0</v>
          </cell>
        </row>
        <row r="1006">
          <cell r="A1006" t="str">
            <v>MZ330676</v>
          </cell>
          <cell r="B1006" t="str">
            <v>S</v>
          </cell>
          <cell r="C1006" t="str">
            <v>SIDE AIR DAMS, BLACK X08</v>
          </cell>
          <cell r="D1006">
            <v>324.97000000000003</v>
          </cell>
          <cell r="E1006">
            <v>499.95</v>
          </cell>
          <cell r="F1006">
            <v>0</v>
          </cell>
          <cell r="G1006">
            <v>0</v>
          </cell>
        </row>
        <row r="1007">
          <cell r="A1007" t="str">
            <v>MZ330678</v>
          </cell>
          <cell r="B1007" t="str">
            <v>S</v>
          </cell>
          <cell r="C1007" t="str">
            <v>SIDE AIR DAMS, SILVER A66</v>
          </cell>
          <cell r="D1007">
            <v>324.97000000000003</v>
          </cell>
          <cell r="E1007">
            <v>499.95</v>
          </cell>
          <cell r="F1007">
            <v>0</v>
          </cell>
          <cell r="G1007">
            <v>0</v>
          </cell>
        </row>
        <row r="1008">
          <cell r="A1008" t="str">
            <v>MZ330679</v>
          </cell>
          <cell r="B1008" t="str">
            <v>S</v>
          </cell>
          <cell r="C1008" t="str">
            <v>SIDE AIR DAMS, WHITE PEARL W54</v>
          </cell>
          <cell r="D1008">
            <v>324.97000000000003</v>
          </cell>
          <cell r="E1008">
            <v>499.95</v>
          </cell>
          <cell r="F1008">
            <v>0</v>
          </cell>
          <cell r="G1008">
            <v>0</v>
          </cell>
        </row>
        <row r="1009">
          <cell r="A1009" t="str">
            <v>MZ330682</v>
          </cell>
          <cell r="B1009" t="str">
            <v>Z</v>
          </cell>
          <cell r="C1009" t="str">
            <v>REAR LIP SPOILER P19</v>
          </cell>
          <cell r="D1009">
            <v>313.77</v>
          </cell>
          <cell r="E1009">
            <v>522.95000000000005</v>
          </cell>
          <cell r="F1009">
            <v>0</v>
          </cell>
          <cell r="G1009">
            <v>0</v>
          </cell>
        </row>
        <row r="1010">
          <cell r="A1010" t="str">
            <v>MZ330689</v>
          </cell>
          <cell r="B1010" t="str">
            <v>Q</v>
          </cell>
          <cell r="C1010" t="str">
            <v>SIDE WINDOW DEFLECTOR, DARK TINT</v>
          </cell>
          <cell r="D1010">
            <v>103.5</v>
          </cell>
          <cell r="E1010">
            <v>159.94999999999999</v>
          </cell>
          <cell r="F1010">
            <v>45</v>
          </cell>
          <cell r="G1010">
            <v>0</v>
          </cell>
        </row>
        <row r="1011">
          <cell r="A1011" t="str">
            <v>MZ330690</v>
          </cell>
          <cell r="B1011" t="str">
            <v>S</v>
          </cell>
          <cell r="C1011" t="str">
            <v>FINISHER, EXHAUST, BRIGHT</v>
          </cell>
          <cell r="D1011">
            <v>40.770000000000003</v>
          </cell>
          <cell r="E1011">
            <v>67.95</v>
          </cell>
          <cell r="F1011">
            <v>0</v>
          </cell>
          <cell r="G1011">
            <v>0</v>
          </cell>
        </row>
        <row r="1012">
          <cell r="A1012" t="str">
            <v>MZ330692</v>
          </cell>
          <cell r="B1012" t="str">
            <v>S</v>
          </cell>
          <cell r="C1012" t="str">
            <v>CARPETED MATS,LHD</v>
          </cell>
          <cell r="D1012">
            <v>85.77</v>
          </cell>
          <cell r="E1012">
            <v>142.94999999999999</v>
          </cell>
          <cell r="F1012">
            <v>2</v>
          </cell>
          <cell r="G1012">
            <v>0</v>
          </cell>
        </row>
        <row r="1013">
          <cell r="A1013" t="str">
            <v>MZ330694</v>
          </cell>
          <cell r="B1013" t="str">
            <v>F</v>
          </cell>
          <cell r="C1013" t="str">
            <v>CARGO TRAY</v>
          </cell>
          <cell r="D1013">
            <v>56.97</v>
          </cell>
          <cell r="E1013">
            <v>94.95</v>
          </cell>
          <cell r="F1013">
            <v>21</v>
          </cell>
          <cell r="G1013">
            <v>0</v>
          </cell>
        </row>
        <row r="1014">
          <cell r="A1014" t="str">
            <v>MZ330709</v>
          </cell>
          <cell r="B1014" t="str">
            <v>S</v>
          </cell>
          <cell r="C1014" t="str">
            <v>SCUFF PLATES</v>
          </cell>
          <cell r="D1014">
            <v>101.97</v>
          </cell>
          <cell r="E1014">
            <v>169.95</v>
          </cell>
          <cell r="F1014">
            <v>0</v>
          </cell>
          <cell r="G1014">
            <v>0</v>
          </cell>
        </row>
        <row r="1015">
          <cell r="A1015" t="str">
            <v>MZ330716</v>
          </cell>
          <cell r="B1015" t="str">
            <v>S</v>
          </cell>
          <cell r="C1015" t="str">
            <v>REAR LIP SPOILER, BLUE T69</v>
          </cell>
          <cell r="D1015">
            <v>259.97000000000003</v>
          </cell>
          <cell r="E1015">
            <v>399.95</v>
          </cell>
          <cell r="F1015">
            <v>0</v>
          </cell>
          <cell r="G1015">
            <v>0</v>
          </cell>
        </row>
        <row r="1016">
          <cell r="A1016" t="str">
            <v>MZ330718</v>
          </cell>
          <cell r="B1016" t="str">
            <v>S</v>
          </cell>
          <cell r="C1016" t="str">
            <v>REAR LIP SPOILER, BLACK X08</v>
          </cell>
          <cell r="D1016">
            <v>259.97000000000003</v>
          </cell>
          <cell r="E1016">
            <v>399.95</v>
          </cell>
          <cell r="F1016">
            <v>0</v>
          </cell>
          <cell r="G1016">
            <v>0</v>
          </cell>
        </row>
        <row r="1017">
          <cell r="A1017" t="str">
            <v>MZ330720</v>
          </cell>
          <cell r="B1017" t="str">
            <v>S</v>
          </cell>
          <cell r="C1017" t="str">
            <v>REAR LIP SPOILER, SILVER A66</v>
          </cell>
          <cell r="D1017">
            <v>259.97000000000003</v>
          </cell>
          <cell r="E1017">
            <v>399.95</v>
          </cell>
          <cell r="F1017">
            <v>0</v>
          </cell>
          <cell r="G1017">
            <v>0</v>
          </cell>
        </row>
        <row r="1018">
          <cell r="A1018" t="str">
            <v>MZ330721</v>
          </cell>
          <cell r="B1018" t="str">
            <v>S</v>
          </cell>
          <cell r="C1018" t="str">
            <v>REAR LIP SPOILER, WHITE PEARL W54</v>
          </cell>
          <cell r="D1018">
            <v>259.97000000000003</v>
          </cell>
          <cell r="E1018">
            <v>399.95</v>
          </cell>
          <cell r="F1018">
            <v>0</v>
          </cell>
          <cell r="G1018">
            <v>0</v>
          </cell>
        </row>
        <row r="1019">
          <cell r="A1019" t="str">
            <v>MZ330724</v>
          </cell>
          <cell r="B1019" t="str">
            <v>S</v>
          </cell>
          <cell r="C1019" t="str">
            <v>REAR LIP SPOILER, RED P19</v>
          </cell>
          <cell r="D1019">
            <v>259.97000000000003</v>
          </cell>
          <cell r="E1019">
            <v>399.95</v>
          </cell>
          <cell r="F1019">
            <v>0</v>
          </cell>
          <cell r="G1019">
            <v>0</v>
          </cell>
        </row>
        <row r="1020">
          <cell r="A1020" t="str">
            <v>MZ330729</v>
          </cell>
          <cell r="B1020" t="str">
            <v>Z</v>
          </cell>
          <cell r="C1020" t="str">
            <v>FRONT AIR DAM, GRAY U17</v>
          </cell>
          <cell r="D1020">
            <v>251.91</v>
          </cell>
          <cell r="E1020">
            <v>419.95</v>
          </cell>
          <cell r="F1020">
            <v>0</v>
          </cell>
          <cell r="G1020">
            <v>0</v>
          </cell>
        </row>
        <row r="1021">
          <cell r="A1021" t="str">
            <v>MZ330731</v>
          </cell>
          <cell r="B1021" t="str">
            <v>S</v>
          </cell>
          <cell r="C1021" t="str">
            <v>SIDE AIR DAMS, GRAY U17</v>
          </cell>
          <cell r="D1021">
            <v>324.97000000000003</v>
          </cell>
          <cell r="E1021">
            <v>499.95</v>
          </cell>
          <cell r="F1021">
            <v>0</v>
          </cell>
          <cell r="G1021">
            <v>0</v>
          </cell>
        </row>
        <row r="1022">
          <cell r="A1022" t="str">
            <v>MZ330732</v>
          </cell>
          <cell r="B1022" t="str">
            <v>S</v>
          </cell>
          <cell r="C1022" t="str">
            <v>REAR LIP SPOILER, GRAY U17</v>
          </cell>
          <cell r="D1022">
            <v>259.97000000000003</v>
          </cell>
          <cell r="E1022">
            <v>399.95</v>
          </cell>
          <cell r="F1022">
            <v>0</v>
          </cell>
          <cell r="G1022">
            <v>0</v>
          </cell>
        </row>
        <row r="1023">
          <cell r="A1023" t="str">
            <v>MZ330772</v>
          </cell>
          <cell r="B1023" t="str">
            <v>S</v>
          </cell>
          <cell r="C1023" t="str">
            <v>MUDGUARDS,FRONT SET,U17</v>
          </cell>
          <cell r="D1023">
            <v>91.17</v>
          </cell>
          <cell r="E1023">
            <v>151.94999999999999</v>
          </cell>
          <cell r="F1023">
            <v>2</v>
          </cell>
          <cell r="G1023">
            <v>0</v>
          </cell>
        </row>
        <row r="1024">
          <cell r="A1024" t="str">
            <v>MZ330773</v>
          </cell>
          <cell r="B1024" t="str">
            <v>S</v>
          </cell>
          <cell r="C1024" t="str">
            <v>MUDGUARDS,REAR SET,U17</v>
          </cell>
          <cell r="D1024">
            <v>145.16</v>
          </cell>
          <cell r="E1024">
            <v>241.95</v>
          </cell>
          <cell r="F1024">
            <v>0</v>
          </cell>
          <cell r="G1024">
            <v>0</v>
          </cell>
        </row>
        <row r="1025">
          <cell r="A1025" t="str">
            <v>MZ330774</v>
          </cell>
          <cell r="B1025" t="str">
            <v>Q</v>
          </cell>
          <cell r="C1025" t="str">
            <v>SIDE PROTECMOULDING MIRAGE U17</v>
          </cell>
          <cell r="D1025">
            <v>88.17</v>
          </cell>
          <cell r="E1025">
            <v>146.94999999999999</v>
          </cell>
          <cell r="F1025">
            <v>1</v>
          </cell>
          <cell r="G1025">
            <v>0</v>
          </cell>
        </row>
        <row r="1026">
          <cell r="A1026" t="str">
            <v>MZ331103</v>
          </cell>
          <cell r="B1026" t="str">
            <v>Q</v>
          </cell>
          <cell r="C1026" t="str">
            <v>MUD GUARD REAR - BLACK PLASTIC</v>
          </cell>
          <cell r="D1026">
            <v>53.98</v>
          </cell>
          <cell r="E1026">
            <v>89.95</v>
          </cell>
          <cell r="F1026">
            <v>22</v>
          </cell>
          <cell r="G1026">
            <v>0</v>
          </cell>
        </row>
        <row r="1027">
          <cell r="A1027" t="str">
            <v>MZ331104</v>
          </cell>
          <cell r="B1027" t="str">
            <v>S</v>
          </cell>
          <cell r="C1027" t="str">
            <v>REAR MUD GUARD - T69</v>
          </cell>
          <cell r="D1027">
            <v>92.37</v>
          </cell>
          <cell r="E1027">
            <v>153.94999999999999</v>
          </cell>
          <cell r="F1027">
            <v>0</v>
          </cell>
          <cell r="G1027">
            <v>0</v>
          </cell>
        </row>
        <row r="1028">
          <cell r="A1028" t="str">
            <v>MZ331106</v>
          </cell>
          <cell r="B1028" t="str">
            <v>Q</v>
          </cell>
          <cell r="C1028" t="str">
            <v>REAR MUD GUARD - P19</v>
          </cell>
          <cell r="D1028">
            <v>92.37</v>
          </cell>
          <cell r="E1028">
            <v>153.94999999999999</v>
          </cell>
          <cell r="F1028">
            <v>4</v>
          </cell>
          <cell r="G1028">
            <v>0</v>
          </cell>
        </row>
        <row r="1029">
          <cell r="A1029" t="str">
            <v>MZ331107</v>
          </cell>
          <cell r="B1029" t="str">
            <v>Z</v>
          </cell>
          <cell r="C1029" t="str">
            <v>REAR MUD GUARD - X08</v>
          </cell>
          <cell r="D1029">
            <v>92.37</v>
          </cell>
          <cell r="E1029">
            <v>153.94999999999999</v>
          </cell>
          <cell r="F1029">
            <v>0</v>
          </cell>
          <cell r="G1029">
            <v>0</v>
          </cell>
        </row>
        <row r="1030">
          <cell r="A1030" t="str">
            <v>MZ331108</v>
          </cell>
          <cell r="B1030" t="str">
            <v>S</v>
          </cell>
          <cell r="C1030" t="str">
            <v>REAR MUD GUARD - A66</v>
          </cell>
          <cell r="D1030">
            <v>92.37</v>
          </cell>
          <cell r="E1030">
            <v>153.94999999999999</v>
          </cell>
          <cell r="F1030">
            <v>0</v>
          </cell>
          <cell r="G1030">
            <v>0</v>
          </cell>
        </row>
        <row r="1031">
          <cell r="A1031" t="str">
            <v>MZ331109</v>
          </cell>
          <cell r="B1031" t="str">
            <v>Q</v>
          </cell>
          <cell r="C1031" t="str">
            <v>REAR MUD GUARD - W54</v>
          </cell>
          <cell r="D1031">
            <v>92.37</v>
          </cell>
          <cell r="E1031">
            <v>153.94999999999999</v>
          </cell>
          <cell r="F1031">
            <v>4</v>
          </cell>
          <cell r="G1031">
            <v>0</v>
          </cell>
        </row>
        <row r="1032">
          <cell r="A1032" t="str">
            <v>MZ331110</v>
          </cell>
          <cell r="B1032" t="str">
            <v>S</v>
          </cell>
          <cell r="C1032" t="str">
            <v>REAR MUD GUARD - U17</v>
          </cell>
          <cell r="D1032">
            <v>92.37</v>
          </cell>
          <cell r="E1032">
            <v>153.94999999999999</v>
          </cell>
          <cell r="F1032">
            <v>2</v>
          </cell>
          <cell r="G1032">
            <v>0</v>
          </cell>
        </row>
        <row r="1033">
          <cell r="A1033" t="str">
            <v>MZ331111</v>
          </cell>
          <cell r="B1033" t="str">
            <v>S</v>
          </cell>
          <cell r="C1033" t="str">
            <v>REAR MUD GUARD - P57</v>
          </cell>
          <cell r="D1033">
            <v>92.37</v>
          </cell>
          <cell r="E1033">
            <v>153.94999999999999</v>
          </cell>
          <cell r="F1033">
            <v>2</v>
          </cell>
          <cell r="G1033">
            <v>0</v>
          </cell>
        </row>
        <row r="1034">
          <cell r="A1034" t="str">
            <v>MZ331112</v>
          </cell>
          <cell r="B1034" t="str">
            <v>Q</v>
          </cell>
          <cell r="C1034" t="str">
            <v>REAR MUD GUARD - M09</v>
          </cell>
          <cell r="D1034">
            <v>92.37</v>
          </cell>
          <cell r="E1034">
            <v>153.94999999999999</v>
          </cell>
          <cell r="F1034">
            <v>8</v>
          </cell>
          <cell r="G1034">
            <v>0</v>
          </cell>
        </row>
        <row r="1035">
          <cell r="A1035" t="str">
            <v>MZ331118</v>
          </cell>
          <cell r="B1035" t="str">
            <v>Q</v>
          </cell>
          <cell r="C1035" t="str">
            <v>SIDE PROTECMOULDING MIRAGE P57</v>
          </cell>
          <cell r="D1035">
            <v>88.17</v>
          </cell>
          <cell r="E1035">
            <v>146.94999999999999</v>
          </cell>
          <cell r="F1035">
            <v>3</v>
          </cell>
          <cell r="G1035">
            <v>0</v>
          </cell>
        </row>
        <row r="1036">
          <cell r="A1036" t="str">
            <v>MZ331119</v>
          </cell>
          <cell r="B1036" t="str">
            <v>F</v>
          </cell>
          <cell r="C1036" t="str">
            <v>BODY SIDE MOLDING M09</v>
          </cell>
          <cell r="D1036">
            <v>110.97</v>
          </cell>
          <cell r="E1036">
            <v>184.95</v>
          </cell>
          <cell r="F1036">
            <v>0</v>
          </cell>
          <cell r="G1036">
            <v>0</v>
          </cell>
        </row>
        <row r="1037">
          <cell r="A1037" t="str">
            <v>MZ331122</v>
          </cell>
          <cell r="B1037" t="str">
            <v>S</v>
          </cell>
          <cell r="C1037" t="str">
            <v>REAR BUMPER GARNISH</v>
          </cell>
          <cell r="D1037">
            <v>157.16</v>
          </cell>
          <cell r="E1037">
            <v>261.95</v>
          </cell>
          <cell r="F1037">
            <v>0</v>
          </cell>
          <cell r="G1037">
            <v>0</v>
          </cell>
        </row>
        <row r="1038">
          <cell r="A1038" t="str">
            <v>MZ331136</v>
          </cell>
          <cell r="B1038" t="str">
            <v>S</v>
          </cell>
          <cell r="C1038" t="str">
            <v>FR BUMPER GARNISH W/ DRL</v>
          </cell>
          <cell r="D1038">
            <v>519.12</v>
          </cell>
          <cell r="E1038">
            <v>798.95</v>
          </cell>
          <cell r="F1038">
            <v>0</v>
          </cell>
          <cell r="G1038">
            <v>0</v>
          </cell>
        </row>
        <row r="1039">
          <cell r="A1039" t="str">
            <v>MZ331144</v>
          </cell>
          <cell r="B1039" t="str">
            <v>S</v>
          </cell>
          <cell r="C1039" t="str">
            <v>MUDGUARDS (FR) W/ SIDE AIRDAM,</v>
          </cell>
          <cell r="D1039">
            <v>91.17</v>
          </cell>
          <cell r="E1039">
            <v>151.94999999999999</v>
          </cell>
          <cell r="F1039">
            <v>2</v>
          </cell>
          <cell r="G1039">
            <v>0</v>
          </cell>
        </row>
        <row r="1040">
          <cell r="A1040" t="str">
            <v>MZ331145</v>
          </cell>
          <cell r="B1040" t="str">
            <v>S</v>
          </cell>
          <cell r="C1040" t="str">
            <v>MUDGUARDS (FR) W/ SIDE AIRDAM,</v>
          </cell>
          <cell r="D1040">
            <v>91.17</v>
          </cell>
          <cell r="E1040">
            <v>151.94999999999999</v>
          </cell>
          <cell r="F1040">
            <v>2</v>
          </cell>
          <cell r="G1040">
            <v>0</v>
          </cell>
        </row>
        <row r="1041">
          <cell r="A1041" t="str">
            <v>MZ331147</v>
          </cell>
          <cell r="B1041" t="str">
            <v>S</v>
          </cell>
          <cell r="C1041" t="str">
            <v>FRONT AIR DAM, WINE RED P57</v>
          </cell>
          <cell r="D1041">
            <v>251.91</v>
          </cell>
          <cell r="E1041">
            <v>419.95</v>
          </cell>
          <cell r="F1041">
            <v>0</v>
          </cell>
          <cell r="G1041">
            <v>0</v>
          </cell>
        </row>
        <row r="1042">
          <cell r="A1042" t="str">
            <v>MZ331148</v>
          </cell>
          <cell r="B1042" t="str">
            <v>S</v>
          </cell>
          <cell r="C1042" t="str">
            <v>SIDE AIR DAMS, WINE RED P57</v>
          </cell>
          <cell r="D1042">
            <v>324.97000000000003</v>
          </cell>
          <cell r="E1042">
            <v>499.95</v>
          </cell>
          <cell r="F1042">
            <v>0</v>
          </cell>
          <cell r="G1042">
            <v>0</v>
          </cell>
        </row>
        <row r="1043">
          <cell r="A1043" t="str">
            <v>MZ331149</v>
          </cell>
          <cell r="B1043" t="str">
            <v>F</v>
          </cell>
          <cell r="C1043" t="str">
            <v>REAR LIP SPOILER, WINE RED P57</v>
          </cell>
          <cell r="D1043">
            <v>259.97000000000003</v>
          </cell>
          <cell r="E1043">
            <v>399.95</v>
          </cell>
          <cell r="F1043">
            <v>6</v>
          </cell>
          <cell r="G1043">
            <v>0</v>
          </cell>
        </row>
        <row r="1044">
          <cell r="A1044" t="str">
            <v>MZ331150</v>
          </cell>
          <cell r="B1044" t="str">
            <v>S</v>
          </cell>
          <cell r="C1044" t="str">
            <v>FR BUMPER GARNISH W/ LED DRL</v>
          </cell>
          <cell r="D1044">
            <v>423.48</v>
          </cell>
          <cell r="E1044">
            <v>705.95</v>
          </cell>
          <cell r="F1044">
            <v>0</v>
          </cell>
          <cell r="G1044">
            <v>0</v>
          </cell>
        </row>
        <row r="1045">
          <cell r="A1045" t="str">
            <v>MZ331351</v>
          </cell>
          <cell r="B1045" t="str">
            <v>Q</v>
          </cell>
          <cell r="C1045" t="str">
            <v>FRONT UNDER GRILLE GARNISH</v>
          </cell>
          <cell r="D1045">
            <v>190.77</v>
          </cell>
          <cell r="E1045">
            <v>317.95</v>
          </cell>
          <cell r="F1045">
            <v>8</v>
          </cell>
          <cell r="G1045">
            <v>0</v>
          </cell>
        </row>
        <row r="1046">
          <cell r="A1046" t="str">
            <v>MZ331352</v>
          </cell>
          <cell r="B1046" t="str">
            <v>F</v>
          </cell>
          <cell r="C1046" t="str">
            <v>FRONT UNDER GRILLE GARNISH</v>
          </cell>
          <cell r="D1046">
            <v>190.77</v>
          </cell>
          <cell r="E1046">
            <v>317.95</v>
          </cell>
          <cell r="F1046">
            <v>6</v>
          </cell>
          <cell r="G1046">
            <v>0</v>
          </cell>
        </row>
        <row r="1047">
          <cell r="A1047" t="str">
            <v>MZ331353</v>
          </cell>
          <cell r="B1047" t="str">
            <v>S</v>
          </cell>
          <cell r="C1047" t="str">
            <v>FRONT AIRDAM</v>
          </cell>
          <cell r="D1047">
            <v>189.57</v>
          </cell>
          <cell r="E1047">
            <v>315.95</v>
          </cell>
          <cell r="F1047">
            <v>0</v>
          </cell>
          <cell r="G1047">
            <v>0</v>
          </cell>
        </row>
        <row r="1048">
          <cell r="A1048" t="str">
            <v>MZ331354</v>
          </cell>
          <cell r="B1048" t="str">
            <v>Q</v>
          </cell>
          <cell r="C1048" t="str">
            <v>FRONT AIRDAM</v>
          </cell>
          <cell r="D1048">
            <v>203.37</v>
          </cell>
          <cell r="E1048">
            <v>338.95</v>
          </cell>
          <cell r="F1048">
            <v>6</v>
          </cell>
          <cell r="G1048">
            <v>0</v>
          </cell>
        </row>
        <row r="1049">
          <cell r="A1049" t="str">
            <v>MZ331355</v>
          </cell>
          <cell r="B1049" t="str">
            <v>E</v>
          </cell>
          <cell r="C1049" t="str">
            <v>FRONT AIRDAM</v>
          </cell>
          <cell r="D1049">
            <v>203.37</v>
          </cell>
          <cell r="E1049">
            <v>338.95</v>
          </cell>
          <cell r="F1049">
            <v>3</v>
          </cell>
          <cell r="G1049">
            <v>0</v>
          </cell>
        </row>
        <row r="1050">
          <cell r="A1050" t="str">
            <v>MZ331356</v>
          </cell>
          <cell r="B1050" t="str">
            <v>F</v>
          </cell>
          <cell r="C1050" t="str">
            <v>FRONT AIRDAM</v>
          </cell>
          <cell r="D1050">
            <v>203.37</v>
          </cell>
          <cell r="E1050">
            <v>338.95</v>
          </cell>
          <cell r="F1050">
            <v>5</v>
          </cell>
          <cell r="G1050">
            <v>0</v>
          </cell>
        </row>
        <row r="1051">
          <cell r="A1051" t="str">
            <v>MZ331357</v>
          </cell>
          <cell r="B1051" t="str">
            <v>F</v>
          </cell>
          <cell r="C1051" t="str">
            <v>FRONT AIRDAM</v>
          </cell>
          <cell r="D1051">
            <v>203.37</v>
          </cell>
          <cell r="E1051">
            <v>338.95</v>
          </cell>
          <cell r="F1051">
            <v>5</v>
          </cell>
          <cell r="G1051">
            <v>0</v>
          </cell>
        </row>
        <row r="1052">
          <cell r="A1052" t="str">
            <v>MZ331358</v>
          </cell>
          <cell r="B1052" t="str">
            <v>S</v>
          </cell>
          <cell r="C1052" t="str">
            <v>FRONT AIRDAM</v>
          </cell>
          <cell r="D1052">
            <v>203.37</v>
          </cell>
          <cell r="E1052">
            <v>338.95</v>
          </cell>
          <cell r="F1052">
            <v>2</v>
          </cell>
          <cell r="G1052">
            <v>0</v>
          </cell>
        </row>
        <row r="1053">
          <cell r="A1053" t="str">
            <v>MZ331359</v>
          </cell>
          <cell r="B1053" t="str">
            <v>F</v>
          </cell>
          <cell r="C1053" t="str">
            <v>FRONT AIRDAM</v>
          </cell>
          <cell r="D1053">
            <v>203.37</v>
          </cell>
          <cell r="E1053">
            <v>338.95</v>
          </cell>
          <cell r="F1053">
            <v>0</v>
          </cell>
          <cell r="G1053">
            <v>0</v>
          </cell>
        </row>
        <row r="1054">
          <cell r="A1054" t="str">
            <v>MZ331360</v>
          </cell>
          <cell r="B1054" t="str">
            <v>Q</v>
          </cell>
          <cell r="C1054" t="str">
            <v>FRONT AIRDAM</v>
          </cell>
          <cell r="D1054">
            <v>203.37</v>
          </cell>
          <cell r="E1054">
            <v>338.95</v>
          </cell>
          <cell r="F1054">
            <v>2</v>
          </cell>
          <cell r="G1054">
            <v>0</v>
          </cell>
        </row>
        <row r="1055">
          <cell r="A1055" t="str">
            <v>MZ331361</v>
          </cell>
          <cell r="B1055" t="str">
            <v>S</v>
          </cell>
          <cell r="C1055" t="str">
            <v>FRONT AIRDAM</v>
          </cell>
          <cell r="D1055">
            <v>203.37</v>
          </cell>
          <cell r="E1055">
            <v>338.95</v>
          </cell>
          <cell r="F1055">
            <v>2</v>
          </cell>
          <cell r="G1055">
            <v>0</v>
          </cell>
        </row>
        <row r="1056">
          <cell r="A1056" t="str">
            <v>MZ331363</v>
          </cell>
          <cell r="B1056" t="str">
            <v>S</v>
          </cell>
          <cell r="C1056" t="str">
            <v>SIDE AIRDAM FOR EL44</v>
          </cell>
          <cell r="D1056">
            <v>403.77</v>
          </cell>
          <cell r="E1056">
            <v>672.95</v>
          </cell>
          <cell r="F1056">
            <v>0</v>
          </cell>
          <cell r="G1056">
            <v>0</v>
          </cell>
        </row>
        <row r="1057">
          <cell r="A1057" t="str">
            <v>MZ331364</v>
          </cell>
          <cell r="B1057" t="str">
            <v>Q</v>
          </cell>
          <cell r="C1057" t="str">
            <v>SIDE AIRDAM MIRAGE W85</v>
          </cell>
          <cell r="D1057">
            <v>428.37</v>
          </cell>
          <cell r="E1057">
            <v>713.95</v>
          </cell>
          <cell r="F1057">
            <v>2</v>
          </cell>
          <cell r="G1057">
            <v>0</v>
          </cell>
        </row>
        <row r="1058">
          <cell r="A1058" t="str">
            <v>MZ331365</v>
          </cell>
          <cell r="B1058" t="str">
            <v>Q</v>
          </cell>
          <cell r="C1058" t="str">
            <v>SIDE AIRDAM MIRAGE X08</v>
          </cell>
          <cell r="D1058">
            <v>428.37</v>
          </cell>
          <cell r="E1058">
            <v>713.95</v>
          </cell>
          <cell r="F1058">
            <v>1</v>
          </cell>
          <cell r="G1058">
            <v>0</v>
          </cell>
        </row>
        <row r="1059">
          <cell r="A1059" t="str">
            <v>MZ331366</v>
          </cell>
          <cell r="B1059" t="str">
            <v>F</v>
          </cell>
          <cell r="C1059" t="str">
            <v>SIDE AIRDAM MIRAGE A66</v>
          </cell>
          <cell r="D1059">
            <v>428.37</v>
          </cell>
          <cell r="E1059">
            <v>713.95</v>
          </cell>
          <cell r="F1059">
            <v>3</v>
          </cell>
          <cell r="G1059">
            <v>0</v>
          </cell>
        </row>
        <row r="1060">
          <cell r="A1060" t="str">
            <v>MZ331367</v>
          </cell>
          <cell r="B1060" t="str">
            <v>Q</v>
          </cell>
          <cell r="C1060" t="str">
            <v>SIDE AIRDAM MIRAGE U17</v>
          </cell>
          <cell r="D1060">
            <v>428.37</v>
          </cell>
          <cell r="E1060">
            <v>713.95</v>
          </cell>
          <cell r="F1060">
            <v>3</v>
          </cell>
          <cell r="G1060">
            <v>0</v>
          </cell>
        </row>
        <row r="1061">
          <cell r="A1061" t="str">
            <v>MZ331368</v>
          </cell>
          <cell r="B1061" t="str">
            <v>S</v>
          </cell>
          <cell r="C1061" t="str">
            <v>SIDE AIRDAM MIRAGE T69</v>
          </cell>
          <cell r="D1061">
            <v>428.37</v>
          </cell>
          <cell r="E1061">
            <v>713.95</v>
          </cell>
          <cell r="F1061">
            <v>2</v>
          </cell>
          <cell r="G1061">
            <v>0</v>
          </cell>
        </row>
        <row r="1062">
          <cell r="A1062" t="str">
            <v>MZ331369</v>
          </cell>
          <cell r="B1062" t="str">
            <v>F</v>
          </cell>
          <cell r="C1062" t="str">
            <v>SIDE AIRDAM MIRAGE P19</v>
          </cell>
          <cell r="D1062">
            <v>428.37</v>
          </cell>
          <cell r="E1062">
            <v>713.95</v>
          </cell>
          <cell r="F1062">
            <v>1</v>
          </cell>
          <cell r="G1062">
            <v>0</v>
          </cell>
        </row>
        <row r="1063">
          <cell r="A1063" t="str">
            <v>MZ331370</v>
          </cell>
          <cell r="B1063" t="str">
            <v>Q</v>
          </cell>
          <cell r="C1063" t="str">
            <v>SIDE AIRDAM MIRAGE Y35</v>
          </cell>
          <cell r="D1063">
            <v>428.37</v>
          </cell>
          <cell r="E1063">
            <v>713.95</v>
          </cell>
          <cell r="F1063">
            <v>2</v>
          </cell>
          <cell r="G1063">
            <v>0</v>
          </cell>
        </row>
        <row r="1064">
          <cell r="A1064" t="str">
            <v>MZ331371</v>
          </cell>
          <cell r="B1064" t="str">
            <v>S</v>
          </cell>
          <cell r="C1064" t="str">
            <v>SIDE AIRDAM MIRAGE P57</v>
          </cell>
          <cell r="D1064">
            <v>428.37</v>
          </cell>
          <cell r="E1064">
            <v>713.95</v>
          </cell>
          <cell r="F1064">
            <v>2</v>
          </cell>
          <cell r="G1064">
            <v>0</v>
          </cell>
        </row>
        <row r="1065">
          <cell r="A1065" t="str">
            <v>MZ331382</v>
          </cell>
          <cell r="B1065" t="str">
            <v>S</v>
          </cell>
          <cell r="C1065" t="str">
            <v>REAR AIRDAM FOR EL44</v>
          </cell>
          <cell r="D1065">
            <v>249.57</v>
          </cell>
          <cell r="E1065">
            <v>415.95</v>
          </cell>
          <cell r="F1065">
            <v>0</v>
          </cell>
          <cell r="G1065">
            <v>0</v>
          </cell>
        </row>
        <row r="1066">
          <cell r="A1066" t="str">
            <v>MZ331383</v>
          </cell>
          <cell r="B1066" t="str">
            <v>Q</v>
          </cell>
          <cell r="C1066" t="str">
            <v>RR AIRDAM W85 CARBON MIRAGE</v>
          </cell>
          <cell r="D1066">
            <v>267.57</v>
          </cell>
          <cell r="E1066">
            <v>445.95</v>
          </cell>
          <cell r="F1066">
            <v>3</v>
          </cell>
          <cell r="G1066">
            <v>0</v>
          </cell>
        </row>
        <row r="1067">
          <cell r="A1067" t="str">
            <v>MZ331384</v>
          </cell>
          <cell r="B1067" t="str">
            <v>Q</v>
          </cell>
          <cell r="C1067" t="str">
            <v>RR AIRDAM X08 CARBON MIRAGE</v>
          </cell>
          <cell r="D1067">
            <v>267.57</v>
          </cell>
          <cell r="E1067">
            <v>445.95</v>
          </cell>
          <cell r="F1067">
            <v>3</v>
          </cell>
          <cell r="G1067">
            <v>0</v>
          </cell>
        </row>
        <row r="1068">
          <cell r="A1068" t="str">
            <v>MZ331385</v>
          </cell>
          <cell r="B1068" t="str">
            <v>F</v>
          </cell>
          <cell r="C1068" t="str">
            <v>RR AIRDAM A66 CARBON MIRAGE</v>
          </cell>
          <cell r="D1068">
            <v>267.57</v>
          </cell>
          <cell r="E1068">
            <v>445.95</v>
          </cell>
          <cell r="F1068">
            <v>5</v>
          </cell>
          <cell r="G1068">
            <v>0</v>
          </cell>
        </row>
        <row r="1069">
          <cell r="A1069" t="str">
            <v>MZ331386</v>
          </cell>
          <cell r="B1069" t="str">
            <v>F</v>
          </cell>
          <cell r="C1069" t="str">
            <v>RR AIRDAM U17 CARBON MIRAGE</v>
          </cell>
          <cell r="D1069">
            <v>267.57</v>
          </cell>
          <cell r="E1069">
            <v>445.95</v>
          </cell>
          <cell r="F1069">
            <v>5</v>
          </cell>
          <cell r="G1069">
            <v>0</v>
          </cell>
        </row>
        <row r="1070">
          <cell r="A1070" t="str">
            <v>MZ331387</v>
          </cell>
          <cell r="B1070" t="str">
            <v>S</v>
          </cell>
          <cell r="C1070" t="str">
            <v>RR AIRDAM T69 CARBON MIRAGE</v>
          </cell>
          <cell r="D1070">
            <v>267.57</v>
          </cell>
          <cell r="E1070">
            <v>445.95</v>
          </cell>
          <cell r="F1070">
            <v>2</v>
          </cell>
          <cell r="G1070">
            <v>0</v>
          </cell>
        </row>
        <row r="1071">
          <cell r="A1071" t="str">
            <v>MZ331388</v>
          </cell>
          <cell r="B1071" t="str">
            <v>F</v>
          </cell>
          <cell r="C1071" t="str">
            <v>RR AIRDAM P19 CARBON MIRAGE</v>
          </cell>
          <cell r="D1071">
            <v>267.57</v>
          </cell>
          <cell r="E1071">
            <v>445.95</v>
          </cell>
          <cell r="F1071">
            <v>4</v>
          </cell>
          <cell r="G1071">
            <v>0</v>
          </cell>
        </row>
        <row r="1072">
          <cell r="A1072" t="str">
            <v>MZ331389</v>
          </cell>
          <cell r="B1072" t="str">
            <v>Q</v>
          </cell>
          <cell r="C1072" t="str">
            <v>RR AIRDAM Y35 CARBON MIRAGE</v>
          </cell>
          <cell r="D1072">
            <v>267.57</v>
          </cell>
          <cell r="E1072">
            <v>445.95</v>
          </cell>
          <cell r="F1072">
            <v>0</v>
          </cell>
          <cell r="G1072">
            <v>0</v>
          </cell>
        </row>
        <row r="1073">
          <cell r="A1073" t="str">
            <v>MZ331390</v>
          </cell>
          <cell r="B1073" t="str">
            <v>S</v>
          </cell>
          <cell r="C1073" t="str">
            <v>RR AIRDAM P57 CARBON MIRAGE</v>
          </cell>
          <cell r="D1073">
            <v>267.57</v>
          </cell>
          <cell r="E1073">
            <v>445.95</v>
          </cell>
          <cell r="F1073">
            <v>2</v>
          </cell>
          <cell r="G1073">
            <v>0</v>
          </cell>
        </row>
        <row r="1074">
          <cell r="A1074" t="str">
            <v>MZ331402</v>
          </cell>
          <cell r="B1074" t="str">
            <v>Q</v>
          </cell>
          <cell r="C1074" t="str">
            <v>FRONT MUD GUARDS</v>
          </cell>
          <cell r="D1074">
            <v>84.57</v>
          </cell>
          <cell r="E1074">
            <v>140.94999999999999</v>
          </cell>
          <cell r="F1074">
            <v>407</v>
          </cell>
          <cell r="G1074">
            <v>0</v>
          </cell>
        </row>
        <row r="1075">
          <cell r="A1075" t="str">
            <v>MZ331403</v>
          </cell>
          <cell r="B1075" t="str">
            <v>Q</v>
          </cell>
          <cell r="C1075" t="str">
            <v>REAR MUD GUARDS FOR EL</v>
          </cell>
          <cell r="D1075">
            <v>89.37</v>
          </cell>
          <cell r="E1075">
            <v>148.94999999999999</v>
          </cell>
          <cell r="F1075">
            <v>408</v>
          </cell>
          <cell r="G1075">
            <v>0</v>
          </cell>
        </row>
        <row r="1076">
          <cell r="A1076" t="str">
            <v>MZ331408</v>
          </cell>
          <cell r="B1076" t="str">
            <v>Q</v>
          </cell>
          <cell r="C1076" t="str">
            <v>REAR BUMPER GUARDS FOR EL</v>
          </cell>
          <cell r="D1076">
            <v>188.37</v>
          </cell>
          <cell r="E1076">
            <v>313.95</v>
          </cell>
          <cell r="F1076">
            <v>14</v>
          </cell>
          <cell r="G1076">
            <v>0</v>
          </cell>
        </row>
        <row r="1077">
          <cell r="A1077" t="str">
            <v>MZ331410</v>
          </cell>
          <cell r="B1077" t="str">
            <v>F</v>
          </cell>
          <cell r="C1077" t="str">
            <v>HEADLAMP GARNISH</v>
          </cell>
          <cell r="D1077">
            <v>85.77</v>
          </cell>
          <cell r="E1077">
            <v>142.94999999999999</v>
          </cell>
          <cell r="F1077">
            <v>2</v>
          </cell>
          <cell r="G1077">
            <v>0</v>
          </cell>
        </row>
        <row r="1078">
          <cell r="A1078" t="str">
            <v>MZ331411</v>
          </cell>
          <cell r="B1078" t="str">
            <v>E</v>
          </cell>
          <cell r="C1078" t="str">
            <v>REAR COMB. LAMP GARNISH</v>
          </cell>
          <cell r="D1078">
            <v>116.97</v>
          </cell>
          <cell r="E1078">
            <v>194.95</v>
          </cell>
          <cell r="F1078">
            <v>2</v>
          </cell>
          <cell r="G1078">
            <v>0</v>
          </cell>
        </row>
        <row r="1079">
          <cell r="A1079" t="str">
            <v>MZ331412</v>
          </cell>
          <cell r="B1079" t="str">
            <v>F</v>
          </cell>
          <cell r="C1079" t="str">
            <v>FOG LAMP GARNISH MIRAGE</v>
          </cell>
          <cell r="D1079">
            <v>92.97</v>
          </cell>
          <cell r="E1079">
            <v>154.94999999999999</v>
          </cell>
          <cell r="F1079">
            <v>2</v>
          </cell>
          <cell r="G1079">
            <v>0</v>
          </cell>
        </row>
        <row r="1080">
          <cell r="A1080" t="str">
            <v>MZ331509</v>
          </cell>
          <cell r="B1080" t="str">
            <v>F</v>
          </cell>
          <cell r="C1080" t="str">
            <v>SIDE PROTECMOULDING MIRAGE W85</v>
          </cell>
          <cell r="D1080">
            <v>88.17</v>
          </cell>
          <cell r="E1080">
            <v>146.94999999999999</v>
          </cell>
          <cell r="F1080">
            <v>0</v>
          </cell>
          <cell r="G1080">
            <v>0</v>
          </cell>
        </row>
        <row r="1081">
          <cell r="A1081" t="str">
            <v>MZ331510</v>
          </cell>
          <cell r="B1081" t="str">
            <v>Q</v>
          </cell>
          <cell r="C1081" t="str">
            <v>SIDE PROTEC MOLDING MIRAGE Y35</v>
          </cell>
          <cell r="D1081">
            <v>88.17</v>
          </cell>
          <cell r="E1081">
            <v>146.94999999999999</v>
          </cell>
          <cell r="F1081">
            <v>0</v>
          </cell>
          <cell r="G1081">
            <v>0</v>
          </cell>
        </row>
        <row r="1082">
          <cell r="A1082" t="str">
            <v>MZ331589</v>
          </cell>
          <cell r="B1082" t="str">
            <v>F</v>
          </cell>
          <cell r="C1082" t="str">
            <v>SIDE DECAL - EL RALLIART</v>
          </cell>
          <cell r="D1082">
            <v>407.54</v>
          </cell>
          <cell r="E1082">
            <v>679.23</v>
          </cell>
          <cell r="F1082">
            <v>0</v>
          </cell>
          <cell r="G1082">
            <v>0</v>
          </cell>
        </row>
        <row r="1083">
          <cell r="A1083" t="str">
            <v>MZ331590</v>
          </cell>
          <cell r="B1083" t="str">
            <v>F</v>
          </cell>
          <cell r="C1083" t="str">
            <v>OVER FENDER - EL RALLIART</v>
          </cell>
          <cell r="D1083">
            <v>297.41000000000003</v>
          </cell>
          <cell r="E1083">
            <v>495.68</v>
          </cell>
          <cell r="F1083">
            <v>0</v>
          </cell>
          <cell r="G1083">
            <v>0</v>
          </cell>
        </row>
        <row r="1084">
          <cell r="A1084" t="str">
            <v>MZ331724</v>
          </cell>
          <cell r="B1084" t="str">
            <v>Q</v>
          </cell>
          <cell r="C1084" t="str">
            <v>FRONT AIRDAM</v>
          </cell>
          <cell r="D1084">
            <v>199.17</v>
          </cell>
          <cell r="E1084">
            <v>331.95</v>
          </cell>
          <cell r="F1084">
            <v>1</v>
          </cell>
          <cell r="G1084">
            <v>0</v>
          </cell>
        </row>
        <row r="1085">
          <cell r="A1085" t="str">
            <v>MZ331725</v>
          </cell>
          <cell r="B1085" t="str">
            <v>Q</v>
          </cell>
          <cell r="C1085" t="str">
            <v>FRONT AIRDAM</v>
          </cell>
          <cell r="D1085">
            <v>199.17</v>
          </cell>
          <cell r="E1085">
            <v>331.95</v>
          </cell>
          <cell r="F1085">
            <v>2</v>
          </cell>
          <cell r="G1085">
            <v>0</v>
          </cell>
        </row>
        <row r="1086">
          <cell r="A1086" t="str">
            <v>MZ331726</v>
          </cell>
          <cell r="B1086" t="str">
            <v>Z</v>
          </cell>
          <cell r="C1086" t="str">
            <v>SIDE PROTECTION MOLDING</v>
          </cell>
          <cell r="D1086">
            <v>122.37</v>
          </cell>
          <cell r="E1086">
            <v>203.95</v>
          </cell>
          <cell r="F1086">
            <v>0</v>
          </cell>
          <cell r="G1086">
            <v>0</v>
          </cell>
        </row>
        <row r="1087">
          <cell r="A1087" t="str">
            <v>MZ331727</v>
          </cell>
          <cell r="B1087" t="str">
            <v>Z</v>
          </cell>
          <cell r="C1087" t="str">
            <v>SIDE PROTECTION MOLDING</v>
          </cell>
          <cell r="D1087">
            <v>122.37</v>
          </cell>
          <cell r="E1087">
            <v>203.95</v>
          </cell>
          <cell r="F1087">
            <v>0</v>
          </cell>
          <cell r="G1087">
            <v>0</v>
          </cell>
        </row>
        <row r="1088">
          <cell r="A1088" t="str">
            <v>MZ331728</v>
          </cell>
          <cell r="B1088" t="str">
            <v>Q</v>
          </cell>
          <cell r="C1088" t="str">
            <v>SIDE AIRDAM</v>
          </cell>
          <cell r="D1088">
            <v>423.57</v>
          </cell>
          <cell r="E1088">
            <v>705.95</v>
          </cell>
          <cell r="F1088">
            <v>2</v>
          </cell>
          <cell r="G1088">
            <v>0</v>
          </cell>
        </row>
        <row r="1089">
          <cell r="A1089" t="str">
            <v>MZ331729</v>
          </cell>
          <cell r="B1089" t="str">
            <v>Q</v>
          </cell>
          <cell r="C1089" t="str">
            <v>SIDE AIRDAM</v>
          </cell>
          <cell r="D1089">
            <v>423.57</v>
          </cell>
          <cell r="E1089">
            <v>705.95</v>
          </cell>
          <cell r="F1089">
            <v>2</v>
          </cell>
          <cell r="G1089">
            <v>0</v>
          </cell>
        </row>
        <row r="1090">
          <cell r="A1090" t="str">
            <v>MZ331730</v>
          </cell>
          <cell r="B1090" t="str">
            <v>Q</v>
          </cell>
          <cell r="C1090" t="str">
            <v>REAR AIRDAM</v>
          </cell>
          <cell r="D1090">
            <v>275.37</v>
          </cell>
          <cell r="E1090">
            <v>458.95</v>
          </cell>
          <cell r="F1090">
            <v>2</v>
          </cell>
          <cell r="G1090">
            <v>0</v>
          </cell>
        </row>
        <row r="1091">
          <cell r="A1091" t="str">
            <v>MZ331731</v>
          </cell>
          <cell r="B1091" t="str">
            <v>Q</v>
          </cell>
          <cell r="C1091" t="str">
            <v>REAR AIRDAM</v>
          </cell>
          <cell r="D1091">
            <v>275.37</v>
          </cell>
          <cell r="E1091">
            <v>458.95</v>
          </cell>
          <cell r="F1091">
            <v>2</v>
          </cell>
          <cell r="G1091">
            <v>0</v>
          </cell>
        </row>
        <row r="1092">
          <cell r="A1092" t="str">
            <v>MZ350203</v>
          </cell>
          <cell r="B1092" t="str">
            <v>Z</v>
          </cell>
          <cell r="C1092" t="str">
            <v>HOOD PROTECTOR OUTLANDER 2014&lt;</v>
          </cell>
          <cell r="D1092">
            <v>97.77</v>
          </cell>
          <cell r="E1092">
            <v>162.94999999999999</v>
          </cell>
          <cell r="F1092">
            <v>0</v>
          </cell>
          <cell r="G1092">
            <v>0</v>
          </cell>
        </row>
        <row r="1093">
          <cell r="A1093" t="str">
            <v>MZ350204</v>
          </cell>
          <cell r="B1093" t="str">
            <v>Z</v>
          </cell>
          <cell r="C1093" t="str">
            <v>HOOD PROTECTOR (TINT) OUTLANDER 2014&lt;</v>
          </cell>
          <cell r="D1093">
            <v>149.07511</v>
          </cell>
          <cell r="E1093">
            <v>248.95</v>
          </cell>
          <cell r="F1093">
            <v>0</v>
          </cell>
          <cell r="G1093">
            <v>0</v>
          </cell>
        </row>
        <row r="1094">
          <cell r="A1094" t="str">
            <v>MZ350216ZZ</v>
          </cell>
          <cell r="B1094" t="str">
            <v>Z</v>
          </cell>
          <cell r="C1094" t="str">
            <v>Rear Park Assist Sensors OUTLANDER 2014&lt;</v>
          </cell>
          <cell r="D1094">
            <v>0.01</v>
          </cell>
          <cell r="E1094">
            <v>0.01</v>
          </cell>
          <cell r="F1094">
            <v>0</v>
          </cell>
          <cell r="G1094">
            <v>0</v>
          </cell>
        </row>
        <row r="1095">
          <cell r="A1095" t="str">
            <v>MZ350263</v>
          </cell>
          <cell r="B1095" t="str">
            <v>B</v>
          </cell>
          <cell r="C1095" t="str">
            <v>PROTECTOR- HOOD</v>
          </cell>
          <cell r="D1095">
            <v>130.77000000000001</v>
          </cell>
          <cell r="E1095">
            <v>217.95</v>
          </cell>
          <cell r="F1095">
            <v>34</v>
          </cell>
          <cell r="G1095">
            <v>0</v>
          </cell>
        </row>
        <row r="1096">
          <cell r="A1096" t="str">
            <v>MZ350267</v>
          </cell>
          <cell r="B1096" t="str">
            <v>F</v>
          </cell>
          <cell r="C1096" t="str">
            <v>BLUETOOTH HANDSFREE KIT MIRAGE</v>
          </cell>
          <cell r="D1096">
            <v>230.36</v>
          </cell>
          <cell r="E1096">
            <v>383.95</v>
          </cell>
          <cell r="F1096">
            <v>0</v>
          </cell>
          <cell r="G1096">
            <v>0</v>
          </cell>
        </row>
        <row r="1097">
          <cell r="A1097" t="str">
            <v>MZ350285ZZ</v>
          </cell>
          <cell r="B1097" t="str">
            <v>Z</v>
          </cell>
          <cell r="C1097" t="str">
            <v>Front Park Assist Sensors OUTLANDER 2014</v>
          </cell>
          <cell r="D1097">
            <v>0.01</v>
          </cell>
          <cell r="E1097">
            <v>0.01</v>
          </cell>
          <cell r="F1097">
            <v>0</v>
          </cell>
          <cell r="G1097">
            <v>0</v>
          </cell>
        </row>
        <row r="1098">
          <cell r="A1098" t="str">
            <v>MZ350323</v>
          </cell>
          <cell r="B1098" t="str">
            <v>F</v>
          </cell>
          <cell r="C1098" t="str">
            <v>INSTALL KIT- FRONT PARK ASSIST SENSOR</v>
          </cell>
          <cell r="D1098">
            <v>163.76</v>
          </cell>
          <cell r="E1098">
            <v>233.95</v>
          </cell>
          <cell r="F1098">
            <v>0</v>
          </cell>
          <cell r="G1098">
            <v>0</v>
          </cell>
        </row>
        <row r="1099">
          <cell r="A1099" t="str">
            <v>MZ350324</v>
          </cell>
          <cell r="B1099" t="str">
            <v>Z</v>
          </cell>
          <cell r="C1099" t="str">
            <v>INSTALL KIT- REAR PARK ASSIST SENSOR</v>
          </cell>
          <cell r="D1099">
            <v>107.22</v>
          </cell>
          <cell r="E1099">
            <v>164.95</v>
          </cell>
          <cell r="F1099">
            <v>0</v>
          </cell>
          <cell r="G1099">
            <v>0</v>
          </cell>
        </row>
        <row r="1100">
          <cell r="A1100" t="str">
            <v>MZ350325AB</v>
          </cell>
          <cell r="B1100" t="str">
            <v>Q</v>
          </cell>
          <cell r="C1100" t="str">
            <v>REAR PARK ASSIST SENSORS BLACK MICA(X08)</v>
          </cell>
          <cell r="D1100">
            <v>85.950289999999995</v>
          </cell>
          <cell r="E1100">
            <v>122.95</v>
          </cell>
          <cell r="F1100">
            <v>0</v>
          </cell>
          <cell r="G1100">
            <v>0</v>
          </cell>
        </row>
        <row r="1101">
          <cell r="A1101" t="str">
            <v>MZ350325AD</v>
          </cell>
          <cell r="B1101" t="str">
            <v>Q</v>
          </cell>
          <cell r="C1101" t="str">
            <v>P.ASSIST- 2 SENSORS- WHITE</v>
          </cell>
          <cell r="D1101">
            <v>85.950289999999995</v>
          </cell>
          <cell r="E1101">
            <v>122.95</v>
          </cell>
          <cell r="F1101">
            <v>0</v>
          </cell>
          <cell r="G1101">
            <v>0</v>
          </cell>
        </row>
        <row r="1102">
          <cell r="A1102" t="str">
            <v>MZ350325AE</v>
          </cell>
          <cell r="B1102" t="str">
            <v>Q</v>
          </cell>
          <cell r="C1102" t="str">
            <v>RR PARK SENSOR BLACKX42</v>
          </cell>
          <cell r="D1102">
            <v>98.508459999999999</v>
          </cell>
          <cell r="E1102">
            <v>164.95</v>
          </cell>
          <cell r="F1102">
            <v>21</v>
          </cell>
          <cell r="G1102">
            <v>0</v>
          </cell>
        </row>
        <row r="1103">
          <cell r="A1103" t="str">
            <v>MZ350325AF</v>
          </cell>
          <cell r="B1103" t="str">
            <v>S</v>
          </cell>
          <cell r="C1103" t="str">
            <v>REAR PARK ASSIST SENSORS GRAY(A02)</v>
          </cell>
          <cell r="D1103">
            <v>78.37</v>
          </cell>
          <cell r="E1103">
            <v>111.95</v>
          </cell>
          <cell r="F1103">
            <v>0</v>
          </cell>
          <cell r="G1103">
            <v>0</v>
          </cell>
        </row>
        <row r="1104">
          <cell r="A1104" t="str">
            <v>MZ350325AG</v>
          </cell>
          <cell r="B1104" t="str">
            <v>S</v>
          </cell>
          <cell r="C1104" t="str">
            <v>RR PARK SENSOR SLVRA31</v>
          </cell>
          <cell r="D1104">
            <v>77.97</v>
          </cell>
          <cell r="E1104">
            <v>129.94999999999999</v>
          </cell>
          <cell r="F1104">
            <v>6</v>
          </cell>
          <cell r="G1104">
            <v>0</v>
          </cell>
        </row>
        <row r="1105">
          <cell r="A1105" t="str">
            <v>MZ350325AH</v>
          </cell>
          <cell r="B1105" t="str">
            <v>S</v>
          </cell>
          <cell r="C1105" t="str">
            <v>RR PARK SENSORC06</v>
          </cell>
          <cell r="D1105">
            <v>77.97</v>
          </cell>
          <cell r="E1105">
            <v>129.94999999999999</v>
          </cell>
          <cell r="F1105">
            <v>0</v>
          </cell>
          <cell r="G1105">
            <v>0</v>
          </cell>
        </row>
        <row r="1106">
          <cell r="A1106" t="str">
            <v>MZ350325AJ</v>
          </cell>
          <cell r="B1106" t="str">
            <v>S</v>
          </cell>
          <cell r="C1106" t="str">
            <v>RR PARK SENSOR CPPR C07</v>
          </cell>
          <cell r="D1106">
            <v>78.56</v>
          </cell>
          <cell r="E1106">
            <v>130.94999999999999</v>
          </cell>
          <cell r="F1106">
            <v>0</v>
          </cell>
          <cell r="G1106">
            <v>0</v>
          </cell>
        </row>
        <row r="1107">
          <cell r="A1107" t="str">
            <v>MZ350325AK</v>
          </cell>
          <cell r="B1107" t="str">
            <v>S</v>
          </cell>
          <cell r="C1107" t="str">
            <v>RR PARK SENSOR BLUED14</v>
          </cell>
          <cell r="D1107">
            <v>78.56</v>
          </cell>
          <cell r="E1107">
            <v>130.94999999999999</v>
          </cell>
          <cell r="F1107">
            <v>0</v>
          </cell>
          <cell r="G1107">
            <v>0</v>
          </cell>
        </row>
        <row r="1108">
          <cell r="A1108" t="str">
            <v>MZ350325AL</v>
          </cell>
          <cell r="B1108" t="str">
            <v>S</v>
          </cell>
          <cell r="C1108" t="str">
            <v>REAR PARK ASSIST SENSORS- REAR</v>
          </cell>
          <cell r="D1108">
            <v>119.96</v>
          </cell>
          <cell r="E1108">
            <v>199.95</v>
          </cell>
          <cell r="F1108">
            <v>0</v>
          </cell>
          <cell r="G1108">
            <v>0</v>
          </cell>
        </row>
        <row r="1109">
          <cell r="A1109" t="str">
            <v>MZ350325AM</v>
          </cell>
          <cell r="B1109" t="str">
            <v>Z</v>
          </cell>
          <cell r="C1109" t="str">
            <v>PARK ASST SENSORS-FLAT-2X-P26</v>
          </cell>
          <cell r="D1109">
            <v>77.97</v>
          </cell>
          <cell r="E1109">
            <v>129.94999999999999</v>
          </cell>
          <cell r="F1109">
            <v>0</v>
          </cell>
          <cell r="G1109">
            <v>0</v>
          </cell>
        </row>
        <row r="1110">
          <cell r="A1110" t="str">
            <v>MZ350325AN</v>
          </cell>
          <cell r="B1110" t="str">
            <v>Q</v>
          </cell>
          <cell r="C1110" t="str">
            <v>RR PARK SENSOR GRAYU17</v>
          </cell>
          <cell r="D1110">
            <v>98.508459999999999</v>
          </cell>
          <cell r="E1110">
            <v>140.94999999999999</v>
          </cell>
          <cell r="F1110">
            <v>7</v>
          </cell>
          <cell r="G1110">
            <v>0</v>
          </cell>
        </row>
        <row r="1111">
          <cell r="A1111" t="str">
            <v>MZ350325AQ</v>
          </cell>
          <cell r="B1111" t="str">
            <v>S</v>
          </cell>
          <cell r="C1111" t="str">
            <v>RR PARK SENSOR WHITEW13</v>
          </cell>
          <cell r="D1111">
            <v>77.97</v>
          </cell>
          <cell r="E1111">
            <v>129.94999999999999</v>
          </cell>
          <cell r="F1111">
            <v>5</v>
          </cell>
          <cell r="G1111">
            <v>0</v>
          </cell>
        </row>
        <row r="1112">
          <cell r="A1112" t="str">
            <v>MZ350325AS</v>
          </cell>
          <cell r="B1112" t="str">
            <v>Q</v>
          </cell>
          <cell r="C1112" t="str">
            <v>R PARK ASSIST SENS SILVER METALIC(A66)</v>
          </cell>
          <cell r="D1112">
            <v>85.950289999999995</v>
          </cell>
          <cell r="E1112">
            <v>122.95</v>
          </cell>
          <cell r="F1112">
            <v>0</v>
          </cell>
          <cell r="G1112">
            <v>0</v>
          </cell>
        </row>
        <row r="1113">
          <cell r="A1113" t="str">
            <v>MZ350325AT</v>
          </cell>
          <cell r="B1113" t="str">
            <v>S</v>
          </cell>
          <cell r="C1113" t="str">
            <v>REAR PARK ASSIST SENSORS GREEN(F24)</v>
          </cell>
          <cell r="D1113">
            <v>78.56</v>
          </cell>
          <cell r="E1113">
            <v>130.94999999999999</v>
          </cell>
          <cell r="F1113">
            <v>0</v>
          </cell>
          <cell r="G1113">
            <v>0</v>
          </cell>
        </row>
        <row r="1114">
          <cell r="A1114" t="str">
            <v>MZ350325AU</v>
          </cell>
          <cell r="B1114" t="str">
            <v>Q</v>
          </cell>
          <cell r="C1114" t="str">
            <v>R PARK ASSIST SENS RED METALIC(P19)</v>
          </cell>
          <cell r="D1114">
            <v>85.950289999999995</v>
          </cell>
          <cell r="E1114">
            <v>122.95</v>
          </cell>
          <cell r="F1114">
            <v>0</v>
          </cell>
          <cell r="G1114">
            <v>0</v>
          </cell>
        </row>
        <row r="1115">
          <cell r="A1115" t="str">
            <v>MZ350325AW</v>
          </cell>
          <cell r="B1115" t="str">
            <v>Q</v>
          </cell>
          <cell r="C1115" t="str">
            <v>R PARK ASSIST SENS BLUE METALIC(T69)</v>
          </cell>
          <cell r="D1115">
            <v>85.950289999999995</v>
          </cell>
          <cell r="E1115">
            <v>122.95</v>
          </cell>
          <cell r="F1115">
            <v>0</v>
          </cell>
          <cell r="G1115">
            <v>0</v>
          </cell>
        </row>
        <row r="1116">
          <cell r="A1116" t="str">
            <v>MZ350325AX</v>
          </cell>
          <cell r="B1116" t="str">
            <v>S</v>
          </cell>
          <cell r="C1116" t="str">
            <v>REAR PARK ASSIST SENSORS PURPLE (V08)</v>
          </cell>
          <cell r="D1116">
            <v>78.37</v>
          </cell>
          <cell r="E1116">
            <v>111.95</v>
          </cell>
          <cell r="F1116">
            <v>0</v>
          </cell>
          <cell r="G1116">
            <v>0</v>
          </cell>
        </row>
        <row r="1117">
          <cell r="A1117" t="str">
            <v>MZ350325AY</v>
          </cell>
          <cell r="B1117" t="str">
            <v>F</v>
          </cell>
          <cell r="C1117" t="str">
            <v>Sensors, Flush, Color Keyed, 2 pcs. W54</v>
          </cell>
          <cell r="D1117">
            <v>0.01</v>
          </cell>
          <cell r="E1117">
            <v>0</v>
          </cell>
          <cell r="F1117">
            <v>0</v>
          </cell>
          <cell r="G1117">
            <v>0</v>
          </cell>
        </row>
        <row r="1118">
          <cell r="A1118" t="str">
            <v>MZ350325BA</v>
          </cell>
          <cell r="B1118" t="str">
            <v>Q</v>
          </cell>
          <cell r="C1118" t="str">
            <v>REAR PARK ASSIST SENSORS- REAR</v>
          </cell>
          <cell r="D1118">
            <v>98.508459999999999</v>
          </cell>
          <cell r="E1118">
            <v>164.95</v>
          </cell>
          <cell r="F1118">
            <v>0</v>
          </cell>
          <cell r="G1118">
            <v>0</v>
          </cell>
        </row>
        <row r="1119">
          <cell r="A1119" t="str">
            <v>MZ350325BB</v>
          </cell>
          <cell r="B1119" t="str">
            <v>S</v>
          </cell>
          <cell r="C1119" t="str">
            <v>REAR PARK ASSIST SENSORS- REAR</v>
          </cell>
          <cell r="D1119">
            <v>91.62</v>
          </cell>
          <cell r="E1119">
            <v>140.94999999999999</v>
          </cell>
          <cell r="F1119">
            <v>0</v>
          </cell>
          <cell r="G1119">
            <v>0</v>
          </cell>
        </row>
        <row r="1120">
          <cell r="A1120" t="str">
            <v>MZ350325BD</v>
          </cell>
          <cell r="B1120" t="str">
            <v>Q</v>
          </cell>
          <cell r="C1120" t="str">
            <v>PARK ASST SENSORS-FLAT-2X-D06</v>
          </cell>
          <cell r="D1120">
            <v>112.41969</v>
          </cell>
          <cell r="E1120">
            <v>187.95</v>
          </cell>
          <cell r="F1120">
            <v>0</v>
          </cell>
          <cell r="G1120">
            <v>0</v>
          </cell>
        </row>
        <row r="1121">
          <cell r="A1121" t="str">
            <v>MZ350325BF</v>
          </cell>
          <cell r="B1121" t="str">
            <v>Q</v>
          </cell>
          <cell r="C1121" t="str">
            <v>Sensors, Flush, Color Keyed, 2 pcs. M09</v>
          </cell>
          <cell r="D1121">
            <v>0.01</v>
          </cell>
          <cell r="E1121">
            <v>0</v>
          </cell>
          <cell r="F1121">
            <v>0</v>
          </cell>
          <cell r="G1121">
            <v>0</v>
          </cell>
        </row>
        <row r="1122">
          <cell r="A1122" t="str">
            <v>MZ350325BG</v>
          </cell>
          <cell r="B1122" t="str">
            <v>Q</v>
          </cell>
          <cell r="C1122" t="str">
            <v>Sensors, Flush, Color Keyed, 2 pcs. P57</v>
          </cell>
          <cell r="D1122">
            <v>0.01</v>
          </cell>
          <cell r="E1122">
            <v>0</v>
          </cell>
          <cell r="F1122">
            <v>0</v>
          </cell>
          <cell r="G1122">
            <v>0</v>
          </cell>
        </row>
        <row r="1123">
          <cell r="A1123" t="str">
            <v>MZ350326AE</v>
          </cell>
          <cell r="B1123" t="str">
            <v>F</v>
          </cell>
          <cell r="C1123" t="str">
            <v>REAR PARK ASSIST SENSORS- FRONT</v>
          </cell>
          <cell r="D1123">
            <v>83.62</v>
          </cell>
          <cell r="E1123">
            <v>139.37</v>
          </cell>
          <cell r="F1123">
            <v>0</v>
          </cell>
          <cell r="G1123">
            <v>0</v>
          </cell>
        </row>
        <row r="1124">
          <cell r="A1124" t="str">
            <v>MZ350326AL</v>
          </cell>
          <cell r="B1124" t="str">
            <v>F</v>
          </cell>
          <cell r="C1124" t="str">
            <v>REAR PARK ASSIST SENSORS- FRONT</v>
          </cell>
          <cell r="D1124">
            <v>112.11</v>
          </cell>
          <cell r="E1124">
            <v>186.85</v>
          </cell>
          <cell r="F1124">
            <v>0</v>
          </cell>
          <cell r="G1124">
            <v>0</v>
          </cell>
        </row>
        <row r="1125">
          <cell r="A1125" t="str">
            <v>MZ350326AM</v>
          </cell>
          <cell r="B1125" t="str">
            <v>S</v>
          </cell>
          <cell r="C1125" t="str">
            <v>REAR PARK ASSIST SENSORS- FRONT</v>
          </cell>
          <cell r="D1125">
            <v>83.62</v>
          </cell>
          <cell r="E1125">
            <v>139.94999999999999</v>
          </cell>
          <cell r="F1125">
            <v>0</v>
          </cell>
          <cell r="G1125">
            <v>0</v>
          </cell>
        </row>
        <row r="1126">
          <cell r="A1126" t="str">
            <v>MZ350326AN</v>
          </cell>
          <cell r="B1126" t="str">
            <v>S</v>
          </cell>
          <cell r="C1126" t="str">
            <v>REAR PARK ASSIST SENSORS- FRONT</v>
          </cell>
          <cell r="D1126">
            <v>83.62</v>
          </cell>
          <cell r="E1126">
            <v>139.94999999999999</v>
          </cell>
          <cell r="F1126">
            <v>0</v>
          </cell>
          <cell r="G1126">
            <v>0</v>
          </cell>
        </row>
        <row r="1127">
          <cell r="A1127" t="str">
            <v>MZ350326BA</v>
          </cell>
          <cell r="B1127" t="str">
            <v>S</v>
          </cell>
          <cell r="C1127" t="str">
            <v>REAR PARK ASSIST SENSORS- FRONT</v>
          </cell>
          <cell r="D1127">
            <v>83.62</v>
          </cell>
          <cell r="E1127">
            <v>139.94999999999999</v>
          </cell>
          <cell r="F1127">
            <v>0</v>
          </cell>
          <cell r="G1127">
            <v>0</v>
          </cell>
        </row>
        <row r="1128">
          <cell r="A1128" t="str">
            <v>MZ350326BB</v>
          </cell>
          <cell r="B1128" t="str">
            <v>F</v>
          </cell>
          <cell r="C1128" t="str">
            <v>REAR PARK ASSIST SENSORS- FRONT</v>
          </cell>
          <cell r="D1128">
            <v>83.62</v>
          </cell>
          <cell r="E1128">
            <v>139.37</v>
          </cell>
          <cell r="F1128">
            <v>0</v>
          </cell>
          <cell r="G1128">
            <v>0</v>
          </cell>
        </row>
        <row r="1129">
          <cell r="A1129" t="str">
            <v>MZ350326BC</v>
          </cell>
          <cell r="B1129" t="str">
            <v>F</v>
          </cell>
          <cell r="C1129" t="str">
            <v>SENSORS-PARK ASST-9DEG-2X- LE</v>
          </cell>
          <cell r="D1129">
            <v>77.37</v>
          </cell>
          <cell r="E1129">
            <v>128.94999999999999</v>
          </cell>
          <cell r="F1129">
            <v>0</v>
          </cell>
          <cell r="G1129">
            <v>0</v>
          </cell>
        </row>
        <row r="1130">
          <cell r="A1130" t="str">
            <v>MZ350326BD</v>
          </cell>
          <cell r="B1130" t="str">
            <v>F</v>
          </cell>
          <cell r="C1130" t="str">
            <v>SENSORS-PARK ASST-9DEG-2X-D06</v>
          </cell>
          <cell r="D1130">
            <v>78.37</v>
          </cell>
          <cell r="E1130">
            <v>111.95</v>
          </cell>
          <cell r="F1130">
            <v>0</v>
          </cell>
          <cell r="G1130">
            <v>0</v>
          </cell>
        </row>
        <row r="1131">
          <cell r="A1131" t="str">
            <v>MZ350327AB</v>
          </cell>
          <cell r="B1131" t="str">
            <v>Z</v>
          </cell>
          <cell r="C1131" t="str">
            <v>SENSOR -P ASSIST-12DEG KIT OF 2SENSORS</v>
          </cell>
          <cell r="D1131">
            <v>76.97</v>
          </cell>
          <cell r="E1131">
            <v>109.95</v>
          </cell>
          <cell r="F1131">
            <v>0</v>
          </cell>
          <cell r="G1131">
            <v>0</v>
          </cell>
        </row>
        <row r="1132">
          <cell r="A1132" t="str">
            <v>MZ350327AD</v>
          </cell>
          <cell r="B1132" t="str">
            <v>S</v>
          </cell>
          <cell r="C1132" t="str">
            <v>SENSOR -PARK ASSIST-12DEG KIT OF 2SENSOR</v>
          </cell>
          <cell r="D1132">
            <v>76.97</v>
          </cell>
          <cell r="E1132">
            <v>109.95</v>
          </cell>
          <cell r="F1132">
            <v>0</v>
          </cell>
          <cell r="G1132">
            <v>0</v>
          </cell>
        </row>
        <row r="1133">
          <cell r="A1133" t="str">
            <v>MZ350327AF</v>
          </cell>
          <cell r="B1133" t="str">
            <v>Z</v>
          </cell>
          <cell r="C1133" t="str">
            <v>SENSOR -P ASSIST-12DEG KIT OF 2SENSORS</v>
          </cell>
          <cell r="D1133">
            <v>76.97</v>
          </cell>
          <cell r="E1133">
            <v>109.95</v>
          </cell>
          <cell r="F1133">
            <v>0</v>
          </cell>
          <cell r="G1133">
            <v>0</v>
          </cell>
        </row>
        <row r="1134">
          <cell r="A1134" t="str">
            <v>MZ350327AN</v>
          </cell>
          <cell r="B1134" t="str">
            <v>Q</v>
          </cell>
          <cell r="C1134" t="str">
            <v>Sensors, 12 Degree, Color Keyed, 2 pcs. U17</v>
          </cell>
          <cell r="D1134">
            <v>0.01</v>
          </cell>
          <cell r="E1134">
            <v>0</v>
          </cell>
          <cell r="F1134">
            <v>0</v>
          </cell>
          <cell r="G1134">
            <v>0</v>
          </cell>
        </row>
        <row r="1135">
          <cell r="A1135" t="str">
            <v>MZ350327AS</v>
          </cell>
          <cell r="B1135" t="str">
            <v>Z</v>
          </cell>
          <cell r="C1135" t="str">
            <v>SENSOR -P ASSIST-12DEG KIT OF 2SENSORS</v>
          </cell>
          <cell r="D1135">
            <v>76.97</v>
          </cell>
          <cell r="E1135">
            <v>109.95</v>
          </cell>
          <cell r="F1135">
            <v>0</v>
          </cell>
          <cell r="G1135">
            <v>0</v>
          </cell>
        </row>
        <row r="1136">
          <cell r="A1136" t="str">
            <v>MZ350327AT</v>
          </cell>
          <cell r="B1136" t="str">
            <v>Z</v>
          </cell>
          <cell r="C1136" t="str">
            <v>SENSOR -P ASSIST-12DEG KIT OF 2SENSORS</v>
          </cell>
          <cell r="D1136">
            <v>76.97</v>
          </cell>
          <cell r="E1136">
            <v>109.95</v>
          </cell>
          <cell r="F1136">
            <v>0</v>
          </cell>
          <cell r="G1136">
            <v>0</v>
          </cell>
        </row>
        <row r="1137">
          <cell r="A1137" t="str">
            <v>MZ350327AU</v>
          </cell>
          <cell r="B1137" t="str">
            <v>Z</v>
          </cell>
          <cell r="C1137" t="str">
            <v>SENSOR -P ASSIST-12DEG KIT OF 2SENSORS</v>
          </cell>
          <cell r="D1137">
            <v>76.97</v>
          </cell>
          <cell r="E1137">
            <v>109.95</v>
          </cell>
          <cell r="F1137">
            <v>0</v>
          </cell>
          <cell r="G1137">
            <v>0</v>
          </cell>
        </row>
        <row r="1138">
          <cell r="A1138" t="str">
            <v>MZ350327AW</v>
          </cell>
          <cell r="B1138" t="str">
            <v>Z</v>
          </cell>
          <cell r="C1138" t="str">
            <v>SENSOR -P ASSIST-12DEG KIT OF 2SENSORS</v>
          </cell>
          <cell r="D1138">
            <v>76.97</v>
          </cell>
          <cell r="E1138">
            <v>109.95</v>
          </cell>
          <cell r="F1138">
            <v>0</v>
          </cell>
          <cell r="G1138">
            <v>0</v>
          </cell>
        </row>
        <row r="1139">
          <cell r="A1139" t="str">
            <v>MZ350327AX</v>
          </cell>
          <cell r="B1139" t="str">
            <v>Z</v>
          </cell>
          <cell r="C1139" t="str">
            <v>SENSOR -P ASSIST-12DEG KIT OF 2SENSORS</v>
          </cell>
          <cell r="D1139">
            <v>76.97</v>
          </cell>
          <cell r="E1139">
            <v>109.95</v>
          </cell>
          <cell r="F1139">
            <v>0</v>
          </cell>
          <cell r="G1139">
            <v>0</v>
          </cell>
        </row>
        <row r="1140">
          <cell r="A1140" t="str">
            <v>MZ350327AY</v>
          </cell>
          <cell r="B1140" t="str">
            <v>F</v>
          </cell>
          <cell r="C1140" t="str">
            <v>Sensors, 12 Degree, Color Keyed, 2 pcs. W54</v>
          </cell>
          <cell r="D1140">
            <v>0.01</v>
          </cell>
          <cell r="E1140">
            <v>0</v>
          </cell>
          <cell r="F1140">
            <v>0</v>
          </cell>
          <cell r="G1140">
            <v>0</v>
          </cell>
        </row>
        <row r="1141">
          <cell r="A1141" t="str">
            <v>MZ350327BF</v>
          </cell>
          <cell r="B1141" t="str">
            <v>Q</v>
          </cell>
          <cell r="C1141" t="str">
            <v>Sensors, 12 Degree, Color Keyed, 2 pcs. M09</v>
          </cell>
          <cell r="D1141">
            <v>0.01</v>
          </cell>
          <cell r="E1141">
            <v>0</v>
          </cell>
          <cell r="F1141">
            <v>0</v>
          </cell>
          <cell r="G1141">
            <v>0</v>
          </cell>
        </row>
        <row r="1142">
          <cell r="A1142" t="str">
            <v>MZ350327BG</v>
          </cell>
          <cell r="B1142" t="str">
            <v>Q</v>
          </cell>
          <cell r="C1142" t="str">
            <v>Sensors, 12 Degree, Color Keyed, 2 pcs. P57</v>
          </cell>
          <cell r="D1142">
            <v>0.01</v>
          </cell>
          <cell r="E1142">
            <v>0</v>
          </cell>
          <cell r="F1142">
            <v>0</v>
          </cell>
          <cell r="G1142">
            <v>0</v>
          </cell>
        </row>
        <row r="1143">
          <cell r="A1143" t="str">
            <v>MZ350328</v>
          </cell>
          <cell r="B1143" t="str">
            <v>Q</v>
          </cell>
          <cell r="C1143" t="str">
            <v>PARK SENSOR KIT W/O SENSORS</v>
          </cell>
          <cell r="D1143">
            <v>0.01</v>
          </cell>
          <cell r="E1143">
            <v>0</v>
          </cell>
          <cell r="F1143">
            <v>0</v>
          </cell>
          <cell r="G1143">
            <v>0</v>
          </cell>
        </row>
        <row r="1144">
          <cell r="A1144" t="str">
            <v>MZ350329</v>
          </cell>
          <cell r="B1144" t="str">
            <v>S</v>
          </cell>
          <cell r="C1144" t="str">
            <v>PARK ASSIST SENSORS INSTALL KIT</v>
          </cell>
          <cell r="D1144">
            <v>198.77</v>
          </cell>
          <cell r="E1144">
            <v>283.95</v>
          </cell>
          <cell r="F1144">
            <v>0</v>
          </cell>
          <cell r="G1144">
            <v>0</v>
          </cell>
        </row>
        <row r="1145">
          <cell r="A1145" t="str">
            <v>MZ350333</v>
          </cell>
          <cell r="B1145" t="str">
            <v>Q</v>
          </cell>
          <cell r="C1145" t="str">
            <v>PARK ASSIST INSTALL KIT- FRONT</v>
          </cell>
          <cell r="D1145">
            <v>182.56431000000001</v>
          </cell>
          <cell r="E1145">
            <v>304.95</v>
          </cell>
          <cell r="F1145">
            <v>0</v>
          </cell>
          <cell r="G1145">
            <v>0</v>
          </cell>
        </row>
        <row r="1146">
          <cell r="A1146" t="str">
            <v>MZ350334</v>
          </cell>
          <cell r="B1146" t="str">
            <v>Q</v>
          </cell>
          <cell r="C1146" t="str">
            <v>RR PARK ASST INSTALL KIT OUTLANDER 2014&lt;</v>
          </cell>
          <cell r="D1146">
            <v>123.624</v>
          </cell>
          <cell r="E1146">
            <v>206.95</v>
          </cell>
          <cell r="F1146">
            <v>49</v>
          </cell>
          <cell r="G1146">
            <v>0</v>
          </cell>
        </row>
        <row r="1147">
          <cell r="A1147" t="str">
            <v>MZ350599</v>
          </cell>
          <cell r="B1147" t="str">
            <v>Z</v>
          </cell>
          <cell r="C1147" t="str">
            <v>PROTECTOR- HOOD</v>
          </cell>
          <cell r="D1147">
            <v>128.37</v>
          </cell>
          <cell r="E1147">
            <v>213.95</v>
          </cell>
          <cell r="F1147">
            <v>0</v>
          </cell>
          <cell r="G1147">
            <v>0</v>
          </cell>
        </row>
        <row r="1148">
          <cell r="A1148" t="str">
            <v>MZ353003</v>
          </cell>
          <cell r="B1148" t="str">
            <v>Z</v>
          </cell>
          <cell r="C1148" t="str">
            <v>Luggage Tray ASX (RVR)-old</v>
          </cell>
          <cell r="D1148">
            <v>59.97</v>
          </cell>
          <cell r="E1148">
            <v>99.95</v>
          </cell>
          <cell r="F1148">
            <v>0</v>
          </cell>
          <cell r="G1148">
            <v>0</v>
          </cell>
        </row>
        <row r="1149">
          <cell r="A1149" t="str">
            <v>MZ353031</v>
          </cell>
          <cell r="B1149" t="str">
            <v>Z</v>
          </cell>
          <cell r="C1149" t="str">
            <v>EC HIGH EDGE FLOOR GUARDS</v>
          </cell>
          <cell r="D1149">
            <v>118.62</v>
          </cell>
          <cell r="E1149">
            <v>177.95</v>
          </cell>
          <cell r="F1149">
            <v>0</v>
          </cell>
          <cell r="G1149">
            <v>0</v>
          </cell>
        </row>
        <row r="1150">
          <cell r="A1150" t="str">
            <v>MZ353033</v>
          </cell>
          <cell r="B1150" t="str">
            <v>z</v>
          </cell>
          <cell r="C1150" t="str">
            <v>ASX CARGO LINER</v>
          </cell>
          <cell r="D1150">
            <v>50</v>
          </cell>
          <cell r="E1150">
            <v>106.95</v>
          </cell>
          <cell r="F1150">
            <v>0</v>
          </cell>
          <cell r="G1150">
            <v>0</v>
          </cell>
        </row>
        <row r="1151">
          <cell r="A1151" t="str">
            <v>MZ360040EX</v>
          </cell>
          <cell r="B1151" t="str">
            <v>F</v>
          </cell>
          <cell r="C1151" t="str">
            <v>SCUFF PLATE</v>
          </cell>
          <cell r="D1151">
            <v>101.37</v>
          </cell>
          <cell r="E1151">
            <v>168.95</v>
          </cell>
          <cell r="F1151">
            <v>0</v>
          </cell>
          <cell r="G1151">
            <v>0</v>
          </cell>
        </row>
        <row r="1152">
          <cell r="A1152" t="str">
            <v>MZ360043EX</v>
          </cell>
          <cell r="B1152" t="str">
            <v>S</v>
          </cell>
          <cell r="C1152" t="str">
            <v>ASHTRAY</v>
          </cell>
          <cell r="D1152">
            <v>19.170000000000002</v>
          </cell>
          <cell r="E1152">
            <v>31.95</v>
          </cell>
          <cell r="F1152">
            <v>0</v>
          </cell>
          <cell r="G1152">
            <v>0</v>
          </cell>
        </row>
        <row r="1153">
          <cell r="A1153" t="str">
            <v>MZ360061EX</v>
          </cell>
          <cell r="B1153" t="str">
            <v>F</v>
          </cell>
          <cell r="C1153" t="str">
            <v>COVER- SCUFF PLATE</v>
          </cell>
          <cell r="D1153">
            <v>94.17</v>
          </cell>
          <cell r="E1153">
            <v>156.94999999999999</v>
          </cell>
          <cell r="F1153">
            <v>0</v>
          </cell>
          <cell r="G1153">
            <v>0</v>
          </cell>
        </row>
        <row r="1154">
          <cell r="A1154" t="str">
            <v>MZ360062EX</v>
          </cell>
          <cell r="B1154" t="str">
            <v>F</v>
          </cell>
          <cell r="C1154" t="str">
            <v>COVER- SCUFF PLATE</v>
          </cell>
          <cell r="D1154">
            <v>79.77</v>
          </cell>
          <cell r="E1154">
            <v>132.94999999999999</v>
          </cell>
          <cell r="F1154">
            <v>0</v>
          </cell>
          <cell r="G1154">
            <v>0</v>
          </cell>
        </row>
        <row r="1155">
          <cell r="A1155" t="str">
            <v>MZ360064EX</v>
          </cell>
          <cell r="B1155" t="str">
            <v>F</v>
          </cell>
          <cell r="C1155" t="str">
            <v>PEDAL SET- SPORT- A/T- SILVER</v>
          </cell>
          <cell r="D1155">
            <v>52.17</v>
          </cell>
          <cell r="E1155">
            <v>86.95</v>
          </cell>
          <cell r="F1155">
            <v>0</v>
          </cell>
          <cell r="G1155">
            <v>0</v>
          </cell>
        </row>
        <row r="1156">
          <cell r="A1156" t="str">
            <v>MZ360066EX</v>
          </cell>
          <cell r="B1156" t="str">
            <v>Z</v>
          </cell>
          <cell r="C1156" t="str">
            <v>GAUGE KIT- SPORT METER- WHITE</v>
          </cell>
          <cell r="D1156">
            <v>391.17</v>
          </cell>
          <cell r="E1156">
            <v>651.95000000000005</v>
          </cell>
          <cell r="F1156">
            <v>0</v>
          </cell>
          <cell r="G1156">
            <v>0</v>
          </cell>
        </row>
        <row r="1157">
          <cell r="A1157" t="str">
            <v>MZ360069EX</v>
          </cell>
          <cell r="B1157" t="str">
            <v>Z</v>
          </cell>
          <cell r="C1157" t="str">
            <v>ASH CUP</v>
          </cell>
          <cell r="D1157">
            <v>71.97</v>
          </cell>
          <cell r="E1157">
            <v>119.95</v>
          </cell>
          <cell r="F1157">
            <v>0</v>
          </cell>
          <cell r="G1157">
            <v>0</v>
          </cell>
        </row>
        <row r="1158">
          <cell r="A1158" t="str">
            <v>MZ360070EX</v>
          </cell>
          <cell r="B1158" t="str">
            <v>Z</v>
          </cell>
          <cell r="C1158" t="str">
            <v>SHIFTER KIT- SPORT- M/T</v>
          </cell>
          <cell r="D1158">
            <v>98.36</v>
          </cell>
          <cell r="E1158">
            <v>163.95</v>
          </cell>
          <cell r="F1158">
            <v>0</v>
          </cell>
          <cell r="G1158">
            <v>0</v>
          </cell>
        </row>
        <row r="1159">
          <cell r="A1159" t="str">
            <v>MZ360118EX</v>
          </cell>
          <cell r="B1159" t="str">
            <v>U</v>
          </cell>
          <cell r="C1159" t="str">
            <v>CIGAR LIGHTER</v>
          </cell>
          <cell r="D1159">
            <v>32.97</v>
          </cell>
          <cell r="E1159">
            <v>54.95</v>
          </cell>
          <cell r="F1159">
            <v>0</v>
          </cell>
          <cell r="G1159">
            <v>0</v>
          </cell>
        </row>
        <row r="1160">
          <cell r="A1160" t="str">
            <v>MZ360125EX</v>
          </cell>
          <cell r="B1160" t="str">
            <v>U</v>
          </cell>
          <cell r="C1160" t="str">
            <v>FLOOR MAT- BLACK</v>
          </cell>
          <cell r="D1160">
            <v>67.78</v>
          </cell>
          <cell r="E1160">
            <v>112.95</v>
          </cell>
          <cell r="F1160">
            <v>0</v>
          </cell>
          <cell r="G1160">
            <v>0</v>
          </cell>
        </row>
        <row r="1161">
          <cell r="A1161" t="str">
            <v>MZ360133EX</v>
          </cell>
          <cell r="B1161" t="str">
            <v>U</v>
          </cell>
          <cell r="C1161" t="str">
            <v>CIGAR LIGHTER OUTLANDER &lt;2013</v>
          </cell>
          <cell r="D1161">
            <v>32.97</v>
          </cell>
          <cell r="E1161">
            <v>54.95</v>
          </cell>
          <cell r="F1161">
            <v>0</v>
          </cell>
          <cell r="G1161">
            <v>0</v>
          </cell>
        </row>
        <row r="1162">
          <cell r="A1162" t="str">
            <v>MZ360135EX</v>
          </cell>
          <cell r="B1162" t="str">
            <v>Z</v>
          </cell>
          <cell r="C1162" t="str">
            <v>CABLE- AUDIO AUX.</v>
          </cell>
          <cell r="D1162">
            <v>24.57</v>
          </cell>
          <cell r="E1162">
            <v>40.950000000000003</v>
          </cell>
          <cell r="F1162">
            <v>1</v>
          </cell>
          <cell r="G1162">
            <v>0</v>
          </cell>
        </row>
        <row r="1163">
          <cell r="A1163" t="str">
            <v>MZ360136EX</v>
          </cell>
          <cell r="B1163" t="str">
            <v>Z</v>
          </cell>
          <cell r="C1163" t="str">
            <v>CABLE- AUDIO AUX. VERSION 1</v>
          </cell>
          <cell r="D1163">
            <v>60.57</v>
          </cell>
          <cell r="E1163">
            <v>100.95</v>
          </cell>
          <cell r="F1163">
            <v>0</v>
          </cell>
          <cell r="G1163">
            <v>0</v>
          </cell>
        </row>
        <row r="1164">
          <cell r="A1164" t="str">
            <v>MZ360144EX</v>
          </cell>
          <cell r="B1164" t="str">
            <v>U</v>
          </cell>
          <cell r="C1164" t="str">
            <v>RSE DISPLAY</v>
          </cell>
          <cell r="D1164">
            <v>1702.78</v>
          </cell>
          <cell r="E1164">
            <v>2837.95</v>
          </cell>
          <cell r="F1164">
            <v>0</v>
          </cell>
          <cell r="G1164">
            <v>0</v>
          </cell>
        </row>
        <row r="1165">
          <cell r="A1165" t="str">
            <v>MZ360145EX</v>
          </cell>
          <cell r="B1165" t="str">
            <v>F</v>
          </cell>
          <cell r="C1165" t="str">
            <v>CD CHANGER- 6-DISC AND TUNER</v>
          </cell>
          <cell r="D1165">
            <v>534.57000000000005</v>
          </cell>
          <cell r="E1165">
            <v>890.95</v>
          </cell>
          <cell r="F1165">
            <v>0</v>
          </cell>
          <cell r="G1165">
            <v>0</v>
          </cell>
        </row>
        <row r="1166">
          <cell r="A1166" t="str">
            <v>MZ360159EX</v>
          </cell>
          <cell r="B1166" t="str">
            <v>U</v>
          </cell>
          <cell r="C1166" t="str">
            <v>NAVIGATION- AND UNIT- 40GB</v>
          </cell>
          <cell r="D1166">
            <v>4609.75</v>
          </cell>
          <cell r="E1166">
            <v>7682.92</v>
          </cell>
          <cell r="F1166">
            <v>0</v>
          </cell>
          <cell r="G1166">
            <v>0</v>
          </cell>
        </row>
        <row r="1167">
          <cell r="A1167" t="str">
            <v>MZ360162EX</v>
          </cell>
          <cell r="B1167" t="str">
            <v>Z</v>
          </cell>
          <cell r="C1167" t="str">
            <v>INSTALL KIT- SATELLITE RADIO</v>
          </cell>
          <cell r="D1167">
            <v>164.37</v>
          </cell>
          <cell r="E1167">
            <v>273.95</v>
          </cell>
          <cell r="F1167">
            <v>0</v>
          </cell>
          <cell r="G1167">
            <v>0</v>
          </cell>
        </row>
        <row r="1168">
          <cell r="A1168" t="str">
            <v>MZ360169EX</v>
          </cell>
          <cell r="B1168" t="str">
            <v>U</v>
          </cell>
          <cell r="C1168" t="str">
            <v>HEADPHONE-RSE</v>
          </cell>
          <cell r="D1168">
            <v>115.77</v>
          </cell>
          <cell r="E1168">
            <v>192.95</v>
          </cell>
          <cell r="F1168">
            <v>0</v>
          </cell>
          <cell r="G1168">
            <v>0</v>
          </cell>
        </row>
        <row r="1169">
          <cell r="A1169" t="str">
            <v>MZ360189EX</v>
          </cell>
          <cell r="B1169" t="str">
            <v>S</v>
          </cell>
          <cell r="C1169" t="str">
            <v>HEADPHONE- RR SEAT ENTERTAIN</v>
          </cell>
          <cell r="D1169">
            <v>115.77</v>
          </cell>
          <cell r="E1169">
            <v>192.95</v>
          </cell>
          <cell r="F1169">
            <v>0</v>
          </cell>
          <cell r="G1169">
            <v>0</v>
          </cell>
        </row>
        <row r="1170">
          <cell r="A1170" t="str">
            <v>MZ360190EX</v>
          </cell>
          <cell r="B1170" t="str">
            <v>Z</v>
          </cell>
          <cell r="C1170" t="str">
            <v>NAVIGATION- INSTALLATION KIT</v>
          </cell>
          <cell r="D1170">
            <v>497.37</v>
          </cell>
          <cell r="E1170">
            <v>828.95</v>
          </cell>
          <cell r="F1170">
            <v>0</v>
          </cell>
          <cell r="G1170">
            <v>0</v>
          </cell>
        </row>
        <row r="1171">
          <cell r="A1171" t="str">
            <v>MZ360192EX</v>
          </cell>
          <cell r="B1171" t="str">
            <v>S</v>
          </cell>
          <cell r="C1171" t="str">
            <v>INSTALLATION KIT- NAVIGATION</v>
          </cell>
          <cell r="D1171">
            <v>561.57000000000005</v>
          </cell>
          <cell r="E1171">
            <v>935.95</v>
          </cell>
          <cell r="F1171">
            <v>0</v>
          </cell>
          <cell r="G1171">
            <v>0</v>
          </cell>
        </row>
        <row r="1172">
          <cell r="A1172" t="str">
            <v>MZ360194EX</v>
          </cell>
          <cell r="B1172" t="str">
            <v>U</v>
          </cell>
          <cell r="C1172" t="str">
            <v>NAV UPDATE DVD- RETAIL</v>
          </cell>
          <cell r="D1172">
            <v>231.57</v>
          </cell>
          <cell r="E1172">
            <v>385.95</v>
          </cell>
          <cell r="F1172">
            <v>0</v>
          </cell>
          <cell r="G1172">
            <v>0</v>
          </cell>
        </row>
        <row r="1173">
          <cell r="A1173" t="str">
            <v>MZ360195EX</v>
          </cell>
          <cell r="B1173" t="str">
            <v>D</v>
          </cell>
          <cell r="C1173" t="str">
            <v>GRIP- PRK'G BRAKE- LEATHER/ALU</v>
          </cell>
          <cell r="D1173">
            <v>352.17</v>
          </cell>
          <cell r="E1173">
            <v>586.95000000000005</v>
          </cell>
          <cell r="F1173">
            <v>4</v>
          </cell>
          <cell r="G1173">
            <v>0</v>
          </cell>
        </row>
        <row r="1174">
          <cell r="A1174" t="str">
            <v>MZ360200EX</v>
          </cell>
          <cell r="B1174" t="str">
            <v>Z</v>
          </cell>
          <cell r="C1174" t="str">
            <v>INSTALL KIT- RR SEAT W/SUNROOF</v>
          </cell>
          <cell r="D1174">
            <v>294.57</v>
          </cell>
          <cell r="E1174">
            <v>490.95</v>
          </cell>
          <cell r="F1174">
            <v>0</v>
          </cell>
          <cell r="G1174">
            <v>0</v>
          </cell>
        </row>
        <row r="1175">
          <cell r="A1175" t="str">
            <v>MZ360201EX</v>
          </cell>
          <cell r="B1175" t="str">
            <v>Z</v>
          </cell>
          <cell r="C1175" t="str">
            <v>INSTALL KIT- RR SEAT W/O SUNRF</v>
          </cell>
          <cell r="D1175">
            <v>296.37</v>
          </cell>
          <cell r="E1175">
            <v>493.95</v>
          </cell>
          <cell r="F1175">
            <v>0</v>
          </cell>
          <cell r="G1175">
            <v>0</v>
          </cell>
        </row>
        <row r="1176">
          <cell r="A1176" t="str">
            <v>MZ360209EX</v>
          </cell>
          <cell r="B1176" t="str">
            <v>S</v>
          </cell>
          <cell r="C1176" t="str">
            <v>AUX GROUND WIRE</v>
          </cell>
          <cell r="D1176">
            <v>5.97</v>
          </cell>
          <cell r="E1176">
            <v>9.9499999999999993</v>
          </cell>
          <cell r="F1176">
            <v>0</v>
          </cell>
          <cell r="G1176">
            <v>0</v>
          </cell>
        </row>
        <row r="1177">
          <cell r="A1177" t="str">
            <v>MZ360224EX</v>
          </cell>
          <cell r="B1177" t="str">
            <v>S</v>
          </cell>
          <cell r="C1177" t="str">
            <v>AUDIO AUX CABLE- AND UNIT</v>
          </cell>
          <cell r="D1177">
            <v>53.37</v>
          </cell>
          <cell r="E1177">
            <v>88.95</v>
          </cell>
          <cell r="F1177">
            <v>0</v>
          </cell>
          <cell r="G1177">
            <v>0</v>
          </cell>
        </row>
        <row r="1178">
          <cell r="A1178" t="str">
            <v>MZ360238EX</v>
          </cell>
          <cell r="B1178" t="str">
            <v>Z</v>
          </cell>
          <cell r="C1178" t="str">
            <v>FLOOR MATS- LANCER EVO X-BLACK</v>
          </cell>
          <cell r="D1178">
            <v>64.17</v>
          </cell>
          <cell r="E1178">
            <v>106.95</v>
          </cell>
          <cell r="F1178">
            <v>20</v>
          </cell>
          <cell r="G1178">
            <v>0</v>
          </cell>
        </row>
        <row r="1179">
          <cell r="A1179" t="str">
            <v>MZ360241EX</v>
          </cell>
          <cell r="B1179" t="str">
            <v>Z</v>
          </cell>
          <cell r="C1179" t="str">
            <v>FLOOR MAT- BLACK</v>
          </cell>
          <cell r="D1179">
            <v>67.78</v>
          </cell>
          <cell r="E1179">
            <v>112.95</v>
          </cell>
          <cell r="F1179">
            <v>18</v>
          </cell>
          <cell r="G1179">
            <v>0</v>
          </cell>
        </row>
        <row r="1180">
          <cell r="A1180" t="str">
            <v>MZ360242EX</v>
          </cell>
          <cell r="B1180" t="str">
            <v>Z</v>
          </cell>
          <cell r="C1180" t="str">
            <v>FLOOR MATS- W/HEATER DUCTS</v>
          </cell>
          <cell r="D1180">
            <v>64.17</v>
          </cell>
          <cell r="E1180">
            <v>106.95</v>
          </cell>
          <cell r="F1180">
            <v>46</v>
          </cell>
          <cell r="G1180">
            <v>0</v>
          </cell>
        </row>
        <row r="1181">
          <cell r="A1181" t="str">
            <v>MZ360257EX</v>
          </cell>
          <cell r="B1181" t="str">
            <v>Z</v>
          </cell>
          <cell r="C1181" t="str">
            <v>FLOOR MATS- W/O HEATER DUCTS</v>
          </cell>
          <cell r="D1181">
            <v>62.37</v>
          </cell>
          <cell r="E1181">
            <v>103.95</v>
          </cell>
          <cell r="F1181">
            <v>0</v>
          </cell>
          <cell r="G1181">
            <v>0</v>
          </cell>
        </row>
        <row r="1182">
          <cell r="A1182" t="str">
            <v>MZ360272EX</v>
          </cell>
          <cell r="B1182" t="str">
            <v>U</v>
          </cell>
          <cell r="C1182" t="str">
            <v>REMOTE ENGINE STARTER OUTLANDER 2014&gt;</v>
          </cell>
          <cell r="D1182">
            <v>583.35</v>
          </cell>
          <cell r="E1182">
            <v>758.95</v>
          </cell>
          <cell r="F1182">
            <v>0</v>
          </cell>
          <cell r="G1182">
            <v>0</v>
          </cell>
        </row>
        <row r="1183">
          <cell r="A1183" t="str">
            <v>MZ360273EX</v>
          </cell>
          <cell r="B1183" t="str">
            <v>Z</v>
          </cell>
          <cell r="C1183" t="str">
            <v>FLOOR MATS- RALLIART</v>
          </cell>
          <cell r="D1183">
            <v>69.569999999999993</v>
          </cell>
          <cell r="E1183">
            <v>115.95</v>
          </cell>
          <cell r="F1183">
            <v>4</v>
          </cell>
          <cell r="G1183">
            <v>0</v>
          </cell>
        </row>
        <row r="1184">
          <cell r="A1184" t="str">
            <v>MZ360280EX</v>
          </cell>
          <cell r="B1184" t="str">
            <v>D</v>
          </cell>
          <cell r="C1184" t="str">
            <v>KNOB- SHIFT-5MT ALUMINUM</v>
          </cell>
          <cell r="D1184">
            <v>196.17</v>
          </cell>
          <cell r="E1184">
            <v>326.95</v>
          </cell>
          <cell r="F1184">
            <v>4</v>
          </cell>
          <cell r="G1184">
            <v>0</v>
          </cell>
        </row>
        <row r="1185">
          <cell r="A1185" t="str">
            <v>MZ360281EX</v>
          </cell>
          <cell r="B1185" t="str">
            <v>S</v>
          </cell>
          <cell r="C1185" t="str">
            <v>KNOB- SHIFT- CVT- ALUMINUM</v>
          </cell>
          <cell r="D1185">
            <v>182.97</v>
          </cell>
          <cell r="E1185">
            <v>304.95</v>
          </cell>
          <cell r="F1185">
            <v>0</v>
          </cell>
          <cell r="G1185">
            <v>0</v>
          </cell>
        </row>
        <row r="1186">
          <cell r="A1186" t="str">
            <v>MZ360282EX</v>
          </cell>
          <cell r="B1186" t="str">
            <v>S</v>
          </cell>
          <cell r="C1186" t="str">
            <v>GRIP- PARKING BRAKE- ALUMINUM</v>
          </cell>
          <cell r="D1186">
            <v>179.37</v>
          </cell>
          <cell r="E1186">
            <v>298.95</v>
          </cell>
          <cell r="F1186">
            <v>0</v>
          </cell>
          <cell r="G1186">
            <v>0</v>
          </cell>
        </row>
        <row r="1187">
          <cell r="A1187" t="str">
            <v>MZ360283EX</v>
          </cell>
          <cell r="B1187" t="str">
            <v>S</v>
          </cell>
          <cell r="C1187" t="str">
            <v>GRIP- PARKING- ALUM- RALLIART</v>
          </cell>
          <cell r="D1187">
            <v>181.17</v>
          </cell>
          <cell r="E1187">
            <v>301.95</v>
          </cell>
          <cell r="F1187">
            <v>0</v>
          </cell>
          <cell r="G1187">
            <v>0</v>
          </cell>
        </row>
        <row r="1188">
          <cell r="A1188" t="str">
            <v>MZ360287EX</v>
          </cell>
          <cell r="B1188" t="str">
            <v>S</v>
          </cell>
          <cell r="C1188" t="str">
            <v>KNOB- SHIFT- AUTO- ALUMINUM</v>
          </cell>
          <cell r="D1188">
            <v>182.97</v>
          </cell>
          <cell r="E1188">
            <v>304.95</v>
          </cell>
          <cell r="F1188">
            <v>0</v>
          </cell>
          <cell r="G1188">
            <v>0</v>
          </cell>
        </row>
        <row r="1189">
          <cell r="A1189" t="str">
            <v>MZ360288EX</v>
          </cell>
          <cell r="B1189" t="str">
            <v>S</v>
          </cell>
          <cell r="C1189" t="str">
            <v>GRIP- PARKING BRAKE- ALUMINUM</v>
          </cell>
          <cell r="D1189">
            <v>169.17</v>
          </cell>
          <cell r="E1189">
            <v>281.95</v>
          </cell>
          <cell r="F1189">
            <v>0</v>
          </cell>
          <cell r="G1189">
            <v>0</v>
          </cell>
        </row>
        <row r="1190">
          <cell r="A1190" t="str">
            <v>MZ360298EX</v>
          </cell>
          <cell r="B1190" t="str">
            <v>O</v>
          </cell>
          <cell r="C1190" t="str">
            <v>ASH CUP</v>
          </cell>
          <cell r="D1190">
            <v>26.37</v>
          </cell>
          <cell r="E1190">
            <v>43.95</v>
          </cell>
          <cell r="F1190">
            <v>6</v>
          </cell>
          <cell r="G1190">
            <v>0</v>
          </cell>
        </row>
        <row r="1191">
          <cell r="A1191" t="str">
            <v>MZ360301EX</v>
          </cell>
          <cell r="B1191" t="str">
            <v>Z</v>
          </cell>
          <cell r="C1191" t="str">
            <v>NAVIGATION AND UNIT</v>
          </cell>
          <cell r="D1191">
            <v>4609.75</v>
          </cell>
          <cell r="E1191">
            <v>7682.92</v>
          </cell>
          <cell r="F1191">
            <v>0</v>
          </cell>
          <cell r="G1191">
            <v>0</v>
          </cell>
        </row>
        <row r="1192">
          <cell r="A1192" t="str">
            <v>MZ360303EX</v>
          </cell>
          <cell r="B1192" t="str">
            <v>U</v>
          </cell>
          <cell r="C1192" t="str">
            <v>NAVIGATION AND UNIT</v>
          </cell>
          <cell r="D1192">
            <v>2363.96</v>
          </cell>
          <cell r="E1192">
            <v>3939.95</v>
          </cell>
          <cell r="F1192">
            <v>0</v>
          </cell>
          <cell r="G1192">
            <v>0</v>
          </cell>
        </row>
        <row r="1193">
          <cell r="A1193" t="str">
            <v>MZ360304EX</v>
          </cell>
          <cell r="B1193" t="str">
            <v>F</v>
          </cell>
          <cell r="C1193" t="str">
            <v>RSE DISPLAY W/DVD PLAYER-BEIGE</v>
          </cell>
          <cell r="D1193">
            <v>1702.77</v>
          </cell>
          <cell r="E1193">
            <v>2837.95</v>
          </cell>
          <cell r="F1193">
            <v>0</v>
          </cell>
          <cell r="G1193">
            <v>0</v>
          </cell>
        </row>
        <row r="1194">
          <cell r="A1194" t="str">
            <v>MZ360305EX</v>
          </cell>
          <cell r="B1194" t="str">
            <v>S</v>
          </cell>
          <cell r="C1194" t="str">
            <v>RSE DISPLAY W/DVD PLAYER-GRAY</v>
          </cell>
          <cell r="D1194">
            <v>1702.78</v>
          </cell>
          <cell r="E1194">
            <v>2837.95</v>
          </cell>
          <cell r="F1194">
            <v>0</v>
          </cell>
          <cell r="G1194">
            <v>0</v>
          </cell>
        </row>
        <row r="1195">
          <cell r="A1195" t="str">
            <v>MZ360312EX</v>
          </cell>
          <cell r="B1195" t="str">
            <v>Z</v>
          </cell>
          <cell r="C1195" t="str">
            <v>INSTALL KIT- NAVIGATION</v>
          </cell>
          <cell r="D1195">
            <v>497.37</v>
          </cell>
          <cell r="E1195">
            <v>828.95</v>
          </cell>
          <cell r="F1195">
            <v>0</v>
          </cell>
          <cell r="G1195">
            <v>0</v>
          </cell>
        </row>
        <row r="1196">
          <cell r="A1196" t="str">
            <v>MZ360314EX</v>
          </cell>
          <cell r="B1196" t="str">
            <v>U</v>
          </cell>
          <cell r="C1196" t="str">
            <v>MAP UPDATE NAV- RETAIL</v>
          </cell>
          <cell r="D1196">
            <v>231.57</v>
          </cell>
          <cell r="E1196">
            <v>385.95</v>
          </cell>
          <cell r="F1196">
            <v>0</v>
          </cell>
          <cell r="G1196">
            <v>0</v>
          </cell>
        </row>
        <row r="1197">
          <cell r="A1197" t="str">
            <v>MZ360316EX</v>
          </cell>
          <cell r="B1197" t="str">
            <v>F</v>
          </cell>
          <cell r="C1197" t="str">
            <v>HOOD SWITCH KIT</v>
          </cell>
          <cell r="D1197">
            <v>33.57</v>
          </cell>
          <cell r="E1197">
            <v>55.95</v>
          </cell>
          <cell r="F1197">
            <v>0</v>
          </cell>
          <cell r="G1197">
            <v>0</v>
          </cell>
        </row>
        <row r="1198">
          <cell r="A1198" t="str">
            <v>MZ360321EX</v>
          </cell>
          <cell r="B1198" t="str">
            <v>Z</v>
          </cell>
          <cell r="C1198" t="str">
            <v>INSTALLATION KIT NAVI</v>
          </cell>
          <cell r="D1198">
            <v>545.97</v>
          </cell>
          <cell r="E1198">
            <v>909.95</v>
          </cell>
          <cell r="F1198">
            <v>0</v>
          </cell>
          <cell r="G1198">
            <v>0</v>
          </cell>
        </row>
        <row r="1199">
          <cell r="A1199" t="str">
            <v>MZ360326EX</v>
          </cell>
          <cell r="B1199" t="str">
            <v>U</v>
          </cell>
          <cell r="C1199" t="str">
            <v>MMCS NAVIGATION</v>
          </cell>
          <cell r="D1199">
            <v>2363.96</v>
          </cell>
          <cell r="E1199">
            <v>3939.95</v>
          </cell>
          <cell r="F1199">
            <v>0</v>
          </cell>
          <cell r="G1199">
            <v>0</v>
          </cell>
        </row>
        <row r="1200">
          <cell r="A1200" t="str">
            <v>MZ360329EX</v>
          </cell>
          <cell r="B1200" t="str">
            <v>X</v>
          </cell>
          <cell r="C1200" t="str">
            <v>FLOORMATS- OUTLANDER SPORT</v>
          </cell>
          <cell r="D1200">
            <v>59.97</v>
          </cell>
          <cell r="E1200">
            <v>99.95</v>
          </cell>
          <cell r="F1200">
            <v>0</v>
          </cell>
          <cell r="G1200">
            <v>0</v>
          </cell>
        </row>
        <row r="1201">
          <cell r="A1201" t="str">
            <v>MZ360330EX</v>
          </cell>
          <cell r="B1201" t="str">
            <v>U</v>
          </cell>
          <cell r="C1201" t="str">
            <v>CIGAR LIGHTER</v>
          </cell>
          <cell r="D1201">
            <v>32.97</v>
          </cell>
          <cell r="E1201">
            <v>54.95</v>
          </cell>
          <cell r="F1201">
            <v>0</v>
          </cell>
          <cell r="G1201">
            <v>0</v>
          </cell>
        </row>
        <row r="1202">
          <cell r="A1202" t="str">
            <v>MZ360331EX</v>
          </cell>
          <cell r="B1202" t="str">
            <v>S</v>
          </cell>
          <cell r="C1202" t="str">
            <v>CABLE KIT- USB</v>
          </cell>
          <cell r="D1202">
            <v>169.18</v>
          </cell>
          <cell r="E1202">
            <v>281.95</v>
          </cell>
          <cell r="F1202">
            <v>0</v>
          </cell>
          <cell r="G1202">
            <v>0</v>
          </cell>
        </row>
        <row r="1203">
          <cell r="A1203" t="str">
            <v>MZ360334EX</v>
          </cell>
          <cell r="B1203" t="str">
            <v>S</v>
          </cell>
          <cell r="C1203" t="str">
            <v>ACCENT PANEL SET NAVI</v>
          </cell>
          <cell r="D1203">
            <v>237.57</v>
          </cell>
          <cell r="E1203">
            <v>395.95</v>
          </cell>
          <cell r="F1203">
            <v>0</v>
          </cell>
          <cell r="G1203">
            <v>0</v>
          </cell>
        </row>
        <row r="1204">
          <cell r="A1204" t="str">
            <v>MZ360336EX</v>
          </cell>
          <cell r="B1204" t="str">
            <v>S</v>
          </cell>
          <cell r="C1204" t="str">
            <v>PANEL SET INT- PIANO BLACK STD</v>
          </cell>
          <cell r="D1204">
            <v>260.97000000000003</v>
          </cell>
          <cell r="E1204">
            <v>434.95</v>
          </cell>
          <cell r="F1204">
            <v>0</v>
          </cell>
          <cell r="G1204">
            <v>0</v>
          </cell>
        </row>
        <row r="1205">
          <cell r="A1205" t="str">
            <v>MZ360338EX</v>
          </cell>
          <cell r="B1205" t="str">
            <v>S</v>
          </cell>
          <cell r="C1205" t="str">
            <v>REAR VIEW CAMERA HARNESS</v>
          </cell>
          <cell r="D1205">
            <v>49.17</v>
          </cell>
          <cell r="E1205">
            <v>81.95</v>
          </cell>
          <cell r="F1205">
            <v>0</v>
          </cell>
          <cell r="G1205">
            <v>0</v>
          </cell>
        </row>
        <row r="1206">
          <cell r="A1206" t="str">
            <v>MZ360340EX</v>
          </cell>
          <cell r="B1206" t="str">
            <v>U</v>
          </cell>
          <cell r="C1206" t="str">
            <v>REMOTE ENGINE STARTER</v>
          </cell>
          <cell r="D1206">
            <v>583.35</v>
          </cell>
          <cell r="E1206">
            <v>758.95</v>
          </cell>
          <cell r="F1206">
            <v>0</v>
          </cell>
          <cell r="G1206">
            <v>0</v>
          </cell>
        </row>
        <row r="1207">
          <cell r="A1207" t="str">
            <v>MZ360342EX</v>
          </cell>
          <cell r="B1207" t="str">
            <v>S</v>
          </cell>
          <cell r="C1207" t="str">
            <v>NAVIGATION INSTALL KIT</v>
          </cell>
          <cell r="D1207">
            <v>530.37</v>
          </cell>
          <cell r="E1207">
            <v>883.95</v>
          </cell>
          <cell r="F1207">
            <v>0</v>
          </cell>
          <cell r="G1207">
            <v>0</v>
          </cell>
        </row>
        <row r="1208">
          <cell r="A1208" t="str">
            <v>MZ360344EX</v>
          </cell>
          <cell r="B1208" t="str">
            <v>Z</v>
          </cell>
          <cell r="C1208" t="str">
            <v>INSTALLATION KIT- NAVIGATION</v>
          </cell>
          <cell r="D1208">
            <v>562.16999999999996</v>
          </cell>
          <cell r="E1208">
            <v>936.95</v>
          </cell>
          <cell r="F1208">
            <v>0</v>
          </cell>
          <cell r="G1208">
            <v>0</v>
          </cell>
        </row>
        <row r="1209">
          <cell r="A1209" t="str">
            <v>MZ360349EX</v>
          </cell>
          <cell r="B1209" t="str">
            <v>Z</v>
          </cell>
          <cell r="C1209" t="str">
            <v>MAP UPDATE- NAVIGATION</v>
          </cell>
          <cell r="D1209">
            <v>231.57</v>
          </cell>
          <cell r="E1209">
            <v>385.95</v>
          </cell>
          <cell r="F1209">
            <v>0</v>
          </cell>
          <cell r="G1209">
            <v>0</v>
          </cell>
        </row>
        <row r="1210">
          <cell r="A1210" t="str">
            <v>MZ360350EX</v>
          </cell>
          <cell r="B1210" t="str">
            <v>U</v>
          </cell>
          <cell r="C1210" t="str">
            <v>FLOORMATS- RVR</v>
          </cell>
          <cell r="D1210">
            <v>64.17</v>
          </cell>
          <cell r="E1210">
            <v>106.95</v>
          </cell>
          <cell r="F1210">
            <v>0</v>
          </cell>
          <cell r="G1210">
            <v>0</v>
          </cell>
        </row>
        <row r="1211">
          <cell r="A1211" t="str">
            <v>MZ360353EX</v>
          </cell>
          <cell r="B1211" t="str">
            <v>C</v>
          </cell>
          <cell r="C1211" t="str">
            <v>ILLUMINATION- INT FLOOR BLUE</v>
          </cell>
          <cell r="D1211">
            <v>116.97</v>
          </cell>
          <cell r="E1211">
            <v>194.95</v>
          </cell>
          <cell r="F1211">
            <v>3</v>
          </cell>
          <cell r="G1211">
            <v>2</v>
          </cell>
        </row>
        <row r="1212">
          <cell r="A1212" t="str">
            <v>MZ360354EX</v>
          </cell>
          <cell r="B1212" t="str">
            <v>S</v>
          </cell>
          <cell r="C1212" t="str">
            <v>MAP LAMP BULB</v>
          </cell>
          <cell r="D1212">
            <v>91.17</v>
          </cell>
          <cell r="E1212">
            <v>151.94999999999999</v>
          </cell>
          <cell r="F1212">
            <v>0</v>
          </cell>
          <cell r="G1212">
            <v>0</v>
          </cell>
        </row>
        <row r="1213">
          <cell r="A1213" t="str">
            <v>MZ360355EX</v>
          </cell>
          <cell r="B1213" t="str">
            <v>F</v>
          </cell>
          <cell r="C1213" t="str">
            <v>LED LIGHT-INTERIOR(BULK PACK)</v>
          </cell>
          <cell r="D1213">
            <v>62.97</v>
          </cell>
          <cell r="E1213">
            <v>104.95</v>
          </cell>
          <cell r="F1213">
            <v>0</v>
          </cell>
          <cell r="G1213">
            <v>0</v>
          </cell>
        </row>
        <row r="1214">
          <cell r="A1214" t="str">
            <v>MZ360361EX</v>
          </cell>
          <cell r="B1214" t="str">
            <v>E</v>
          </cell>
          <cell r="C1214" t="str">
            <v>FOB- REMOTE ENGINE START</v>
          </cell>
          <cell r="D1214">
            <v>287.27</v>
          </cell>
          <cell r="E1214">
            <v>441.95</v>
          </cell>
          <cell r="F1214">
            <v>1</v>
          </cell>
          <cell r="G1214">
            <v>0</v>
          </cell>
        </row>
        <row r="1215">
          <cell r="A1215" t="str">
            <v>MZ360369EX</v>
          </cell>
          <cell r="B1215" t="str">
            <v>Q</v>
          </cell>
          <cell r="C1215" t="str">
            <v>LED BULB - QTY 1</v>
          </cell>
          <cell r="D1215">
            <v>64.17</v>
          </cell>
          <cell r="E1215">
            <v>106.95</v>
          </cell>
          <cell r="F1215">
            <v>27</v>
          </cell>
          <cell r="G1215">
            <v>0</v>
          </cell>
        </row>
        <row r="1216">
          <cell r="A1216" t="str">
            <v>MZ360372EX</v>
          </cell>
          <cell r="B1216" t="str">
            <v>Q</v>
          </cell>
          <cell r="C1216" t="str">
            <v>REMOTE ENGINE STARTER</v>
          </cell>
          <cell r="D1216">
            <v>583.35</v>
          </cell>
          <cell r="E1216">
            <v>758.95</v>
          </cell>
          <cell r="F1216">
            <v>49</v>
          </cell>
          <cell r="G1216">
            <v>0</v>
          </cell>
        </row>
        <row r="1217">
          <cell r="A1217" t="str">
            <v>MZ360377EX</v>
          </cell>
          <cell r="B1217" t="str">
            <v>S</v>
          </cell>
          <cell r="C1217" t="str">
            <v>MAP UPDATE- NAVIGATION</v>
          </cell>
          <cell r="D1217">
            <v>231.57</v>
          </cell>
          <cell r="E1217">
            <v>385.95</v>
          </cell>
          <cell r="F1217">
            <v>0</v>
          </cell>
          <cell r="G1217">
            <v>0</v>
          </cell>
        </row>
        <row r="1218">
          <cell r="A1218" t="str">
            <v>MZ360378EX</v>
          </cell>
          <cell r="B1218" t="str">
            <v>S</v>
          </cell>
          <cell r="C1218" t="str">
            <v>LED ILLUMINATION- FLOOR- BLUE</v>
          </cell>
          <cell r="D1218">
            <v>122.37</v>
          </cell>
          <cell r="E1218">
            <v>203.95</v>
          </cell>
          <cell r="F1218">
            <v>0</v>
          </cell>
          <cell r="G1218">
            <v>0</v>
          </cell>
        </row>
        <row r="1219">
          <cell r="A1219" t="str">
            <v>MZ360379EX</v>
          </cell>
          <cell r="B1219" t="str">
            <v>S</v>
          </cell>
          <cell r="C1219" t="str">
            <v>LED ILLUMINATION-FLOOR-BLUE</v>
          </cell>
          <cell r="D1219">
            <v>116.88</v>
          </cell>
          <cell r="E1219">
            <v>166.95</v>
          </cell>
          <cell r="F1219">
            <v>0</v>
          </cell>
          <cell r="G1219">
            <v>0</v>
          </cell>
        </row>
        <row r="1220">
          <cell r="A1220" t="str">
            <v>MZ360380EX</v>
          </cell>
          <cell r="B1220" t="str">
            <v>F</v>
          </cell>
          <cell r="C1220" t="str">
            <v>FLOOR ILLUMINATION KIT</v>
          </cell>
          <cell r="D1220">
            <v>137.97</v>
          </cell>
          <cell r="E1220">
            <v>229.95</v>
          </cell>
          <cell r="F1220">
            <v>0</v>
          </cell>
          <cell r="G1220">
            <v>0</v>
          </cell>
        </row>
        <row r="1221">
          <cell r="A1221" t="str">
            <v>MZ360381EX</v>
          </cell>
          <cell r="B1221" t="str">
            <v>S</v>
          </cell>
          <cell r="C1221" t="str">
            <v>INSTRUMENT PANEL ILLUMINATION</v>
          </cell>
          <cell r="D1221">
            <v>187.77</v>
          </cell>
          <cell r="E1221">
            <v>312.95</v>
          </cell>
          <cell r="F1221">
            <v>0</v>
          </cell>
          <cell r="G1221">
            <v>0</v>
          </cell>
        </row>
        <row r="1222">
          <cell r="A1222" t="str">
            <v>MZ360382EX</v>
          </cell>
          <cell r="B1222" t="str">
            <v>S</v>
          </cell>
          <cell r="C1222" t="str">
            <v>USB ADAPTER KIT</v>
          </cell>
          <cell r="D1222">
            <v>154.16</v>
          </cell>
          <cell r="E1222">
            <v>256.95</v>
          </cell>
          <cell r="F1222">
            <v>0</v>
          </cell>
          <cell r="G1222">
            <v>0</v>
          </cell>
        </row>
        <row r="1223">
          <cell r="A1223" t="str">
            <v>MZ360390EX</v>
          </cell>
          <cell r="B1223" t="str">
            <v>S</v>
          </cell>
          <cell r="C1223" t="str">
            <v>HDD NAVIGATION DISPLAY OUTLANDER &lt;2013</v>
          </cell>
          <cell r="D1223">
            <v>2363.96</v>
          </cell>
          <cell r="E1223">
            <v>3939.95</v>
          </cell>
          <cell r="F1223">
            <v>0</v>
          </cell>
          <cell r="G1223">
            <v>0</v>
          </cell>
        </row>
        <row r="1224">
          <cell r="A1224" t="str">
            <v>MZ360395EX</v>
          </cell>
          <cell r="B1224" t="str">
            <v>Z</v>
          </cell>
          <cell r="C1224" t="str">
            <v>NAVIGATION UNIT- INSTALL KIT</v>
          </cell>
          <cell r="D1224">
            <v>686.97</v>
          </cell>
          <cell r="E1224">
            <v>1144.95</v>
          </cell>
          <cell r="F1224">
            <v>0</v>
          </cell>
          <cell r="G1224">
            <v>0</v>
          </cell>
        </row>
        <row r="1225">
          <cell r="A1225" t="str">
            <v>MZ360397EX</v>
          </cell>
          <cell r="B1225" t="str">
            <v>S</v>
          </cell>
          <cell r="C1225" t="str">
            <v>NAVIGATION INSTALL KIT OUTLANDER &lt;2013</v>
          </cell>
          <cell r="D1225">
            <v>609.57000000000005</v>
          </cell>
          <cell r="E1225">
            <v>1015.95</v>
          </cell>
          <cell r="F1225">
            <v>0</v>
          </cell>
          <cell r="G1225">
            <v>0</v>
          </cell>
        </row>
        <row r="1226">
          <cell r="A1226" t="str">
            <v>MZ360400EX</v>
          </cell>
          <cell r="B1226" t="str">
            <v>S</v>
          </cell>
          <cell r="C1226" t="str">
            <v>REMOTE ENGINE STARTER</v>
          </cell>
          <cell r="D1226">
            <v>583.35</v>
          </cell>
          <cell r="E1226">
            <v>758.95</v>
          </cell>
          <cell r="F1226">
            <v>0</v>
          </cell>
          <cell r="G1226">
            <v>0</v>
          </cell>
        </row>
        <row r="1227">
          <cell r="A1227" t="str">
            <v>MZ360401EX</v>
          </cell>
          <cell r="B1227" t="str">
            <v>Q</v>
          </cell>
          <cell r="C1227" t="str">
            <v>FLOOR ILLUMINATION- BLUE BLUE</v>
          </cell>
          <cell r="D1227">
            <v>89.97</v>
          </cell>
          <cell r="E1227">
            <v>149.94999999999999</v>
          </cell>
          <cell r="F1227">
            <v>0</v>
          </cell>
          <cell r="G1227">
            <v>0</v>
          </cell>
        </row>
        <row r="1228">
          <cell r="A1228" t="str">
            <v>MZ360402EX</v>
          </cell>
          <cell r="B1228" t="str">
            <v>Q</v>
          </cell>
          <cell r="C1228" t="str">
            <v>FLOOR ILLUMINATION</v>
          </cell>
          <cell r="D1228">
            <v>89.97</v>
          </cell>
          <cell r="E1228">
            <v>149.94999999999999</v>
          </cell>
          <cell r="F1228">
            <v>3</v>
          </cell>
          <cell r="G1228">
            <v>0</v>
          </cell>
        </row>
        <row r="1229">
          <cell r="A1229" t="str">
            <v>MZ360408EX</v>
          </cell>
          <cell r="B1229" t="str">
            <v>Z</v>
          </cell>
          <cell r="C1229" t="str">
            <v>NAVIGATION UNIT OUTLANDER 2014&lt;</v>
          </cell>
          <cell r="D1229">
            <v>4931.3500000000004</v>
          </cell>
          <cell r="E1229">
            <v>8218.92</v>
          </cell>
          <cell r="F1229">
            <v>0</v>
          </cell>
          <cell r="G1229">
            <v>0</v>
          </cell>
        </row>
        <row r="1230">
          <cell r="A1230" t="str">
            <v>MZ360409EX</v>
          </cell>
          <cell r="B1230" t="str">
            <v>Z</v>
          </cell>
          <cell r="C1230" t="str">
            <v>INSTALL KIT - NAV UNIT OUTLANDER 2014&lt;</v>
          </cell>
          <cell r="D1230">
            <v>283.17</v>
          </cell>
          <cell r="E1230">
            <v>471.95</v>
          </cell>
          <cell r="F1230">
            <v>0</v>
          </cell>
          <cell r="G1230">
            <v>0</v>
          </cell>
        </row>
        <row r="1231">
          <cell r="A1231" t="str">
            <v>MZ360413EX</v>
          </cell>
          <cell r="B1231" t="str">
            <v>S</v>
          </cell>
          <cell r="C1231" t="str">
            <v>HANDSFREE PHONE KIT BTOOTH W/USB O/L '14</v>
          </cell>
          <cell r="D1231">
            <v>590.16</v>
          </cell>
          <cell r="E1231">
            <v>907.95</v>
          </cell>
          <cell r="F1231">
            <v>0</v>
          </cell>
          <cell r="G1231">
            <v>0</v>
          </cell>
        </row>
        <row r="1232">
          <cell r="A1232" t="str">
            <v>MZ360414EX</v>
          </cell>
          <cell r="B1232" t="str">
            <v>Q</v>
          </cell>
          <cell r="C1232" t="str">
            <v>FLOOR ILLUMINATION</v>
          </cell>
          <cell r="D1232">
            <v>134.97</v>
          </cell>
          <cell r="E1232">
            <v>224.95</v>
          </cell>
          <cell r="F1232">
            <v>13</v>
          </cell>
          <cell r="G1232">
            <v>0</v>
          </cell>
        </row>
        <row r="1233">
          <cell r="A1233" t="str">
            <v>MZ360415EX</v>
          </cell>
          <cell r="B1233" t="str">
            <v>Q</v>
          </cell>
          <cell r="C1233" t="str">
            <v>ACCENT PANEL PIANO BLACK OUTLANDER 2014&lt;</v>
          </cell>
          <cell r="D1233">
            <v>163.16999999999999</v>
          </cell>
          <cell r="E1233">
            <v>271.95</v>
          </cell>
          <cell r="F1233">
            <v>1</v>
          </cell>
          <cell r="G1233">
            <v>0</v>
          </cell>
        </row>
        <row r="1234">
          <cell r="A1234" t="str">
            <v>MZ360416EX</v>
          </cell>
          <cell r="B1234" t="str">
            <v>S</v>
          </cell>
          <cell r="C1234" t="str">
            <v>ACCENT PANEL H/LINE METAL OUTLANDER 2014</v>
          </cell>
          <cell r="D1234">
            <v>127.77</v>
          </cell>
          <cell r="E1234">
            <v>212.95</v>
          </cell>
          <cell r="F1234">
            <v>3</v>
          </cell>
          <cell r="G1234">
            <v>0</v>
          </cell>
        </row>
        <row r="1235">
          <cell r="A1235" t="str">
            <v>MZ360420EX</v>
          </cell>
          <cell r="B1235" t="str">
            <v>S</v>
          </cell>
          <cell r="C1235" t="str">
            <v>RR SEAT ENTERTAINMENT- INSTALL KIT BASIC</v>
          </cell>
          <cell r="D1235">
            <v>218.37</v>
          </cell>
          <cell r="E1235">
            <v>363.95</v>
          </cell>
          <cell r="F1235">
            <v>0</v>
          </cell>
          <cell r="G1235">
            <v>0</v>
          </cell>
        </row>
        <row r="1236">
          <cell r="A1236" t="str">
            <v>MZ360421EX</v>
          </cell>
          <cell r="B1236" t="str">
            <v>Q</v>
          </cell>
          <cell r="C1236" t="str">
            <v>RR SEAT ENTERT INSTALL KIT -O/L W/SUNRF</v>
          </cell>
          <cell r="D1236">
            <v>199.17</v>
          </cell>
          <cell r="E1236">
            <v>331.95</v>
          </cell>
          <cell r="F1236">
            <v>0</v>
          </cell>
          <cell r="G1236">
            <v>0</v>
          </cell>
        </row>
        <row r="1237">
          <cell r="A1237" t="str">
            <v>MZ360424EX</v>
          </cell>
          <cell r="B1237" t="str">
            <v>Q</v>
          </cell>
          <cell r="C1237" t="str">
            <v>REAR SEAT ENTERTAINMENT</v>
          </cell>
          <cell r="D1237">
            <v>1469.22</v>
          </cell>
          <cell r="E1237">
            <v>2448.9499999999998</v>
          </cell>
          <cell r="F1237">
            <v>0</v>
          </cell>
          <cell r="G1237">
            <v>0</v>
          </cell>
        </row>
        <row r="1238">
          <cell r="A1238" t="str">
            <v>MZ360428EX</v>
          </cell>
          <cell r="B1238" t="str">
            <v>Q</v>
          </cell>
          <cell r="C1238" t="str">
            <v>SHIFT GATE ILLUMINATION</v>
          </cell>
          <cell r="D1238">
            <v>95.37</v>
          </cell>
          <cell r="E1238">
            <v>158.94999999999999</v>
          </cell>
          <cell r="F1238">
            <v>14</v>
          </cell>
          <cell r="G1238">
            <v>0</v>
          </cell>
        </row>
        <row r="1239">
          <cell r="A1239" t="str">
            <v>MZ360434EX</v>
          </cell>
          <cell r="B1239" t="str">
            <v>U</v>
          </cell>
          <cell r="C1239" t="str">
            <v>FLOOR MAT LHD MIRAGE LOGO ENG/FR LABEL</v>
          </cell>
          <cell r="D1239">
            <v>46.17</v>
          </cell>
          <cell r="E1239">
            <v>76.95</v>
          </cell>
          <cell r="F1239">
            <v>0</v>
          </cell>
          <cell r="G1239">
            <v>0</v>
          </cell>
        </row>
        <row r="1240">
          <cell r="A1240" t="str">
            <v>MZ360438EX</v>
          </cell>
          <cell r="B1240" t="str">
            <v>Z</v>
          </cell>
          <cell r="C1240" t="str">
            <v>NAVIGATION INSTALL KIT</v>
          </cell>
          <cell r="D1240">
            <v>85.77</v>
          </cell>
          <cell r="E1240">
            <v>142.94999999999999</v>
          </cell>
          <cell r="F1240">
            <v>0</v>
          </cell>
          <cell r="G1240">
            <v>0</v>
          </cell>
        </row>
        <row r="1241">
          <cell r="A1241" t="str">
            <v>MZ360439EX</v>
          </cell>
          <cell r="B1241" t="str">
            <v>U</v>
          </cell>
          <cell r="C1241" t="str">
            <v>NAVIGATION INSTALL KIT</v>
          </cell>
          <cell r="D1241">
            <v>155.97</v>
          </cell>
          <cell r="E1241">
            <v>259.95</v>
          </cell>
          <cell r="F1241">
            <v>0</v>
          </cell>
          <cell r="G1241">
            <v>0</v>
          </cell>
        </row>
        <row r="1242">
          <cell r="A1242" t="str">
            <v>MZ360441EX</v>
          </cell>
          <cell r="B1242" t="str">
            <v>S</v>
          </cell>
          <cell r="C1242" t="str">
            <v>FUSE HANDSFREE LINK SYSTEM-UBS</v>
          </cell>
          <cell r="D1242">
            <v>432.87</v>
          </cell>
          <cell r="E1242">
            <v>665.95</v>
          </cell>
          <cell r="F1242">
            <v>0</v>
          </cell>
          <cell r="G1242">
            <v>0</v>
          </cell>
        </row>
        <row r="1243">
          <cell r="A1243" t="str">
            <v>MZ360455EX</v>
          </cell>
          <cell r="B1243" t="str">
            <v>U</v>
          </cell>
          <cell r="C1243" t="str">
            <v>FLOOR GUARD FOR RE</v>
          </cell>
          <cell r="D1243">
            <v>118.62</v>
          </cell>
          <cell r="E1243">
            <v>177.95</v>
          </cell>
          <cell r="F1243">
            <v>0</v>
          </cell>
          <cell r="G1243">
            <v>0</v>
          </cell>
        </row>
        <row r="1244">
          <cell r="A1244" t="str">
            <v>MZ360456EX</v>
          </cell>
          <cell r="B1244" t="str">
            <v>Q</v>
          </cell>
          <cell r="C1244" t="str">
            <v>HIGH EDGE  FLOOR GUARDS MIRAGE</v>
          </cell>
          <cell r="D1244">
            <v>127.17</v>
          </cell>
          <cell r="E1244">
            <v>211.95</v>
          </cell>
          <cell r="F1244">
            <v>110</v>
          </cell>
          <cell r="G1244">
            <v>0</v>
          </cell>
        </row>
        <row r="1245">
          <cell r="A1245" t="str">
            <v>MZ360457EX</v>
          </cell>
          <cell r="B1245" t="str">
            <v>A</v>
          </cell>
          <cell r="C1245" t="str">
            <v>FLOOR GUARD FOR RVR</v>
          </cell>
          <cell r="D1245">
            <v>127.17</v>
          </cell>
          <cell r="E1245">
            <v>211.95</v>
          </cell>
          <cell r="F1245">
            <v>1460</v>
          </cell>
          <cell r="G1245">
            <v>1410</v>
          </cell>
        </row>
        <row r="1246">
          <cell r="A1246" t="str">
            <v>MZ360458EX</v>
          </cell>
          <cell r="B1246" t="str">
            <v>Q</v>
          </cell>
          <cell r="C1246" t="str">
            <v>FLOOR GUARD FOR LANCER</v>
          </cell>
          <cell r="D1246">
            <v>118.62</v>
          </cell>
          <cell r="E1246">
            <v>177.95</v>
          </cell>
          <cell r="F1246">
            <v>10</v>
          </cell>
          <cell r="G1246">
            <v>0</v>
          </cell>
        </row>
        <row r="1247">
          <cell r="A1247" t="str">
            <v>MZ360461EX</v>
          </cell>
          <cell r="B1247" t="str">
            <v>U</v>
          </cell>
          <cell r="C1247" t="str">
            <v>FLOOR MATS-LHD</v>
          </cell>
          <cell r="D1247">
            <v>46.17</v>
          </cell>
          <cell r="E1247">
            <v>76.95</v>
          </cell>
          <cell r="F1247">
            <v>0</v>
          </cell>
          <cell r="G1247">
            <v>0</v>
          </cell>
        </row>
        <row r="1248">
          <cell r="A1248" t="str">
            <v>MZ360463EX</v>
          </cell>
          <cell r="B1248" t="str">
            <v>S</v>
          </cell>
          <cell r="C1248" t="str">
            <v>ACCENT PNLS-DR SWITCH-PIANOBLK</v>
          </cell>
          <cell r="D1248">
            <v>125.37</v>
          </cell>
          <cell r="E1248">
            <v>208.95</v>
          </cell>
          <cell r="F1248">
            <v>0</v>
          </cell>
          <cell r="G1248">
            <v>0</v>
          </cell>
        </row>
        <row r="1249">
          <cell r="A1249" t="str">
            <v>MZ360470EX</v>
          </cell>
          <cell r="B1249" t="str">
            <v>X</v>
          </cell>
          <cell r="C1249" t="str">
            <v>NAVIGATION UNIT</v>
          </cell>
          <cell r="D1249">
            <v>3024.7</v>
          </cell>
          <cell r="E1249">
            <v>4032.95</v>
          </cell>
          <cell r="F1249">
            <v>0</v>
          </cell>
          <cell r="G1249">
            <v>0</v>
          </cell>
        </row>
        <row r="1250">
          <cell r="A1250" t="str">
            <v>MZ360472EX</v>
          </cell>
          <cell r="B1250" t="str">
            <v>F</v>
          </cell>
          <cell r="C1250" t="str">
            <v>NAVIGATION INSTALL KIT</v>
          </cell>
          <cell r="D1250">
            <v>234.57</v>
          </cell>
          <cell r="E1250">
            <v>390.95</v>
          </cell>
          <cell r="F1250">
            <v>0</v>
          </cell>
          <cell r="G1250">
            <v>0</v>
          </cell>
        </row>
        <row r="1251">
          <cell r="A1251" t="str">
            <v>MZ360473EX</v>
          </cell>
          <cell r="B1251" t="str">
            <v>X</v>
          </cell>
          <cell r="C1251" t="str">
            <v>NAVIGATION INSTALL KIT</v>
          </cell>
          <cell r="D1251">
            <v>234.06</v>
          </cell>
          <cell r="E1251">
            <v>390.95</v>
          </cell>
          <cell r="F1251">
            <v>0</v>
          </cell>
          <cell r="G1251">
            <v>0</v>
          </cell>
        </row>
        <row r="1252">
          <cell r="A1252" t="str">
            <v>MZ360474EX</v>
          </cell>
          <cell r="B1252" t="str">
            <v>F</v>
          </cell>
          <cell r="C1252" t="str">
            <v>NAVIGATION DISPLAY UNIT</v>
          </cell>
          <cell r="D1252">
            <v>2599.17</v>
          </cell>
          <cell r="E1252">
            <v>4331.95</v>
          </cell>
          <cell r="F1252">
            <v>0</v>
          </cell>
          <cell r="G1252">
            <v>0</v>
          </cell>
        </row>
        <row r="1253">
          <cell r="A1253" t="str">
            <v>MZ360477EX</v>
          </cell>
          <cell r="B1253" t="str">
            <v>S</v>
          </cell>
          <cell r="C1253" t="str">
            <v>Remote Starter - NOT CANADA</v>
          </cell>
          <cell r="D1253">
            <v>581.95000000000005</v>
          </cell>
          <cell r="E1253">
            <v>757.95</v>
          </cell>
          <cell r="F1253">
            <v>0</v>
          </cell>
          <cell r="G1253">
            <v>0</v>
          </cell>
        </row>
        <row r="1254">
          <cell r="A1254" t="str">
            <v>MZ360478EX</v>
          </cell>
          <cell r="B1254" t="str">
            <v>U</v>
          </cell>
          <cell r="C1254" t="str">
            <v>FLOOR MATS,EVOLUTION FE</v>
          </cell>
          <cell r="D1254">
            <v>107.37</v>
          </cell>
          <cell r="E1254">
            <v>178.95</v>
          </cell>
          <cell r="F1254">
            <v>0</v>
          </cell>
          <cell r="G1254">
            <v>0</v>
          </cell>
        </row>
        <row r="1255">
          <cell r="A1255" t="str">
            <v>MZ360481EX</v>
          </cell>
          <cell r="B1255" t="str">
            <v>S</v>
          </cell>
          <cell r="C1255" t="str">
            <v>LED FOG LAMP</v>
          </cell>
          <cell r="D1255">
            <v>419.97</v>
          </cell>
          <cell r="E1255">
            <v>699.95</v>
          </cell>
          <cell r="F1255">
            <v>0</v>
          </cell>
          <cell r="G1255">
            <v>0</v>
          </cell>
        </row>
        <row r="1256">
          <cell r="A1256" t="str">
            <v>MZ360482EX</v>
          </cell>
          <cell r="B1256" t="str">
            <v>D</v>
          </cell>
          <cell r="C1256" t="str">
            <v>LED FOG LAMP UPGRADE KIT</v>
          </cell>
          <cell r="D1256">
            <v>389.97</v>
          </cell>
          <cell r="E1256">
            <v>649.95000000000005</v>
          </cell>
          <cell r="F1256">
            <v>6</v>
          </cell>
          <cell r="G1256">
            <v>0</v>
          </cell>
        </row>
        <row r="1257">
          <cell r="A1257" t="str">
            <v>MZ360500EX</v>
          </cell>
          <cell r="B1257" t="str">
            <v>Z</v>
          </cell>
          <cell r="C1257" t="str">
            <v>SMARTPHONE DISPLAY AUDIO (MGN)</v>
          </cell>
          <cell r="D1257">
            <v>849.02</v>
          </cell>
          <cell r="E1257">
            <v>1415.95</v>
          </cell>
          <cell r="F1257">
            <v>0</v>
          </cell>
          <cell r="G1257">
            <v>0</v>
          </cell>
        </row>
        <row r="1258">
          <cell r="A1258" t="str">
            <v>MZ360504EX</v>
          </cell>
          <cell r="B1258" t="str">
            <v>F</v>
          </cell>
          <cell r="C1258" t="str">
            <v>INTERIOR ACCENT PANEL - PIANO BLACK, CVT</v>
          </cell>
          <cell r="D1258">
            <v>277.17</v>
          </cell>
          <cell r="E1258">
            <v>461.95</v>
          </cell>
          <cell r="F1258">
            <v>0</v>
          </cell>
          <cell r="G1258">
            <v>0</v>
          </cell>
        </row>
        <row r="1259">
          <cell r="A1259" t="str">
            <v>MZ360505EX</v>
          </cell>
          <cell r="B1259" t="str">
            <v>F</v>
          </cell>
          <cell r="C1259" t="str">
            <v>INTERIOR ACCENT PANEL - PIANO BLACK, CVT</v>
          </cell>
          <cell r="D1259">
            <v>277.17</v>
          </cell>
          <cell r="E1259">
            <v>461.95</v>
          </cell>
          <cell r="F1259">
            <v>0</v>
          </cell>
          <cell r="G1259">
            <v>0</v>
          </cell>
        </row>
        <row r="1260">
          <cell r="A1260" t="str">
            <v>MZ360507EX</v>
          </cell>
          <cell r="B1260" t="str">
            <v>F</v>
          </cell>
          <cell r="C1260" t="str">
            <v>INTERIOR GARNISH</v>
          </cell>
          <cell r="D1260">
            <v>277.17</v>
          </cell>
          <cell r="E1260">
            <v>461.95</v>
          </cell>
          <cell r="F1260">
            <v>0</v>
          </cell>
          <cell r="G1260">
            <v>0</v>
          </cell>
        </row>
        <row r="1261">
          <cell r="A1261" t="str">
            <v>MZ360508EX</v>
          </cell>
          <cell r="B1261" t="str">
            <v>F</v>
          </cell>
          <cell r="C1261" t="str">
            <v>INTERIOR GARNISH</v>
          </cell>
          <cell r="D1261">
            <v>277.17</v>
          </cell>
          <cell r="E1261">
            <v>461.95</v>
          </cell>
          <cell r="F1261">
            <v>0</v>
          </cell>
          <cell r="G1261">
            <v>0</v>
          </cell>
        </row>
        <row r="1262">
          <cell r="A1262" t="str">
            <v>MZ360510EX</v>
          </cell>
          <cell r="B1262" t="str">
            <v>F</v>
          </cell>
          <cell r="C1262" t="str">
            <v>INTERIOR GARNISH</v>
          </cell>
          <cell r="D1262">
            <v>277.17</v>
          </cell>
          <cell r="E1262">
            <v>461.95</v>
          </cell>
          <cell r="F1262">
            <v>0</v>
          </cell>
          <cell r="G1262">
            <v>0</v>
          </cell>
        </row>
        <row r="1263">
          <cell r="A1263" t="str">
            <v>MZ360511EX</v>
          </cell>
          <cell r="B1263" t="str">
            <v>F</v>
          </cell>
          <cell r="C1263" t="str">
            <v>INTERIOR GARNISH</v>
          </cell>
          <cell r="D1263">
            <v>277.17</v>
          </cell>
          <cell r="E1263">
            <v>461.95</v>
          </cell>
          <cell r="F1263">
            <v>0</v>
          </cell>
          <cell r="G1263">
            <v>0</v>
          </cell>
        </row>
        <row r="1264">
          <cell r="A1264" t="str">
            <v>MZ360512EX</v>
          </cell>
          <cell r="B1264" t="str">
            <v>Z</v>
          </cell>
          <cell r="C1264" t="str">
            <v>FLOOR MAT SET,FINAL EDITION</v>
          </cell>
          <cell r="D1264">
            <v>107.37</v>
          </cell>
          <cell r="E1264">
            <v>178.95</v>
          </cell>
          <cell r="F1264">
            <v>0</v>
          </cell>
          <cell r="G1264">
            <v>0</v>
          </cell>
        </row>
        <row r="1265">
          <cell r="A1265" t="str">
            <v>MZ360513EX</v>
          </cell>
          <cell r="B1265" t="str">
            <v>Q</v>
          </cell>
          <cell r="C1265" t="str">
            <v>SPEAKER RING ILLUMINATION(WITH</v>
          </cell>
          <cell r="D1265">
            <v>331.77</v>
          </cell>
          <cell r="E1265">
            <v>552.95000000000005</v>
          </cell>
          <cell r="F1265">
            <v>10</v>
          </cell>
          <cell r="G1265">
            <v>0</v>
          </cell>
        </row>
        <row r="1266">
          <cell r="A1266" t="str">
            <v>MZ360532EX</v>
          </cell>
          <cell r="B1266" t="str">
            <v>Q</v>
          </cell>
          <cell r="C1266" t="str">
            <v>GLOBAL NAV UNIT INSTALL KIT</v>
          </cell>
          <cell r="D1266">
            <v>213.57</v>
          </cell>
          <cell r="E1266">
            <v>355.95</v>
          </cell>
          <cell r="F1266">
            <v>0</v>
          </cell>
          <cell r="G1266">
            <v>0</v>
          </cell>
        </row>
        <row r="1267">
          <cell r="A1267" t="str">
            <v>MZ360535EX</v>
          </cell>
          <cell r="B1267" t="str">
            <v>S</v>
          </cell>
          <cell r="C1267" t="str">
            <v>GLOBAL NAV UNIT INSTALL KIT</v>
          </cell>
          <cell r="D1267">
            <v>192.57</v>
          </cell>
          <cell r="E1267">
            <v>320.95</v>
          </cell>
          <cell r="F1267">
            <v>1</v>
          </cell>
          <cell r="G1267">
            <v>0</v>
          </cell>
        </row>
        <row r="1268">
          <cell r="A1268" t="str">
            <v>MZ360536EX</v>
          </cell>
          <cell r="B1268" t="str">
            <v>Z</v>
          </cell>
          <cell r="C1268" t="str">
            <v>GLOBAL NAV UNIT INSTALL KIT</v>
          </cell>
          <cell r="D1268">
            <v>192.57</v>
          </cell>
          <cell r="E1268">
            <v>320.95</v>
          </cell>
          <cell r="F1268">
            <v>1</v>
          </cell>
          <cell r="G1268">
            <v>0</v>
          </cell>
        </row>
        <row r="1269">
          <cell r="A1269" t="str">
            <v>MZ360542EX</v>
          </cell>
          <cell r="B1269" t="str">
            <v>S</v>
          </cell>
          <cell r="C1269" t="str">
            <v>REAR AIR DAM, BLUE T69</v>
          </cell>
          <cell r="D1269">
            <v>357.47</v>
          </cell>
          <cell r="E1269">
            <v>549.95000000000005</v>
          </cell>
          <cell r="F1269">
            <v>0</v>
          </cell>
          <cell r="G1269">
            <v>0</v>
          </cell>
        </row>
        <row r="1270">
          <cell r="A1270" t="str">
            <v>MZ360543EX</v>
          </cell>
          <cell r="B1270" t="str">
            <v>S</v>
          </cell>
          <cell r="C1270" t="str">
            <v>REAR AIR DAM, RED P19</v>
          </cell>
          <cell r="D1270">
            <v>357.47</v>
          </cell>
          <cell r="E1270">
            <v>549.95000000000005</v>
          </cell>
          <cell r="F1270">
            <v>0</v>
          </cell>
          <cell r="G1270">
            <v>0</v>
          </cell>
        </row>
        <row r="1271">
          <cell r="A1271" t="str">
            <v>MZ360544EX</v>
          </cell>
          <cell r="B1271" t="str">
            <v>S</v>
          </cell>
          <cell r="C1271" t="str">
            <v>REAR AIR DAM, BLACK X08</v>
          </cell>
          <cell r="D1271">
            <v>357.47</v>
          </cell>
          <cell r="E1271">
            <v>549.95000000000005</v>
          </cell>
          <cell r="F1271">
            <v>0</v>
          </cell>
          <cell r="G1271">
            <v>0</v>
          </cell>
        </row>
        <row r="1272">
          <cell r="A1272" t="str">
            <v>MZ360545EX</v>
          </cell>
          <cell r="B1272" t="str">
            <v>S</v>
          </cell>
          <cell r="C1272" t="str">
            <v>REAR AIR DAM, SILVER A66</v>
          </cell>
          <cell r="D1272">
            <v>357.47</v>
          </cell>
          <cell r="E1272">
            <v>549.95000000000005</v>
          </cell>
          <cell r="F1272">
            <v>0</v>
          </cell>
          <cell r="G1272">
            <v>0</v>
          </cell>
        </row>
        <row r="1273">
          <cell r="A1273" t="str">
            <v>MZ360546EX</v>
          </cell>
          <cell r="B1273" t="str">
            <v>S</v>
          </cell>
          <cell r="C1273" t="str">
            <v>REAR AIR DAM, WHITE PEARL W54</v>
          </cell>
          <cell r="D1273">
            <v>357.47</v>
          </cell>
          <cell r="E1273">
            <v>549.95000000000005</v>
          </cell>
          <cell r="F1273">
            <v>0</v>
          </cell>
          <cell r="G1273">
            <v>0</v>
          </cell>
        </row>
        <row r="1274">
          <cell r="A1274" t="str">
            <v>MZ360548EX</v>
          </cell>
          <cell r="B1274" t="str">
            <v>S</v>
          </cell>
          <cell r="C1274" t="str">
            <v>REAR AIR DAM, GRAY U17</v>
          </cell>
          <cell r="D1274">
            <v>357.47</v>
          </cell>
          <cell r="E1274">
            <v>549.95000000000005</v>
          </cell>
          <cell r="F1274">
            <v>0</v>
          </cell>
          <cell r="G1274">
            <v>0</v>
          </cell>
        </row>
        <row r="1275">
          <cell r="A1275" t="str">
            <v>MZ360549EX</v>
          </cell>
          <cell r="B1275" t="str">
            <v>S</v>
          </cell>
          <cell r="C1275" t="str">
            <v>REAR AIR DAM, WINE RED P57</v>
          </cell>
          <cell r="D1275">
            <v>357.47</v>
          </cell>
          <cell r="E1275">
            <v>549.95000000000005</v>
          </cell>
          <cell r="F1275">
            <v>0</v>
          </cell>
          <cell r="G1275">
            <v>0</v>
          </cell>
        </row>
        <row r="1276">
          <cell r="A1276" t="str">
            <v>MZ360550EX</v>
          </cell>
          <cell r="B1276" t="str">
            <v>S</v>
          </cell>
          <cell r="C1276" t="str">
            <v>REAR PARK ASSIST KIT, BLUE T69</v>
          </cell>
          <cell r="D1276">
            <v>266.47000000000003</v>
          </cell>
          <cell r="E1276">
            <v>409.95</v>
          </cell>
          <cell r="F1276">
            <v>0</v>
          </cell>
          <cell r="G1276">
            <v>0</v>
          </cell>
        </row>
        <row r="1277">
          <cell r="A1277" t="str">
            <v>MZ360551EX</v>
          </cell>
          <cell r="B1277" t="str">
            <v>S</v>
          </cell>
          <cell r="C1277" t="str">
            <v>REAR PARK ASSIST KIT, RED P19</v>
          </cell>
          <cell r="D1277">
            <v>266.47000000000003</v>
          </cell>
          <cell r="E1277">
            <v>409.95</v>
          </cell>
          <cell r="F1277">
            <v>0</v>
          </cell>
          <cell r="G1277">
            <v>0</v>
          </cell>
        </row>
        <row r="1278">
          <cell r="A1278" t="str">
            <v>MZ360552EX</v>
          </cell>
          <cell r="B1278" t="str">
            <v>S</v>
          </cell>
          <cell r="C1278" t="str">
            <v>REAR PARK ASSIST KIT, BLACK X08</v>
          </cell>
          <cell r="D1278">
            <v>266.47000000000003</v>
          </cell>
          <cell r="E1278">
            <v>409.95</v>
          </cell>
          <cell r="F1278">
            <v>0</v>
          </cell>
          <cell r="G1278">
            <v>0</v>
          </cell>
        </row>
        <row r="1279">
          <cell r="A1279" t="str">
            <v>MZ360553EX</v>
          </cell>
          <cell r="B1279" t="str">
            <v>S</v>
          </cell>
          <cell r="C1279" t="str">
            <v>REAR PARK ASSIST KIT, SILVER A66</v>
          </cell>
          <cell r="D1279">
            <v>266.47000000000003</v>
          </cell>
          <cell r="E1279">
            <v>409.95</v>
          </cell>
          <cell r="F1279">
            <v>0</v>
          </cell>
          <cell r="G1279">
            <v>0</v>
          </cell>
        </row>
        <row r="1280">
          <cell r="A1280" t="str">
            <v>MZ360554EX</v>
          </cell>
          <cell r="B1280" t="str">
            <v>S</v>
          </cell>
          <cell r="C1280" t="str">
            <v>REAR PARK ASSIST KIT, WHITE PEARL W54</v>
          </cell>
          <cell r="D1280">
            <v>266.47000000000003</v>
          </cell>
          <cell r="E1280">
            <v>409.95</v>
          </cell>
          <cell r="F1280">
            <v>0</v>
          </cell>
          <cell r="G1280">
            <v>0</v>
          </cell>
        </row>
        <row r="1281">
          <cell r="A1281" t="str">
            <v>MZ360556EX</v>
          </cell>
          <cell r="B1281" t="str">
            <v>S</v>
          </cell>
          <cell r="C1281" t="str">
            <v>REAR PARK ASSIST KIT, GRAY U17</v>
          </cell>
          <cell r="D1281">
            <v>266.47000000000003</v>
          </cell>
          <cell r="E1281">
            <v>409.95</v>
          </cell>
          <cell r="F1281">
            <v>0</v>
          </cell>
          <cell r="G1281">
            <v>0</v>
          </cell>
        </row>
        <row r="1282">
          <cell r="A1282" t="str">
            <v>MZ360557EX</v>
          </cell>
          <cell r="B1282" t="str">
            <v>S</v>
          </cell>
          <cell r="C1282" t="str">
            <v>REAR PARK ASSIST KIT, WINE RED P57</v>
          </cell>
          <cell r="D1282">
            <v>266.47000000000003</v>
          </cell>
          <cell r="E1282">
            <v>409.95</v>
          </cell>
          <cell r="F1282">
            <v>0</v>
          </cell>
          <cell r="G1282">
            <v>0</v>
          </cell>
        </row>
        <row r="1283">
          <cell r="A1283" t="str">
            <v>MZ360562EX</v>
          </cell>
          <cell r="B1283" t="str">
            <v>Q</v>
          </cell>
          <cell r="C1283" t="str">
            <v>FOG LAMPS, FRONT, HALOGEN 2017</v>
          </cell>
          <cell r="D1283">
            <v>293.97000000000003</v>
          </cell>
          <cell r="E1283">
            <v>489.95</v>
          </cell>
          <cell r="F1283">
            <v>2</v>
          </cell>
          <cell r="G1283">
            <v>0</v>
          </cell>
        </row>
        <row r="1284">
          <cell r="A1284" t="str">
            <v>MZ360570EX</v>
          </cell>
          <cell r="B1284" t="str">
            <v>S</v>
          </cell>
          <cell r="C1284" t="str">
            <v>MGN UNIT - N/A -SUB WOOFER</v>
          </cell>
          <cell r="D1284">
            <v>929.37</v>
          </cell>
          <cell r="E1284">
            <v>1548.95</v>
          </cell>
          <cell r="F1284">
            <v>1</v>
          </cell>
          <cell r="G1284">
            <v>0</v>
          </cell>
        </row>
        <row r="1285">
          <cell r="A1285" t="str">
            <v>MZ360572EX</v>
          </cell>
          <cell r="B1285" t="str">
            <v>S</v>
          </cell>
          <cell r="C1285" t="str">
            <v>DOOR SWITCH PANEL &lt;LHD&gt;</v>
          </cell>
          <cell r="D1285">
            <v>127.77</v>
          </cell>
          <cell r="E1285">
            <v>212.95</v>
          </cell>
          <cell r="F1285">
            <v>0</v>
          </cell>
          <cell r="G1285">
            <v>0</v>
          </cell>
        </row>
        <row r="1286">
          <cell r="A1286" t="str">
            <v>MZ360573EX</v>
          </cell>
          <cell r="B1286" t="str">
            <v>D</v>
          </cell>
          <cell r="C1286" t="str">
            <v>LUGGAGE  MATS</v>
          </cell>
          <cell r="D1286">
            <v>71.37</v>
          </cell>
          <cell r="E1286">
            <v>118.95</v>
          </cell>
          <cell r="F1286">
            <v>13</v>
          </cell>
          <cell r="G1286">
            <v>0</v>
          </cell>
        </row>
        <row r="1287">
          <cell r="A1287" t="str">
            <v>MZ360575EX</v>
          </cell>
          <cell r="B1287" t="str">
            <v>U</v>
          </cell>
          <cell r="C1287" t="str">
            <v>FLOOR MATS STD LHD</v>
          </cell>
          <cell r="D1287">
            <v>53.97</v>
          </cell>
          <cell r="E1287">
            <v>89.95</v>
          </cell>
          <cell r="F1287">
            <v>0</v>
          </cell>
          <cell r="G1287">
            <v>0</v>
          </cell>
        </row>
        <row r="1288">
          <cell r="A1288" t="str">
            <v>MZ360585EX</v>
          </cell>
          <cell r="B1288" t="str">
            <v>F</v>
          </cell>
          <cell r="C1288" t="str">
            <v>PARK ASSIST SENSORS, P62 RED</v>
          </cell>
          <cell r="D1288">
            <v>0.01</v>
          </cell>
          <cell r="E1288">
            <v>0.01</v>
          </cell>
          <cell r="F1288">
            <v>0</v>
          </cell>
          <cell r="G1288">
            <v>0</v>
          </cell>
        </row>
        <row r="1289">
          <cell r="A1289" t="str">
            <v>MZ360586EX</v>
          </cell>
          <cell r="B1289" t="str">
            <v>F</v>
          </cell>
          <cell r="C1289" t="str">
            <v>PARK ASSIST SENSORS, W13 WHITE</v>
          </cell>
          <cell r="D1289">
            <v>0.01</v>
          </cell>
          <cell r="E1289">
            <v>0.01</v>
          </cell>
          <cell r="F1289">
            <v>0</v>
          </cell>
          <cell r="G1289">
            <v>0</v>
          </cell>
        </row>
        <row r="1290">
          <cell r="A1290" t="str">
            <v>MZ360587EX</v>
          </cell>
          <cell r="B1290" t="str">
            <v>F</v>
          </cell>
          <cell r="C1290" t="str">
            <v>PARK ASSIST SENSORS, W37 WHITE</v>
          </cell>
          <cell r="D1290">
            <v>0.01</v>
          </cell>
          <cell r="E1290">
            <v>0.01</v>
          </cell>
          <cell r="F1290">
            <v>0</v>
          </cell>
          <cell r="G1290">
            <v>0</v>
          </cell>
        </row>
        <row r="1291">
          <cell r="A1291" t="str">
            <v>MZ360588EX</v>
          </cell>
          <cell r="B1291" t="str">
            <v>F</v>
          </cell>
          <cell r="C1291" t="str">
            <v>PARK ASSIST SENSORS, X42 BLACK</v>
          </cell>
          <cell r="D1291">
            <v>0.01</v>
          </cell>
          <cell r="E1291">
            <v>0.01</v>
          </cell>
          <cell r="F1291">
            <v>0</v>
          </cell>
          <cell r="G1291">
            <v>0</v>
          </cell>
        </row>
        <row r="1292">
          <cell r="A1292" t="str">
            <v>MZ360589EX</v>
          </cell>
          <cell r="B1292" t="str">
            <v>F</v>
          </cell>
          <cell r="C1292" t="str">
            <v>PARK ASSIST SENSORS, U25 SILVER</v>
          </cell>
          <cell r="D1292">
            <v>0.01</v>
          </cell>
          <cell r="E1292">
            <v>0.01</v>
          </cell>
          <cell r="F1292">
            <v>0</v>
          </cell>
          <cell r="G1292">
            <v>0</v>
          </cell>
        </row>
        <row r="1293">
          <cell r="A1293" t="str">
            <v>MZ360590EX</v>
          </cell>
          <cell r="B1293" t="str">
            <v>F</v>
          </cell>
          <cell r="C1293" t="str">
            <v>PARK ASSIST SENSORS, U17 GRAY</v>
          </cell>
          <cell r="D1293">
            <v>0.01</v>
          </cell>
          <cell r="E1293">
            <v>0.01</v>
          </cell>
          <cell r="F1293">
            <v>0</v>
          </cell>
          <cell r="G1293">
            <v>0</v>
          </cell>
        </row>
        <row r="1294">
          <cell r="A1294" t="str">
            <v>MZ360591EX</v>
          </cell>
          <cell r="B1294" t="str">
            <v>F</v>
          </cell>
          <cell r="C1294" t="str">
            <v>PARK ASSIST SENSORS, D06 BLUE</v>
          </cell>
          <cell r="D1294">
            <v>0.01</v>
          </cell>
          <cell r="E1294">
            <v>0.01</v>
          </cell>
          <cell r="F1294">
            <v>0</v>
          </cell>
          <cell r="G1294">
            <v>0</v>
          </cell>
        </row>
        <row r="1295">
          <cell r="A1295" t="str">
            <v>MZ360592EX</v>
          </cell>
          <cell r="B1295" t="str">
            <v>F</v>
          </cell>
          <cell r="C1295" t="str">
            <v>PARK ASSIST SENSORS, C21 BRONZE</v>
          </cell>
          <cell r="D1295">
            <v>0.01</v>
          </cell>
          <cell r="E1295">
            <v>0.01</v>
          </cell>
          <cell r="F1295">
            <v>0</v>
          </cell>
          <cell r="G1295">
            <v>0</v>
          </cell>
        </row>
        <row r="1296">
          <cell r="A1296" t="str">
            <v>MZ360593EX</v>
          </cell>
          <cell r="B1296" t="str">
            <v>F</v>
          </cell>
          <cell r="C1296" t="str">
            <v>PARK ASSIST ECU</v>
          </cell>
          <cell r="D1296">
            <v>0.01</v>
          </cell>
          <cell r="E1296">
            <v>0.01</v>
          </cell>
          <cell r="F1296">
            <v>0</v>
          </cell>
          <cell r="G1296">
            <v>0</v>
          </cell>
        </row>
        <row r="1297">
          <cell r="A1297" t="str">
            <v>MZ360600EX</v>
          </cell>
          <cell r="B1297" t="str">
            <v>Z</v>
          </cell>
          <cell r="C1297" t="str">
            <v>MGN UNIT - N/A -SUB WOOFER</v>
          </cell>
          <cell r="D1297">
            <v>826.17</v>
          </cell>
          <cell r="E1297">
            <v>1376.95</v>
          </cell>
          <cell r="F1297">
            <v>0</v>
          </cell>
          <cell r="G1297">
            <v>0</v>
          </cell>
        </row>
        <row r="1298">
          <cell r="A1298" t="str">
            <v>MZ360626EX</v>
          </cell>
          <cell r="B1298" t="str">
            <v>S</v>
          </cell>
          <cell r="C1298" t="str">
            <v>DOOR SWITCH PANEL &lt;LHD&gt;</v>
          </cell>
          <cell r="D1298">
            <v>125.97</v>
          </cell>
          <cell r="E1298">
            <v>209.95</v>
          </cell>
          <cell r="F1298">
            <v>0</v>
          </cell>
          <cell r="G1298">
            <v>0</v>
          </cell>
        </row>
        <row r="1299">
          <cell r="A1299" t="str">
            <v>MZ360628EX</v>
          </cell>
          <cell r="B1299" t="str">
            <v>Q</v>
          </cell>
          <cell r="C1299" t="str">
            <v>FLOOR GUARD HIGH EDGE FOR RE</v>
          </cell>
          <cell r="D1299">
            <v>118.62</v>
          </cell>
          <cell r="E1299">
            <v>177.95</v>
          </cell>
          <cell r="F1299">
            <v>72</v>
          </cell>
          <cell r="G1299">
            <v>0</v>
          </cell>
        </row>
        <row r="1300">
          <cell r="A1300" t="str">
            <v>MZ360629EX</v>
          </cell>
          <cell r="B1300" t="str">
            <v>Q</v>
          </cell>
          <cell r="C1300" t="str">
            <v>FLOOR GUARD HIGH EDGE FOR PHEV</v>
          </cell>
          <cell r="D1300">
            <v>127.17</v>
          </cell>
          <cell r="E1300">
            <v>211.95</v>
          </cell>
          <cell r="F1300">
            <v>193</v>
          </cell>
          <cell r="G1300">
            <v>0</v>
          </cell>
        </row>
        <row r="1301">
          <cell r="A1301" t="str">
            <v>MZ360655EX</v>
          </cell>
          <cell r="B1301" t="str">
            <v>D</v>
          </cell>
          <cell r="C1301" t="str">
            <v>FLOOR MAT SET NS22</v>
          </cell>
          <cell r="D1301">
            <v>53.97</v>
          </cell>
          <cell r="E1301">
            <v>89.95</v>
          </cell>
          <cell r="F1301">
            <v>3</v>
          </cell>
          <cell r="G1301">
            <v>0</v>
          </cell>
        </row>
        <row r="1302">
          <cell r="A1302" t="str">
            <v>MZ360657EX</v>
          </cell>
          <cell r="B1302" t="str">
            <v>D</v>
          </cell>
          <cell r="C1302" t="str">
            <v>SPORTS PEDAL ECLIPSE</v>
          </cell>
          <cell r="D1302">
            <v>200.37</v>
          </cell>
          <cell r="E1302">
            <v>333.95</v>
          </cell>
          <cell r="F1302">
            <v>5</v>
          </cell>
          <cell r="G1302">
            <v>0</v>
          </cell>
        </row>
        <row r="1303">
          <cell r="A1303" t="str">
            <v>MZ360658EX</v>
          </cell>
          <cell r="B1303" t="str">
            <v>X</v>
          </cell>
          <cell r="C1303" t="str">
            <v>SPORTSPEDAL</v>
          </cell>
          <cell r="D1303">
            <v>187.17</v>
          </cell>
          <cell r="E1303">
            <v>311.95</v>
          </cell>
          <cell r="F1303">
            <v>0</v>
          </cell>
          <cell r="G1303">
            <v>0</v>
          </cell>
        </row>
        <row r="1304">
          <cell r="A1304" t="str">
            <v>MZ360665EX</v>
          </cell>
          <cell r="B1304" t="str">
            <v>C</v>
          </cell>
          <cell r="C1304" t="str">
            <v>FLOORMATS- RVR</v>
          </cell>
          <cell r="D1304">
            <v>64.17</v>
          </cell>
          <cell r="E1304">
            <v>106.95</v>
          </cell>
          <cell r="F1304">
            <v>54</v>
          </cell>
          <cell r="G1304">
            <v>60</v>
          </cell>
        </row>
        <row r="1305">
          <cell r="A1305" t="str">
            <v>MZ360667EX</v>
          </cell>
          <cell r="B1305" t="str">
            <v>Q</v>
          </cell>
          <cell r="C1305" t="str">
            <v>FLOOR MATS MIRAGE</v>
          </cell>
          <cell r="D1305">
            <v>46.17</v>
          </cell>
          <cell r="E1305">
            <v>76.95</v>
          </cell>
          <cell r="F1305">
            <v>9</v>
          </cell>
          <cell r="G1305">
            <v>0</v>
          </cell>
        </row>
        <row r="1306">
          <cell r="A1306" t="str">
            <v>MZ360668EX</v>
          </cell>
          <cell r="B1306" t="str">
            <v>F</v>
          </cell>
          <cell r="C1306" t="str">
            <v>LUGGAGE MAT</v>
          </cell>
          <cell r="D1306">
            <v>57.57</v>
          </cell>
          <cell r="E1306">
            <v>95.95</v>
          </cell>
          <cell r="F1306">
            <v>0</v>
          </cell>
          <cell r="G1306">
            <v>0</v>
          </cell>
        </row>
        <row r="1307">
          <cell r="A1307" t="str">
            <v>MZ360677EX</v>
          </cell>
          <cell r="B1307" t="str">
            <v>D</v>
          </cell>
          <cell r="C1307" t="str">
            <v>FOG LAMP KIT 2022 OUTLANDER</v>
          </cell>
          <cell r="D1307">
            <v>364.17</v>
          </cell>
          <cell r="E1307">
            <v>606.95000000000005</v>
          </cell>
          <cell r="F1307">
            <v>8</v>
          </cell>
          <cell r="G1307">
            <v>0</v>
          </cell>
        </row>
        <row r="1308">
          <cell r="A1308" t="str">
            <v>MZ360678EX</v>
          </cell>
          <cell r="B1308" t="str">
            <v>F</v>
          </cell>
          <cell r="C1308" t="str">
            <v>SPORTSPEDAL</v>
          </cell>
          <cell r="D1308">
            <v>200.37</v>
          </cell>
          <cell r="E1308">
            <v>333.95</v>
          </cell>
          <cell r="F1308">
            <v>0</v>
          </cell>
          <cell r="G1308">
            <v>0</v>
          </cell>
        </row>
        <row r="1309">
          <cell r="A1309" t="str">
            <v>MZ360680EX</v>
          </cell>
          <cell r="B1309" t="str">
            <v>D</v>
          </cell>
          <cell r="C1309" t="str">
            <v>DOOR SWITCH PANEL CARBON</v>
          </cell>
          <cell r="D1309">
            <v>173.37</v>
          </cell>
          <cell r="E1309">
            <v>288.95</v>
          </cell>
          <cell r="F1309">
            <v>15</v>
          </cell>
          <cell r="G1309">
            <v>0</v>
          </cell>
        </row>
        <row r="1310">
          <cell r="A1310" t="str">
            <v>MZ360681EX</v>
          </cell>
          <cell r="B1310" t="str">
            <v>N</v>
          </cell>
          <cell r="C1310" t="str">
            <v>M BZL GNS</v>
          </cell>
          <cell r="D1310">
            <v>97.17</v>
          </cell>
          <cell r="E1310">
            <v>159.94999999999999</v>
          </cell>
          <cell r="F1310">
            <v>0</v>
          </cell>
          <cell r="G1310">
            <v>0</v>
          </cell>
        </row>
        <row r="1311">
          <cell r="A1311" t="str">
            <v>MZ360687EX</v>
          </cell>
          <cell r="B1311" t="str">
            <v>D</v>
          </cell>
          <cell r="C1311" t="str">
            <v>CONSOLE PANEL CARBON</v>
          </cell>
          <cell r="D1311">
            <v>159.57</v>
          </cell>
          <cell r="E1311">
            <v>265.95</v>
          </cell>
          <cell r="F1311">
            <v>28</v>
          </cell>
          <cell r="G1311">
            <v>0</v>
          </cell>
        </row>
        <row r="1312">
          <cell r="A1312" t="str">
            <v>MZ360700EX</v>
          </cell>
          <cell r="B1312" t="str">
            <v>X</v>
          </cell>
          <cell r="C1312" t="str">
            <v>PARK SENSOR FR FULL KIT(IN</v>
          </cell>
          <cell r="D1312">
            <v>293.97000000000003</v>
          </cell>
          <cell r="E1312">
            <v>489.95</v>
          </cell>
          <cell r="F1312">
            <v>0</v>
          </cell>
          <cell r="G1312">
            <v>0</v>
          </cell>
        </row>
        <row r="1313">
          <cell r="A1313" t="str">
            <v>MZ360701EX</v>
          </cell>
          <cell r="B1313" t="str">
            <v>X</v>
          </cell>
          <cell r="C1313" t="str">
            <v>PARK SENSOR FR FULL KIT(IN</v>
          </cell>
          <cell r="D1313">
            <v>0.01</v>
          </cell>
          <cell r="E1313">
            <v>0</v>
          </cell>
          <cell r="F1313">
            <v>0</v>
          </cell>
          <cell r="G1313">
            <v>0</v>
          </cell>
        </row>
        <row r="1314">
          <cell r="A1314" t="str">
            <v>MZ360702EX</v>
          </cell>
          <cell r="B1314" t="str">
            <v>Q</v>
          </cell>
          <cell r="C1314" t="str">
            <v>PARK SENSOR FR FULL KIT(IN</v>
          </cell>
          <cell r="D1314">
            <v>322.27999999999997</v>
          </cell>
          <cell r="E1314">
            <v>537.95000000000005</v>
          </cell>
          <cell r="F1314">
            <v>0</v>
          </cell>
          <cell r="G1314">
            <v>0</v>
          </cell>
        </row>
        <row r="1315">
          <cell r="A1315" t="str">
            <v>MZ360703EX</v>
          </cell>
          <cell r="B1315" t="str">
            <v>Q</v>
          </cell>
          <cell r="C1315" t="str">
            <v>PARK SENSOR FR FULL KIT(IN</v>
          </cell>
          <cell r="D1315">
            <v>322.27999999999997</v>
          </cell>
          <cell r="E1315">
            <v>537.95000000000005</v>
          </cell>
          <cell r="F1315">
            <v>0</v>
          </cell>
          <cell r="G1315">
            <v>0</v>
          </cell>
        </row>
        <row r="1316">
          <cell r="A1316" t="str">
            <v>MZ360704EX</v>
          </cell>
          <cell r="B1316" t="str">
            <v>Q</v>
          </cell>
          <cell r="C1316" t="str">
            <v>PARK SENSOR FR FULL KIT(IN</v>
          </cell>
          <cell r="D1316">
            <v>322.27999999999997</v>
          </cell>
          <cell r="E1316">
            <v>537.95000000000005</v>
          </cell>
          <cell r="F1316">
            <v>0</v>
          </cell>
          <cell r="G1316">
            <v>0</v>
          </cell>
        </row>
        <row r="1317">
          <cell r="A1317" t="str">
            <v>MZ360705EX</v>
          </cell>
          <cell r="B1317" t="str">
            <v>Q</v>
          </cell>
          <cell r="C1317" t="str">
            <v>PARK SENSOR FR FULL KIT(IN</v>
          </cell>
          <cell r="D1317">
            <v>322.27999999999997</v>
          </cell>
          <cell r="E1317">
            <v>537.95000000000005</v>
          </cell>
          <cell r="F1317">
            <v>0</v>
          </cell>
          <cell r="G1317">
            <v>0</v>
          </cell>
        </row>
        <row r="1318">
          <cell r="A1318" t="str">
            <v>MZ360706EX</v>
          </cell>
          <cell r="B1318" t="str">
            <v>Q</v>
          </cell>
          <cell r="C1318" t="str">
            <v>PARK SENSOR FR FULL KIT(IN</v>
          </cell>
          <cell r="D1318">
            <v>322.27999999999997</v>
          </cell>
          <cell r="E1318">
            <v>537.95000000000005</v>
          </cell>
          <cell r="F1318">
            <v>0</v>
          </cell>
          <cell r="G1318">
            <v>0</v>
          </cell>
        </row>
        <row r="1319">
          <cell r="A1319" t="str">
            <v>MZ360707EX</v>
          </cell>
          <cell r="B1319" t="str">
            <v>Q</v>
          </cell>
          <cell r="C1319" t="str">
            <v>PARK SENSOR FR FULL KIT(IN</v>
          </cell>
          <cell r="D1319">
            <v>322.27999999999997</v>
          </cell>
          <cell r="E1319">
            <v>537.95000000000005</v>
          </cell>
          <cell r="F1319">
            <v>0</v>
          </cell>
          <cell r="G1319">
            <v>0</v>
          </cell>
        </row>
        <row r="1320">
          <cell r="A1320" t="str">
            <v>MZ360709EX</v>
          </cell>
          <cell r="B1320" t="str">
            <v>S</v>
          </cell>
          <cell r="C1320" t="str">
            <v>PARK SENSOR FRONT NEWRED/P62</v>
          </cell>
          <cell r="D1320">
            <v>152.97</v>
          </cell>
          <cell r="E1320">
            <v>254.95</v>
          </cell>
          <cell r="F1320">
            <v>0</v>
          </cell>
          <cell r="G1320">
            <v>0</v>
          </cell>
        </row>
        <row r="1321">
          <cell r="A1321" t="str">
            <v>MZ360710EX</v>
          </cell>
          <cell r="B1321" t="str">
            <v>S</v>
          </cell>
          <cell r="C1321" t="str">
            <v>PARK SENSOR FRONT WHITE P/W13</v>
          </cell>
          <cell r="D1321">
            <v>163.77000000000001</v>
          </cell>
          <cell r="E1321">
            <v>272.95</v>
          </cell>
          <cell r="F1321">
            <v>0</v>
          </cell>
          <cell r="G1321">
            <v>0</v>
          </cell>
        </row>
        <row r="1322">
          <cell r="A1322" t="str">
            <v>MZ360711EX</v>
          </cell>
          <cell r="B1322" t="str">
            <v>S</v>
          </cell>
          <cell r="C1322" t="str">
            <v>PARK SENSOR FRONT WHITE S/W37</v>
          </cell>
          <cell r="D1322">
            <v>152.97</v>
          </cell>
          <cell r="E1322">
            <v>254.95</v>
          </cell>
          <cell r="F1322">
            <v>0</v>
          </cell>
          <cell r="G1322">
            <v>0</v>
          </cell>
        </row>
        <row r="1323">
          <cell r="A1323" t="str">
            <v>MZ360712EX</v>
          </cell>
          <cell r="B1323" t="str">
            <v>S</v>
          </cell>
          <cell r="C1323" t="str">
            <v>PARK SENSOR FRONTBLACK MI/X42</v>
          </cell>
          <cell r="D1323">
            <v>152.97</v>
          </cell>
          <cell r="E1323">
            <v>254.95</v>
          </cell>
          <cell r="F1323">
            <v>0</v>
          </cell>
          <cell r="G1323">
            <v>0</v>
          </cell>
        </row>
        <row r="1324">
          <cell r="A1324" t="str">
            <v>MZ360713EX</v>
          </cell>
          <cell r="B1324" t="str">
            <v>S</v>
          </cell>
          <cell r="C1324" t="str">
            <v>PARK SENSOR FRONT SILVER M/U25</v>
          </cell>
          <cell r="D1324">
            <v>163.77000000000001</v>
          </cell>
          <cell r="E1324">
            <v>272.95</v>
          </cell>
          <cell r="F1324">
            <v>0</v>
          </cell>
          <cell r="G1324">
            <v>0</v>
          </cell>
        </row>
        <row r="1325">
          <cell r="A1325" t="str">
            <v>MZ360714EX</v>
          </cell>
          <cell r="B1325" t="str">
            <v>S</v>
          </cell>
          <cell r="C1325" t="str">
            <v>PARK SENSOR FRONT TI GRAY/U17</v>
          </cell>
          <cell r="D1325">
            <v>163.77000000000001</v>
          </cell>
          <cell r="E1325">
            <v>272.95</v>
          </cell>
          <cell r="F1325">
            <v>0</v>
          </cell>
          <cell r="G1325">
            <v>0</v>
          </cell>
        </row>
        <row r="1326">
          <cell r="A1326" t="str">
            <v>MZ360715EX</v>
          </cell>
          <cell r="B1326" t="str">
            <v>S</v>
          </cell>
          <cell r="C1326" t="str">
            <v>PARK SENSOR FRONT SPO BLUE D06</v>
          </cell>
          <cell r="D1326">
            <v>163.77000000000001</v>
          </cell>
          <cell r="E1326">
            <v>272.95</v>
          </cell>
          <cell r="F1326">
            <v>0</v>
          </cell>
          <cell r="G1326">
            <v>0</v>
          </cell>
        </row>
        <row r="1327">
          <cell r="A1327" t="str">
            <v>MZ360716EX</v>
          </cell>
          <cell r="B1327" t="str">
            <v>F</v>
          </cell>
          <cell r="C1327" t="str">
            <v>PARK SENSOR FRONT BRONZ M/C21</v>
          </cell>
          <cell r="D1327">
            <v>152.97</v>
          </cell>
          <cell r="E1327">
            <v>254.95</v>
          </cell>
          <cell r="F1327">
            <v>0</v>
          </cell>
          <cell r="G1327">
            <v>0</v>
          </cell>
        </row>
        <row r="1328">
          <cell r="A1328" t="str">
            <v>MZ360717EX</v>
          </cell>
          <cell r="B1328" t="str">
            <v>S</v>
          </cell>
          <cell r="C1328" t="str">
            <v>PARK SENSOR FRONT RED/P26</v>
          </cell>
          <cell r="D1328">
            <v>152.97</v>
          </cell>
          <cell r="E1328">
            <v>254.95</v>
          </cell>
          <cell r="F1328">
            <v>0</v>
          </cell>
          <cell r="G1328">
            <v>0</v>
          </cell>
        </row>
        <row r="1329">
          <cell r="A1329" t="str">
            <v>MZ360718EX</v>
          </cell>
          <cell r="B1329" t="str">
            <v>S</v>
          </cell>
          <cell r="C1329" t="str">
            <v>PARK ASSIST(RR) RED P62</v>
          </cell>
          <cell r="D1329">
            <v>231.57</v>
          </cell>
          <cell r="E1329">
            <v>385.95</v>
          </cell>
          <cell r="F1329">
            <v>0</v>
          </cell>
          <cell r="G1329">
            <v>0</v>
          </cell>
        </row>
        <row r="1330">
          <cell r="A1330" t="str">
            <v>MZ360719EX</v>
          </cell>
          <cell r="B1330" t="str">
            <v>S</v>
          </cell>
          <cell r="C1330" t="str">
            <v>PARK ASSIST(RR) WHITE P W13</v>
          </cell>
          <cell r="D1330">
            <v>231.57</v>
          </cell>
          <cell r="E1330">
            <v>385.95</v>
          </cell>
          <cell r="F1330">
            <v>0</v>
          </cell>
          <cell r="G1330">
            <v>0</v>
          </cell>
        </row>
        <row r="1331">
          <cell r="A1331" t="str">
            <v>MZ360720EX</v>
          </cell>
          <cell r="B1331" t="str">
            <v>S</v>
          </cell>
          <cell r="C1331" t="str">
            <v>PARK ASSIST(RR) WHITE S W37</v>
          </cell>
          <cell r="D1331">
            <v>215.97</v>
          </cell>
          <cell r="E1331">
            <v>359.95</v>
          </cell>
          <cell r="F1331">
            <v>0</v>
          </cell>
          <cell r="G1331">
            <v>0</v>
          </cell>
        </row>
        <row r="1332">
          <cell r="A1332" t="str">
            <v>MZ360721EX</v>
          </cell>
          <cell r="B1332" t="str">
            <v>D</v>
          </cell>
          <cell r="C1332" t="str">
            <v>PARK ASSIST(RR) BLACK MI X42</v>
          </cell>
          <cell r="D1332">
            <v>231.57</v>
          </cell>
          <cell r="E1332">
            <v>385.95</v>
          </cell>
          <cell r="F1332">
            <v>3</v>
          </cell>
          <cell r="G1332">
            <v>0</v>
          </cell>
        </row>
        <row r="1333">
          <cell r="A1333" t="str">
            <v>MZ360722EX</v>
          </cell>
          <cell r="B1333" t="str">
            <v>S</v>
          </cell>
          <cell r="C1333" t="str">
            <v>PARK ASSIST(RR) SILVER M U25</v>
          </cell>
          <cell r="D1333">
            <v>231.57</v>
          </cell>
          <cell r="E1333">
            <v>385.95</v>
          </cell>
          <cell r="F1333">
            <v>0</v>
          </cell>
          <cell r="G1333">
            <v>0</v>
          </cell>
        </row>
        <row r="1334">
          <cell r="A1334" t="str">
            <v>MZ360723EX</v>
          </cell>
          <cell r="B1334" t="str">
            <v>D</v>
          </cell>
          <cell r="C1334" t="str">
            <v>PARK ASSIST(RR)TITA GRAY U17</v>
          </cell>
          <cell r="D1334">
            <v>231.57</v>
          </cell>
          <cell r="E1334">
            <v>385.95</v>
          </cell>
          <cell r="F1334">
            <v>3</v>
          </cell>
          <cell r="G1334">
            <v>0</v>
          </cell>
        </row>
        <row r="1335">
          <cell r="A1335" t="str">
            <v>MZ360724EX</v>
          </cell>
          <cell r="B1335" t="str">
            <v>D</v>
          </cell>
          <cell r="C1335" t="str">
            <v>PARK ASSIST(RR)SPORTYBLUEM D06</v>
          </cell>
          <cell r="D1335">
            <v>231.57</v>
          </cell>
          <cell r="E1335">
            <v>385.95</v>
          </cell>
          <cell r="F1335">
            <v>3</v>
          </cell>
          <cell r="G1335">
            <v>0</v>
          </cell>
        </row>
        <row r="1336">
          <cell r="A1336" t="str">
            <v>MZ360725EX</v>
          </cell>
          <cell r="B1336" t="str">
            <v>F</v>
          </cell>
          <cell r="C1336" t="str">
            <v>PARK ASSIST(RR)BRONZ M C21</v>
          </cell>
          <cell r="D1336">
            <v>215.97</v>
          </cell>
          <cell r="E1336">
            <v>359.95</v>
          </cell>
          <cell r="F1336">
            <v>0</v>
          </cell>
          <cell r="G1336">
            <v>0</v>
          </cell>
        </row>
        <row r="1337">
          <cell r="A1337" t="str">
            <v>MZ360726EX</v>
          </cell>
          <cell r="B1337" t="str">
            <v>S</v>
          </cell>
          <cell r="C1337" t="str">
            <v>PARK ASSIST(RR) RED P26</v>
          </cell>
          <cell r="D1337">
            <v>215.97</v>
          </cell>
          <cell r="E1337">
            <v>359.95</v>
          </cell>
          <cell r="F1337">
            <v>0</v>
          </cell>
          <cell r="G1337">
            <v>0</v>
          </cell>
        </row>
        <row r="1338">
          <cell r="A1338" t="str">
            <v>MZ360727EX</v>
          </cell>
          <cell r="B1338" t="str">
            <v>S</v>
          </cell>
          <cell r="C1338" t="str">
            <v>PARK SENSOR ECU KIT</v>
          </cell>
          <cell r="D1338">
            <v>324.57</v>
          </cell>
          <cell r="E1338">
            <v>540.95000000000005</v>
          </cell>
          <cell r="F1338">
            <v>0</v>
          </cell>
          <cell r="G1338">
            <v>0</v>
          </cell>
        </row>
        <row r="1339">
          <cell r="A1339" t="str">
            <v>MZ360744EX</v>
          </cell>
          <cell r="B1339" t="str">
            <v>Z</v>
          </cell>
          <cell r="C1339" t="str">
            <v>R PARK SENS</v>
          </cell>
          <cell r="D1339">
            <v>513.57000000000005</v>
          </cell>
          <cell r="E1339">
            <v>855.95</v>
          </cell>
          <cell r="F1339">
            <v>1</v>
          </cell>
          <cell r="G1339">
            <v>0</v>
          </cell>
        </row>
        <row r="1340">
          <cell r="A1340" t="str">
            <v>MZ360745EX</v>
          </cell>
          <cell r="B1340" t="str">
            <v>X</v>
          </cell>
          <cell r="C1340" t="str">
            <v>R PARK SENS</v>
          </cell>
          <cell r="D1340">
            <v>484.17</v>
          </cell>
          <cell r="E1340">
            <v>806.95</v>
          </cell>
          <cell r="F1340">
            <v>0</v>
          </cell>
          <cell r="G1340">
            <v>0</v>
          </cell>
        </row>
        <row r="1341">
          <cell r="A1341" t="str">
            <v>MZ360746EX</v>
          </cell>
          <cell r="B1341" t="str">
            <v>L</v>
          </cell>
          <cell r="C1341" t="str">
            <v>R PARK SENS</v>
          </cell>
          <cell r="D1341">
            <v>513.57000000000005</v>
          </cell>
          <cell r="E1341">
            <v>855.95</v>
          </cell>
          <cell r="F1341">
            <v>5</v>
          </cell>
          <cell r="G1341">
            <v>0</v>
          </cell>
        </row>
        <row r="1342">
          <cell r="A1342" t="str">
            <v>MZ360747EX</v>
          </cell>
          <cell r="B1342" t="str">
            <v>S</v>
          </cell>
          <cell r="C1342" t="str">
            <v>R PARK SENS</v>
          </cell>
          <cell r="D1342">
            <v>513.57000000000005</v>
          </cell>
          <cell r="E1342">
            <v>855.95</v>
          </cell>
          <cell r="F1342">
            <v>0</v>
          </cell>
          <cell r="G1342">
            <v>1</v>
          </cell>
        </row>
        <row r="1343">
          <cell r="A1343" t="str">
            <v>MZ360748EX</v>
          </cell>
          <cell r="B1343" t="str">
            <v>L</v>
          </cell>
          <cell r="C1343" t="str">
            <v>R PARK SENS</v>
          </cell>
          <cell r="D1343">
            <v>513.57000000000005</v>
          </cell>
          <cell r="E1343">
            <v>855.95</v>
          </cell>
          <cell r="F1343">
            <v>6</v>
          </cell>
          <cell r="G1343">
            <v>0</v>
          </cell>
        </row>
        <row r="1344">
          <cell r="A1344" t="str">
            <v>MZ360749EX</v>
          </cell>
          <cell r="B1344" t="str">
            <v>L</v>
          </cell>
          <cell r="C1344" t="str">
            <v>R PARK SENS</v>
          </cell>
          <cell r="D1344">
            <v>513.57000000000005</v>
          </cell>
          <cell r="E1344">
            <v>855.95</v>
          </cell>
          <cell r="F1344">
            <v>6</v>
          </cell>
          <cell r="G1344">
            <v>0</v>
          </cell>
        </row>
        <row r="1345">
          <cell r="A1345" t="str">
            <v>MZ360750EX</v>
          </cell>
          <cell r="B1345" t="str">
            <v>S</v>
          </cell>
          <cell r="C1345" t="str">
            <v>R PARK SENS</v>
          </cell>
          <cell r="D1345">
            <v>513.57000000000005</v>
          </cell>
          <cell r="E1345">
            <v>855.95</v>
          </cell>
          <cell r="F1345">
            <v>0</v>
          </cell>
          <cell r="G1345">
            <v>0</v>
          </cell>
        </row>
        <row r="1346">
          <cell r="A1346" t="str">
            <v>MZ360751EX</v>
          </cell>
          <cell r="B1346" t="str">
            <v>S</v>
          </cell>
          <cell r="C1346" t="str">
            <v>R PARK SENS</v>
          </cell>
          <cell r="D1346">
            <v>513.57000000000005</v>
          </cell>
          <cell r="E1346">
            <v>855.95</v>
          </cell>
          <cell r="F1346">
            <v>2</v>
          </cell>
          <cell r="G1346">
            <v>0</v>
          </cell>
        </row>
        <row r="1347">
          <cell r="A1347" t="str">
            <v>MZ360761EX</v>
          </cell>
          <cell r="B1347" t="str">
            <v>N</v>
          </cell>
          <cell r="C1347" t="str">
            <v>REAR PARKING SENSOR</v>
          </cell>
          <cell r="D1347">
            <v>431.37</v>
          </cell>
          <cell r="E1347">
            <v>718.95</v>
          </cell>
          <cell r="F1347">
            <v>0</v>
          </cell>
          <cell r="G1347">
            <v>0</v>
          </cell>
        </row>
        <row r="1348">
          <cell r="A1348" t="str">
            <v>MZ360763EX</v>
          </cell>
          <cell r="B1348" t="str">
            <v>N</v>
          </cell>
          <cell r="C1348" t="str">
            <v>REAR PARKING SENSOR</v>
          </cell>
          <cell r="D1348">
            <v>431.37</v>
          </cell>
          <cell r="E1348">
            <v>718.95</v>
          </cell>
          <cell r="F1348">
            <v>0</v>
          </cell>
          <cell r="G1348">
            <v>0</v>
          </cell>
        </row>
        <row r="1349">
          <cell r="A1349" t="str">
            <v>MZ360764EX</v>
          </cell>
          <cell r="B1349" t="str">
            <v>N</v>
          </cell>
          <cell r="C1349" t="str">
            <v>REAR PARKING SENSOR</v>
          </cell>
          <cell r="D1349">
            <v>431.37</v>
          </cell>
          <cell r="E1349">
            <v>718.95</v>
          </cell>
          <cell r="F1349">
            <v>0</v>
          </cell>
          <cell r="G1349">
            <v>0</v>
          </cell>
        </row>
        <row r="1350">
          <cell r="A1350" t="str">
            <v>MZ360765EX</v>
          </cell>
          <cell r="B1350" t="str">
            <v>N</v>
          </cell>
          <cell r="C1350" t="str">
            <v>REAR PARKING SENSOR</v>
          </cell>
          <cell r="D1350">
            <v>431.37</v>
          </cell>
          <cell r="E1350">
            <v>718.95</v>
          </cell>
          <cell r="F1350">
            <v>0</v>
          </cell>
          <cell r="G1350">
            <v>0</v>
          </cell>
        </row>
        <row r="1351">
          <cell r="A1351" t="str">
            <v>MZ360766EX</v>
          </cell>
          <cell r="B1351" t="str">
            <v>N</v>
          </cell>
          <cell r="C1351" t="str">
            <v>REAR PARKING SENSOR</v>
          </cell>
          <cell r="D1351">
            <v>431.37</v>
          </cell>
          <cell r="E1351">
            <v>718.95</v>
          </cell>
          <cell r="F1351">
            <v>0</v>
          </cell>
          <cell r="G1351">
            <v>0</v>
          </cell>
        </row>
        <row r="1352">
          <cell r="A1352" t="str">
            <v>MZ360767EX</v>
          </cell>
          <cell r="B1352" t="str">
            <v>N</v>
          </cell>
          <cell r="C1352" t="str">
            <v>REAR PARKING SENSOR</v>
          </cell>
          <cell r="D1352">
            <v>431.37</v>
          </cell>
          <cell r="E1352">
            <v>718.95</v>
          </cell>
          <cell r="F1352">
            <v>0</v>
          </cell>
          <cell r="G1352">
            <v>0</v>
          </cell>
        </row>
        <row r="1353">
          <cell r="A1353" t="str">
            <v>MZ360768EX</v>
          </cell>
          <cell r="B1353" t="str">
            <v>N</v>
          </cell>
          <cell r="C1353" t="str">
            <v>REAR PARKING SENSOR</v>
          </cell>
          <cell r="D1353">
            <v>431.37</v>
          </cell>
          <cell r="E1353">
            <v>718.95</v>
          </cell>
          <cell r="F1353">
            <v>5</v>
          </cell>
          <cell r="G1353">
            <v>0</v>
          </cell>
        </row>
        <row r="1354">
          <cell r="A1354" t="str">
            <v>MZ360812EX</v>
          </cell>
          <cell r="B1354" t="str">
            <v>Q</v>
          </cell>
          <cell r="C1354" t="str">
            <v>FLOOR MAT LHD FOR NS - NS RALLIART</v>
          </cell>
          <cell r="D1354">
            <v>80.12</v>
          </cell>
          <cell r="E1354">
            <v>133.94999999999999</v>
          </cell>
          <cell r="F1354">
            <v>3</v>
          </cell>
          <cell r="G1354">
            <v>0</v>
          </cell>
        </row>
        <row r="1355">
          <cell r="A1355" t="str">
            <v>MZ360814EX</v>
          </cell>
          <cell r="B1355" t="str">
            <v>Q</v>
          </cell>
          <cell r="C1355" t="str">
            <v>FLOOR MAT LHD - ZC RALLIART</v>
          </cell>
          <cell r="D1355">
            <v>76.95</v>
          </cell>
          <cell r="E1355">
            <v>128.94999999999999</v>
          </cell>
          <cell r="F1355">
            <v>4</v>
          </cell>
          <cell r="G1355">
            <v>0</v>
          </cell>
        </row>
        <row r="1356">
          <cell r="A1356" t="str">
            <v>MZ360825EX</v>
          </cell>
          <cell r="B1356" t="str">
            <v>N</v>
          </cell>
          <cell r="C1356" t="str">
            <v>Console illumination</v>
          </cell>
          <cell r="D1356">
            <v>133.08000000000001</v>
          </cell>
          <cell r="E1356">
            <v>221.95</v>
          </cell>
          <cell r="F1356">
            <v>20</v>
          </cell>
          <cell r="G1356">
            <v>0</v>
          </cell>
        </row>
        <row r="1357">
          <cell r="A1357" t="str">
            <v>MZ360829EX</v>
          </cell>
          <cell r="B1357" t="str">
            <v>D</v>
          </cell>
          <cell r="C1357" t="str">
            <v>CONSOLE ACCENT PANELS</v>
          </cell>
          <cell r="D1357">
            <v>143.97</v>
          </cell>
          <cell r="E1357">
            <v>239.95</v>
          </cell>
          <cell r="F1357">
            <v>14</v>
          </cell>
          <cell r="G1357">
            <v>0</v>
          </cell>
        </row>
        <row r="1358">
          <cell r="A1358" t="str">
            <v>MZ360831EX</v>
          </cell>
          <cell r="B1358" t="str">
            <v>N</v>
          </cell>
          <cell r="C1358" t="str">
            <v>Fog lamps</v>
          </cell>
          <cell r="D1358">
            <v>387.37</v>
          </cell>
          <cell r="E1358">
            <v>645.95000000000005</v>
          </cell>
          <cell r="F1358">
            <v>0</v>
          </cell>
          <cell r="G1358">
            <v>0</v>
          </cell>
        </row>
        <row r="1359">
          <cell r="A1359" t="str">
            <v>MZ360889EX</v>
          </cell>
          <cell r="B1359" t="str">
            <v>X</v>
          </cell>
          <cell r="C1359" t="str">
            <v>LED BULB 50 BULK</v>
          </cell>
          <cell r="D1359">
            <v>48.57</v>
          </cell>
          <cell r="E1359">
            <v>80.95</v>
          </cell>
          <cell r="F1359">
            <v>0</v>
          </cell>
          <cell r="G1359">
            <v>0</v>
          </cell>
        </row>
        <row r="1360">
          <cell r="A1360" t="str">
            <v>MZ360890EX</v>
          </cell>
          <cell r="B1360" t="str">
            <v>X</v>
          </cell>
          <cell r="C1360" t="str">
            <v>LED BULB 150 BULK</v>
          </cell>
          <cell r="D1360">
            <v>0.01</v>
          </cell>
          <cell r="E1360">
            <v>0</v>
          </cell>
          <cell r="F1360">
            <v>0</v>
          </cell>
          <cell r="G1360">
            <v>0</v>
          </cell>
        </row>
        <row r="1361">
          <cell r="A1361" t="str">
            <v>MZ360894EX</v>
          </cell>
          <cell r="B1361" t="str">
            <v>F</v>
          </cell>
          <cell r="C1361" t="str">
            <v>FLR MAT PR</v>
          </cell>
          <cell r="D1361">
            <v>101.97</v>
          </cell>
          <cell r="E1361">
            <v>169.95</v>
          </cell>
          <cell r="F1361">
            <v>0</v>
          </cell>
          <cell r="G1361">
            <v>0</v>
          </cell>
        </row>
        <row r="1362">
          <cell r="A1362" t="str">
            <v>MZ380171</v>
          </cell>
          <cell r="B1362" t="str">
            <v>F</v>
          </cell>
          <cell r="C1362" t="str">
            <v>MUDGUARD- REAR- 2 PCS</v>
          </cell>
          <cell r="D1362">
            <v>43.77</v>
          </cell>
          <cell r="E1362">
            <v>72.95</v>
          </cell>
          <cell r="F1362">
            <v>0</v>
          </cell>
          <cell r="G1362">
            <v>0</v>
          </cell>
        </row>
        <row r="1363">
          <cell r="A1363" t="str">
            <v>MZ380215</v>
          </cell>
          <cell r="B1363" t="str">
            <v>F</v>
          </cell>
          <cell r="C1363" t="str">
            <v>FOGLIGHT KIT- P45- ROUND</v>
          </cell>
          <cell r="D1363">
            <v>454.17</v>
          </cell>
          <cell r="E1363">
            <v>756.95</v>
          </cell>
          <cell r="F1363">
            <v>0</v>
          </cell>
          <cell r="G1363">
            <v>0</v>
          </cell>
        </row>
        <row r="1364">
          <cell r="A1364" t="str">
            <v>MZ380219</v>
          </cell>
          <cell r="B1364" t="str">
            <v>X</v>
          </cell>
          <cell r="C1364" t="str">
            <v>SIDE STEP</v>
          </cell>
          <cell r="D1364">
            <v>583.29</v>
          </cell>
          <cell r="E1364">
            <v>972.95</v>
          </cell>
          <cell r="F1364">
            <v>0</v>
          </cell>
          <cell r="G1364">
            <v>0</v>
          </cell>
        </row>
        <row r="1365">
          <cell r="A1365" t="str">
            <v>MZ380236EX</v>
          </cell>
          <cell r="B1365" t="str">
            <v>F</v>
          </cell>
          <cell r="C1365" t="str">
            <v>MUDGUARD- SET- FRONT &amp; REAR</v>
          </cell>
          <cell r="D1365">
            <v>58.17</v>
          </cell>
          <cell r="E1365">
            <v>96.95</v>
          </cell>
          <cell r="F1365">
            <v>0</v>
          </cell>
          <cell r="G1365">
            <v>0</v>
          </cell>
        </row>
        <row r="1366">
          <cell r="A1366" t="str">
            <v>MZ380245EX</v>
          </cell>
          <cell r="B1366" t="str">
            <v>F</v>
          </cell>
          <cell r="C1366" t="str">
            <v>FOGLIGHT KIT</v>
          </cell>
          <cell r="D1366">
            <v>232.77</v>
          </cell>
          <cell r="E1366">
            <v>387.95</v>
          </cell>
          <cell r="F1366">
            <v>0</v>
          </cell>
          <cell r="G1366">
            <v>0</v>
          </cell>
        </row>
        <row r="1367">
          <cell r="A1367" t="str">
            <v>MZ380246EX</v>
          </cell>
          <cell r="B1367" t="str">
            <v>S</v>
          </cell>
          <cell r="C1367" t="str">
            <v>MUDGUARD SET</v>
          </cell>
          <cell r="D1367">
            <v>107.37</v>
          </cell>
          <cell r="E1367">
            <v>178.95</v>
          </cell>
          <cell r="F1367">
            <v>0</v>
          </cell>
          <cell r="G1367">
            <v>0</v>
          </cell>
        </row>
        <row r="1368">
          <cell r="A1368" t="str">
            <v>MZ380257EX</v>
          </cell>
          <cell r="B1368" t="str">
            <v>Z</v>
          </cell>
          <cell r="C1368" t="str">
            <v>GRILLE GUARD</v>
          </cell>
          <cell r="D1368">
            <v>612.57000000000005</v>
          </cell>
          <cell r="E1368">
            <v>1020.95</v>
          </cell>
          <cell r="F1368">
            <v>0</v>
          </cell>
          <cell r="G1368">
            <v>0</v>
          </cell>
        </row>
        <row r="1369">
          <cell r="A1369" t="str">
            <v>MZ380260EX</v>
          </cell>
          <cell r="B1369" t="str">
            <v>F</v>
          </cell>
          <cell r="C1369" t="str">
            <v>FOGLIGHT KIT</v>
          </cell>
          <cell r="D1369">
            <v>397.77</v>
          </cell>
          <cell r="E1369">
            <v>662.95</v>
          </cell>
          <cell r="F1369">
            <v>0</v>
          </cell>
          <cell r="G1369">
            <v>0</v>
          </cell>
        </row>
        <row r="1370">
          <cell r="A1370" t="str">
            <v>MZ380261EX</v>
          </cell>
          <cell r="B1370" t="str">
            <v>Z</v>
          </cell>
          <cell r="C1370" t="str">
            <v>FOG LIGHT KIT</v>
          </cell>
          <cell r="D1370">
            <v>193.77</v>
          </cell>
          <cell r="E1370">
            <v>322.95</v>
          </cell>
          <cell r="F1370">
            <v>0</v>
          </cell>
          <cell r="G1370">
            <v>0</v>
          </cell>
        </row>
        <row r="1371">
          <cell r="A1371" t="str">
            <v>MZ380267EX</v>
          </cell>
          <cell r="B1371" t="str">
            <v>Z</v>
          </cell>
          <cell r="C1371" t="str">
            <v>COVER- CAR- JAPANESE W/BAG</v>
          </cell>
          <cell r="D1371">
            <v>227.97</v>
          </cell>
          <cell r="E1371">
            <v>379.95</v>
          </cell>
          <cell r="F1371">
            <v>0</v>
          </cell>
          <cell r="G1371">
            <v>0</v>
          </cell>
        </row>
        <row r="1372">
          <cell r="A1372" t="str">
            <v>MZ380273EX</v>
          </cell>
          <cell r="B1372" t="str">
            <v>S</v>
          </cell>
          <cell r="C1372" t="str">
            <v>MUDGUARD- FR- W/O SIDE AIR DAM</v>
          </cell>
          <cell r="D1372">
            <v>43.77</v>
          </cell>
          <cell r="E1372">
            <v>72.95</v>
          </cell>
          <cell r="F1372">
            <v>0</v>
          </cell>
          <cell r="G1372">
            <v>0</v>
          </cell>
        </row>
        <row r="1373">
          <cell r="A1373" t="str">
            <v>MZ380274EX</v>
          </cell>
          <cell r="B1373" t="str">
            <v>S</v>
          </cell>
          <cell r="C1373" t="str">
            <v>MUDGUARD- FR- W/SIDE AIR DAM</v>
          </cell>
          <cell r="D1373">
            <v>43.77</v>
          </cell>
          <cell r="E1373">
            <v>72.95</v>
          </cell>
          <cell r="F1373">
            <v>0</v>
          </cell>
          <cell r="G1373">
            <v>0</v>
          </cell>
        </row>
        <row r="1374">
          <cell r="A1374" t="str">
            <v>MZ380275EX</v>
          </cell>
          <cell r="B1374" t="str">
            <v>S</v>
          </cell>
          <cell r="C1374" t="str">
            <v>MUDGUARD- REAR</v>
          </cell>
          <cell r="D1374">
            <v>42.79</v>
          </cell>
          <cell r="E1374">
            <v>71.95</v>
          </cell>
          <cell r="F1374">
            <v>0</v>
          </cell>
          <cell r="G1374">
            <v>0</v>
          </cell>
        </row>
        <row r="1375">
          <cell r="A1375" t="str">
            <v>MZ380289EX</v>
          </cell>
          <cell r="B1375" t="str">
            <v>S</v>
          </cell>
          <cell r="C1375" t="str">
            <v>MUDGUARD- FRONT &amp; REAR- 4 PCS</v>
          </cell>
          <cell r="D1375">
            <v>87.56</v>
          </cell>
          <cell r="E1375">
            <v>145.94999999999999</v>
          </cell>
          <cell r="F1375">
            <v>0</v>
          </cell>
          <cell r="G1375">
            <v>0</v>
          </cell>
        </row>
        <row r="1376">
          <cell r="A1376" t="str">
            <v>MZ380295EX</v>
          </cell>
          <cell r="B1376" t="str">
            <v>F</v>
          </cell>
          <cell r="C1376" t="str">
            <v>VORTEX GENERATOR- EISEN GRAY</v>
          </cell>
          <cell r="D1376">
            <v>193.77</v>
          </cell>
          <cell r="E1376">
            <v>322.95</v>
          </cell>
          <cell r="F1376">
            <v>0</v>
          </cell>
          <cell r="G1376">
            <v>0</v>
          </cell>
        </row>
        <row r="1377">
          <cell r="A1377" t="str">
            <v>MZ380358EX</v>
          </cell>
          <cell r="B1377" t="str">
            <v>U</v>
          </cell>
          <cell r="C1377" t="str">
            <v>SIDE WINDOW DEFLECTOR</v>
          </cell>
          <cell r="D1377">
            <v>62.97</v>
          </cell>
          <cell r="E1377">
            <v>104.95</v>
          </cell>
          <cell r="F1377">
            <v>0</v>
          </cell>
          <cell r="G1377">
            <v>0</v>
          </cell>
        </row>
        <row r="1378">
          <cell r="A1378" t="str">
            <v>MZ380370EX</v>
          </cell>
          <cell r="B1378" t="str">
            <v>F</v>
          </cell>
          <cell r="C1378" t="str">
            <v>SCUFF PLATE KIT 4 PCS OUTLANDER &lt;2013</v>
          </cell>
          <cell r="D1378">
            <v>112.77</v>
          </cell>
          <cell r="E1378">
            <v>187.95</v>
          </cell>
          <cell r="F1378">
            <v>21</v>
          </cell>
          <cell r="G1378">
            <v>0</v>
          </cell>
        </row>
        <row r="1379">
          <cell r="A1379" t="str">
            <v>MZ380373EX</v>
          </cell>
          <cell r="B1379" t="str">
            <v>D</v>
          </cell>
          <cell r="C1379" t="str">
            <v>MUDGUARDS- GALANT (SET OF 4)</v>
          </cell>
          <cell r="D1379">
            <v>94.17</v>
          </cell>
          <cell r="E1379">
            <v>156.94999999999999</v>
          </cell>
          <cell r="F1379">
            <v>2</v>
          </cell>
          <cell r="G1379">
            <v>0</v>
          </cell>
        </row>
        <row r="1380">
          <cell r="A1380" t="str">
            <v>MZ380376EX</v>
          </cell>
          <cell r="B1380" t="str">
            <v>Q</v>
          </cell>
          <cell r="C1380" t="str">
            <v>FOGLIGHT KIT- OUTLANDER</v>
          </cell>
          <cell r="D1380">
            <v>389.37</v>
          </cell>
          <cell r="E1380">
            <v>648.95000000000005</v>
          </cell>
          <cell r="F1380">
            <v>1</v>
          </cell>
          <cell r="G1380">
            <v>0</v>
          </cell>
        </row>
        <row r="1381">
          <cell r="A1381" t="str">
            <v>MZ380379EX</v>
          </cell>
          <cell r="B1381" t="str">
            <v>Z</v>
          </cell>
          <cell r="C1381" t="str">
            <v>MUDGUARDS- OUTLANDER (4 PCS.)</v>
          </cell>
          <cell r="D1381">
            <v>143.97</v>
          </cell>
          <cell r="E1381">
            <v>239.95</v>
          </cell>
          <cell r="F1381">
            <v>0</v>
          </cell>
          <cell r="G1381">
            <v>0</v>
          </cell>
        </row>
        <row r="1382">
          <cell r="A1382" t="str">
            <v>MZ380382EX</v>
          </cell>
          <cell r="B1382" t="str">
            <v>F</v>
          </cell>
          <cell r="C1382" t="str">
            <v>PLATE- RR BUMPER PROTECTN POE</v>
          </cell>
          <cell r="D1382">
            <v>135.57</v>
          </cell>
          <cell r="E1382">
            <v>225.95</v>
          </cell>
          <cell r="F1382">
            <v>0</v>
          </cell>
          <cell r="G1382">
            <v>0</v>
          </cell>
        </row>
        <row r="1383">
          <cell r="A1383" t="str">
            <v>MZ380400EX</v>
          </cell>
          <cell r="B1383" t="str">
            <v>D</v>
          </cell>
          <cell r="C1383" t="str">
            <v>MUDGUARDS- FR-W/O SIDE AIR DAM</v>
          </cell>
          <cell r="D1383">
            <v>47.97</v>
          </cell>
          <cell r="E1383">
            <v>79.95</v>
          </cell>
          <cell r="F1383">
            <v>15</v>
          </cell>
          <cell r="G1383">
            <v>0</v>
          </cell>
        </row>
        <row r="1384">
          <cell r="A1384" t="str">
            <v>MZ380401EX</v>
          </cell>
          <cell r="B1384" t="str">
            <v>O</v>
          </cell>
          <cell r="C1384" t="str">
            <v>MUDGUARDS- RR</v>
          </cell>
          <cell r="D1384">
            <v>49.77</v>
          </cell>
          <cell r="E1384">
            <v>82.95</v>
          </cell>
          <cell r="F1384">
            <v>146</v>
          </cell>
          <cell r="G1384">
            <v>0</v>
          </cell>
        </row>
        <row r="1385">
          <cell r="A1385" t="str">
            <v>MZ380402EX</v>
          </cell>
          <cell r="B1385" t="str">
            <v>Q</v>
          </cell>
          <cell r="C1385" t="str">
            <v>SCUFF PLATES- 4 PCS.</v>
          </cell>
          <cell r="D1385">
            <v>117.82</v>
          </cell>
          <cell r="E1385">
            <v>164.95</v>
          </cell>
          <cell r="F1385">
            <v>11</v>
          </cell>
          <cell r="G1385">
            <v>0</v>
          </cell>
        </row>
        <row r="1386">
          <cell r="A1386" t="str">
            <v>MZ380406EX</v>
          </cell>
          <cell r="B1386" t="str">
            <v>Z</v>
          </cell>
          <cell r="C1386" t="str">
            <v>AIR DAM- FR WICKED WHITE W37</v>
          </cell>
          <cell r="D1386">
            <v>189.57</v>
          </cell>
          <cell r="E1386">
            <v>315.95</v>
          </cell>
          <cell r="F1386">
            <v>0</v>
          </cell>
          <cell r="G1386">
            <v>0</v>
          </cell>
        </row>
        <row r="1387">
          <cell r="A1387" t="str">
            <v>MZ380407EX</v>
          </cell>
          <cell r="B1387" t="str">
            <v>F</v>
          </cell>
          <cell r="C1387" t="str">
            <v>SIDE SILL EXTENSION- WHITE W37</v>
          </cell>
          <cell r="D1387">
            <v>374.97</v>
          </cell>
          <cell r="E1387">
            <v>624.95000000000005</v>
          </cell>
          <cell r="F1387">
            <v>0</v>
          </cell>
          <cell r="G1387">
            <v>0</v>
          </cell>
        </row>
        <row r="1388">
          <cell r="A1388" t="str">
            <v>MZ380408EX</v>
          </cell>
          <cell r="B1388" t="str">
            <v>Z</v>
          </cell>
          <cell r="C1388" t="str">
            <v>SPOILER- REAR- WHITE W37</v>
          </cell>
          <cell r="D1388">
            <v>346.77</v>
          </cell>
          <cell r="E1388">
            <v>577.95000000000005</v>
          </cell>
          <cell r="F1388">
            <v>0</v>
          </cell>
          <cell r="G1388">
            <v>0</v>
          </cell>
        </row>
        <row r="1389">
          <cell r="A1389" t="str">
            <v>MZ380411EX</v>
          </cell>
          <cell r="B1389" t="str">
            <v>F</v>
          </cell>
          <cell r="C1389" t="str">
            <v>SPOILER- REAR LIP- RALLY RED</v>
          </cell>
          <cell r="D1389">
            <v>295.17</v>
          </cell>
          <cell r="E1389">
            <v>491.95</v>
          </cell>
          <cell r="F1389">
            <v>0</v>
          </cell>
          <cell r="G1389">
            <v>0</v>
          </cell>
        </row>
        <row r="1390">
          <cell r="A1390" t="str">
            <v>MZ380412EX</v>
          </cell>
          <cell r="B1390" t="str">
            <v>Z</v>
          </cell>
          <cell r="C1390" t="str">
            <v>SPOILER-REAR LIP-GRAPHITE GRAY</v>
          </cell>
          <cell r="D1390">
            <v>295.17</v>
          </cell>
          <cell r="E1390">
            <v>491.95</v>
          </cell>
          <cell r="F1390">
            <v>0</v>
          </cell>
          <cell r="G1390">
            <v>0</v>
          </cell>
        </row>
        <row r="1391">
          <cell r="A1391" t="str">
            <v>MZ380415EX</v>
          </cell>
          <cell r="B1391" t="str">
            <v>F</v>
          </cell>
          <cell r="C1391" t="str">
            <v>SPOILER-REAR LIP- WICKED WHITE</v>
          </cell>
          <cell r="D1391">
            <v>295.17</v>
          </cell>
          <cell r="E1391">
            <v>491.95</v>
          </cell>
          <cell r="F1391">
            <v>0</v>
          </cell>
          <cell r="G1391">
            <v>0</v>
          </cell>
        </row>
        <row r="1392">
          <cell r="A1392" t="str">
            <v>MZ380416EX</v>
          </cell>
          <cell r="B1392" t="str">
            <v>F</v>
          </cell>
          <cell r="C1392" t="str">
            <v>SPOILER- REAR LIP- TARMAC BLK</v>
          </cell>
          <cell r="D1392">
            <v>295.17</v>
          </cell>
          <cell r="E1392">
            <v>491.95</v>
          </cell>
          <cell r="F1392">
            <v>0</v>
          </cell>
          <cell r="G1392">
            <v>0</v>
          </cell>
        </row>
        <row r="1393">
          <cell r="A1393" t="str">
            <v>MZ380417EX</v>
          </cell>
          <cell r="B1393" t="str">
            <v>F</v>
          </cell>
          <cell r="C1393" t="str">
            <v>SPOILER- REAR LIP- APEX SILVER</v>
          </cell>
          <cell r="D1393">
            <v>295.17</v>
          </cell>
          <cell r="E1393">
            <v>491.95</v>
          </cell>
          <cell r="F1393">
            <v>0</v>
          </cell>
          <cell r="G1393">
            <v>0</v>
          </cell>
        </row>
        <row r="1394">
          <cell r="A1394" t="str">
            <v>MZ380426EX</v>
          </cell>
          <cell r="B1394" t="str">
            <v>S</v>
          </cell>
          <cell r="C1394" t="str">
            <v>MUDGUARDS- BLACK (SET OF 4)</v>
          </cell>
          <cell r="D1394">
            <v>141.57</v>
          </cell>
          <cell r="E1394">
            <v>235.95</v>
          </cell>
          <cell r="F1394">
            <v>0</v>
          </cell>
          <cell r="G1394">
            <v>0</v>
          </cell>
        </row>
        <row r="1395">
          <cell r="A1395" t="str">
            <v>MZ380427EX</v>
          </cell>
          <cell r="B1395" t="str">
            <v>F</v>
          </cell>
          <cell r="C1395" t="str">
            <v>AIR DAM- FRONT- APEX SILVER</v>
          </cell>
          <cell r="D1395">
            <v>710.37</v>
          </cell>
          <cell r="E1395">
            <v>1183.95</v>
          </cell>
          <cell r="F1395">
            <v>0</v>
          </cell>
          <cell r="G1395">
            <v>0</v>
          </cell>
        </row>
        <row r="1396">
          <cell r="A1396" t="str">
            <v>MZ380428EX</v>
          </cell>
          <cell r="B1396" t="str">
            <v>S</v>
          </cell>
          <cell r="C1396" t="str">
            <v>AIR DAM- FRONT- OCTANE BLUE</v>
          </cell>
          <cell r="D1396">
            <v>752.97</v>
          </cell>
          <cell r="E1396">
            <v>1254.95</v>
          </cell>
          <cell r="F1396">
            <v>0</v>
          </cell>
          <cell r="G1396">
            <v>0</v>
          </cell>
        </row>
        <row r="1397">
          <cell r="A1397" t="str">
            <v>MZ380429EX</v>
          </cell>
          <cell r="B1397" t="str">
            <v>S</v>
          </cell>
          <cell r="C1397" t="str">
            <v>AIR DAM- FRONT- PHANTOM</v>
          </cell>
          <cell r="D1397">
            <v>752.97</v>
          </cell>
          <cell r="E1397">
            <v>1254.95</v>
          </cell>
          <cell r="F1397">
            <v>0</v>
          </cell>
          <cell r="G1397">
            <v>0</v>
          </cell>
        </row>
        <row r="1398">
          <cell r="A1398" t="str">
            <v>MZ380430EX</v>
          </cell>
          <cell r="B1398" t="str">
            <v>D</v>
          </cell>
          <cell r="C1398" t="str">
            <v>AIR DAM- FRONT- RALLY RED P26</v>
          </cell>
          <cell r="D1398">
            <v>752.97</v>
          </cell>
          <cell r="E1398">
            <v>1254.95</v>
          </cell>
          <cell r="F1398">
            <v>2</v>
          </cell>
          <cell r="G1398">
            <v>0</v>
          </cell>
        </row>
        <row r="1399">
          <cell r="A1399" t="str">
            <v>MZ380431EX</v>
          </cell>
          <cell r="B1399" t="str">
            <v>F</v>
          </cell>
          <cell r="C1399" t="str">
            <v>AIR DAM- FRONT- GRAPHITE GRAY</v>
          </cell>
          <cell r="D1399">
            <v>710.37</v>
          </cell>
          <cell r="E1399">
            <v>1183.95</v>
          </cell>
          <cell r="F1399">
            <v>0</v>
          </cell>
          <cell r="G1399">
            <v>0</v>
          </cell>
        </row>
        <row r="1400">
          <cell r="A1400" t="str">
            <v>MZ380432EX</v>
          </cell>
          <cell r="B1400" t="str">
            <v>E</v>
          </cell>
          <cell r="C1400" t="str">
            <v>AIR DAM- FRONT- WICKED WHITE</v>
          </cell>
          <cell r="D1400">
            <v>710.37</v>
          </cell>
          <cell r="E1400">
            <v>1183.95</v>
          </cell>
          <cell r="F1400">
            <v>0</v>
          </cell>
          <cell r="G1400">
            <v>0</v>
          </cell>
        </row>
        <row r="1401">
          <cell r="A1401" t="str">
            <v>MZ380433EX</v>
          </cell>
          <cell r="B1401" t="str">
            <v>F</v>
          </cell>
          <cell r="C1401" t="str">
            <v>AIR DAM- SIDE- APEX SILVER A31</v>
          </cell>
          <cell r="D1401">
            <v>970.18</v>
          </cell>
          <cell r="E1401">
            <v>1616.95</v>
          </cell>
          <cell r="F1401">
            <v>0</v>
          </cell>
          <cell r="G1401">
            <v>0</v>
          </cell>
        </row>
        <row r="1402">
          <cell r="A1402" t="str">
            <v>MZ380434EX</v>
          </cell>
          <cell r="B1402" t="str">
            <v>S</v>
          </cell>
          <cell r="C1402" t="str">
            <v>AIR DAM- SIDE- OCTANE BLUE</v>
          </cell>
          <cell r="D1402">
            <v>970.18</v>
          </cell>
          <cell r="E1402">
            <v>1616.95</v>
          </cell>
          <cell r="F1402">
            <v>0</v>
          </cell>
          <cell r="G1402">
            <v>0</v>
          </cell>
        </row>
        <row r="1403">
          <cell r="A1403" t="str">
            <v>MZ380435EX</v>
          </cell>
          <cell r="B1403" t="str">
            <v>Z</v>
          </cell>
          <cell r="C1403" t="str">
            <v>AIR DAM- SIDE- PHANTOM BLACK</v>
          </cell>
          <cell r="D1403">
            <v>970.18</v>
          </cell>
          <cell r="E1403">
            <v>1616.95</v>
          </cell>
          <cell r="F1403">
            <v>0</v>
          </cell>
          <cell r="G1403">
            <v>0</v>
          </cell>
        </row>
        <row r="1404">
          <cell r="A1404" t="str">
            <v>MZ380436EX</v>
          </cell>
          <cell r="B1404" t="str">
            <v>F</v>
          </cell>
          <cell r="C1404" t="str">
            <v>AIR DAM- SIDE- RALLY RED P26</v>
          </cell>
          <cell r="D1404">
            <v>970.18</v>
          </cell>
          <cell r="E1404">
            <v>1616.95</v>
          </cell>
          <cell r="F1404">
            <v>0</v>
          </cell>
          <cell r="G1404">
            <v>0</v>
          </cell>
        </row>
        <row r="1405">
          <cell r="A1405" t="str">
            <v>MZ380437EX</v>
          </cell>
          <cell r="B1405" t="str">
            <v>F</v>
          </cell>
          <cell r="C1405" t="str">
            <v>AIR DAM- SIDE- GRAPHITE GRAY</v>
          </cell>
          <cell r="D1405">
            <v>970.17</v>
          </cell>
          <cell r="E1405">
            <v>1616.95</v>
          </cell>
          <cell r="F1405">
            <v>0</v>
          </cell>
          <cell r="G1405">
            <v>0</v>
          </cell>
        </row>
        <row r="1406">
          <cell r="A1406" t="str">
            <v>MZ380438EX</v>
          </cell>
          <cell r="B1406" t="str">
            <v>F</v>
          </cell>
          <cell r="C1406" t="str">
            <v>AIR DAM- SIDE- WICKED WHITE</v>
          </cell>
          <cell r="D1406">
            <v>970.18</v>
          </cell>
          <cell r="E1406">
            <v>1616.95</v>
          </cell>
          <cell r="F1406">
            <v>0</v>
          </cell>
          <cell r="G1406">
            <v>0</v>
          </cell>
        </row>
        <row r="1407">
          <cell r="A1407" t="str">
            <v>MZ380439EX</v>
          </cell>
          <cell r="B1407" t="str">
            <v>F</v>
          </cell>
          <cell r="C1407" t="str">
            <v>AIR DAM- REAR CORNER- APEX A31</v>
          </cell>
          <cell r="D1407">
            <v>485.97</v>
          </cell>
          <cell r="E1407">
            <v>809.95</v>
          </cell>
          <cell r="F1407">
            <v>0</v>
          </cell>
          <cell r="G1407">
            <v>0</v>
          </cell>
        </row>
        <row r="1408">
          <cell r="A1408" t="str">
            <v>MZ380440EX</v>
          </cell>
          <cell r="B1408" t="str">
            <v>S</v>
          </cell>
          <cell r="C1408" t="str">
            <v>AIR DAM- REAR CORNER- OCTANE</v>
          </cell>
          <cell r="D1408">
            <v>515.37</v>
          </cell>
          <cell r="E1408">
            <v>858.95</v>
          </cell>
          <cell r="F1408">
            <v>0</v>
          </cell>
          <cell r="G1408">
            <v>0</v>
          </cell>
        </row>
        <row r="1409">
          <cell r="A1409" t="str">
            <v>MZ380441EX</v>
          </cell>
          <cell r="B1409" t="str">
            <v>E</v>
          </cell>
          <cell r="C1409" t="str">
            <v>AIR DAM- REAR CORNER</v>
          </cell>
          <cell r="D1409">
            <v>515.37</v>
          </cell>
          <cell r="E1409">
            <v>858.95</v>
          </cell>
          <cell r="F1409">
            <v>1</v>
          </cell>
          <cell r="G1409">
            <v>0</v>
          </cell>
        </row>
        <row r="1410">
          <cell r="A1410" t="str">
            <v>MZ380442EX</v>
          </cell>
          <cell r="B1410" t="str">
            <v>F</v>
          </cell>
          <cell r="C1410" t="str">
            <v>AIR DAM- REAR CORNER- RALLY</v>
          </cell>
          <cell r="D1410">
            <v>485.97</v>
          </cell>
          <cell r="E1410">
            <v>809.95</v>
          </cell>
          <cell r="F1410">
            <v>0</v>
          </cell>
          <cell r="G1410">
            <v>0</v>
          </cell>
        </row>
        <row r="1411">
          <cell r="A1411" t="str">
            <v>MZ380443EX</v>
          </cell>
          <cell r="B1411" t="str">
            <v>F</v>
          </cell>
          <cell r="C1411" t="str">
            <v>AIR DAM- REAR CORNER- GRAY</v>
          </cell>
          <cell r="D1411">
            <v>486.57</v>
          </cell>
          <cell r="E1411">
            <v>810.95</v>
          </cell>
          <cell r="F1411">
            <v>0</v>
          </cell>
          <cell r="G1411">
            <v>0</v>
          </cell>
        </row>
        <row r="1412">
          <cell r="A1412" t="str">
            <v>MZ380444EX</v>
          </cell>
          <cell r="B1412" t="str">
            <v>Z</v>
          </cell>
          <cell r="C1412" t="str">
            <v>AIR DAM- REAR CORNER- WICKED</v>
          </cell>
          <cell r="D1412">
            <v>485.97</v>
          </cell>
          <cell r="E1412">
            <v>809.95</v>
          </cell>
          <cell r="F1412">
            <v>0</v>
          </cell>
          <cell r="G1412">
            <v>0</v>
          </cell>
        </row>
        <row r="1413">
          <cell r="A1413" t="str">
            <v>MZ380456EX</v>
          </cell>
          <cell r="B1413" t="str">
            <v>S</v>
          </cell>
          <cell r="C1413" t="str">
            <v>SENSOR- PARK ASSIST</v>
          </cell>
          <cell r="D1413">
            <v>299.37</v>
          </cell>
          <cell r="E1413">
            <v>498.95</v>
          </cell>
          <cell r="F1413">
            <v>0</v>
          </cell>
          <cell r="G1413">
            <v>0</v>
          </cell>
        </row>
        <row r="1414">
          <cell r="A1414" t="str">
            <v>MZ380461EX</v>
          </cell>
          <cell r="B1414" t="str">
            <v>X</v>
          </cell>
          <cell r="C1414" t="str">
            <v>CAMERA- REARVIEW</v>
          </cell>
          <cell r="D1414">
            <v>296.37</v>
          </cell>
          <cell r="E1414">
            <v>493.95</v>
          </cell>
          <cell r="F1414">
            <v>0</v>
          </cell>
          <cell r="G1414">
            <v>0</v>
          </cell>
        </row>
        <row r="1415">
          <cell r="A1415" t="str">
            <v>MZ380462EX</v>
          </cell>
          <cell r="B1415" t="str">
            <v>F</v>
          </cell>
          <cell r="C1415" t="str">
            <v>CAMERA- REARVIEW</v>
          </cell>
          <cell r="D1415">
            <v>314.37</v>
          </cell>
          <cell r="E1415">
            <v>523.95000000000005</v>
          </cell>
          <cell r="F1415">
            <v>1</v>
          </cell>
          <cell r="G1415">
            <v>0</v>
          </cell>
        </row>
        <row r="1416">
          <cell r="A1416" t="str">
            <v>MZ380465EX</v>
          </cell>
          <cell r="B1416" t="str">
            <v>Z</v>
          </cell>
          <cell r="C1416" t="str">
            <v>SENSOR- PARK ASSIST OUTLANDER &lt;2013</v>
          </cell>
          <cell r="D1416">
            <v>322.77</v>
          </cell>
          <cell r="E1416">
            <v>537.95000000000005</v>
          </cell>
          <cell r="F1416">
            <v>3</v>
          </cell>
          <cell r="G1416">
            <v>0</v>
          </cell>
        </row>
        <row r="1417">
          <cell r="A1417" t="str">
            <v>MZ380466EX</v>
          </cell>
          <cell r="B1417" t="str">
            <v>S</v>
          </cell>
          <cell r="C1417" t="str">
            <v>SENSOR KIT- REAR PARK ASSIST</v>
          </cell>
          <cell r="D1417">
            <v>308.37</v>
          </cell>
          <cell r="E1417">
            <v>513.95000000000005</v>
          </cell>
          <cell r="F1417">
            <v>0</v>
          </cell>
          <cell r="G1417">
            <v>0</v>
          </cell>
        </row>
        <row r="1418">
          <cell r="A1418" t="str">
            <v>MZ380467EX</v>
          </cell>
          <cell r="B1418" t="str">
            <v>S</v>
          </cell>
          <cell r="C1418" t="str">
            <v>REAR PARK ASSIST SENSORS</v>
          </cell>
          <cell r="D1418">
            <v>212.37</v>
          </cell>
          <cell r="E1418">
            <v>353.95</v>
          </cell>
          <cell r="F1418">
            <v>0</v>
          </cell>
          <cell r="G1418">
            <v>0</v>
          </cell>
        </row>
        <row r="1419">
          <cell r="A1419" t="str">
            <v>MZ380478EX</v>
          </cell>
          <cell r="B1419" t="str">
            <v>S</v>
          </cell>
          <cell r="C1419" t="str">
            <v>FOGLIGHTS- LANCER</v>
          </cell>
          <cell r="D1419">
            <v>348.57</v>
          </cell>
          <cell r="E1419">
            <v>580.95000000000005</v>
          </cell>
          <cell r="F1419">
            <v>5</v>
          </cell>
          <cell r="G1419">
            <v>0</v>
          </cell>
        </row>
        <row r="1420">
          <cell r="A1420" t="str">
            <v>MZ380491EX</v>
          </cell>
          <cell r="B1420" t="str">
            <v>S</v>
          </cell>
          <cell r="C1420" t="str">
            <v>SERVICE KIT- FR AIR DAM</v>
          </cell>
          <cell r="D1420">
            <v>177.57</v>
          </cell>
          <cell r="E1420">
            <v>295.95</v>
          </cell>
          <cell r="F1420">
            <v>0</v>
          </cell>
          <cell r="G1420">
            <v>0</v>
          </cell>
        </row>
        <row r="1421">
          <cell r="A1421" t="str">
            <v>MZ380492EX</v>
          </cell>
          <cell r="B1421" t="str">
            <v>F</v>
          </cell>
          <cell r="C1421" t="str">
            <v>REPAIR KIT- FR AIR DAM/ 1 SIDE</v>
          </cell>
          <cell r="D1421">
            <v>26.97</v>
          </cell>
          <cell r="E1421">
            <v>44.95</v>
          </cell>
          <cell r="F1421">
            <v>0</v>
          </cell>
          <cell r="G1421">
            <v>0</v>
          </cell>
        </row>
        <row r="1422">
          <cell r="A1422" t="str">
            <v>MZ380525EX</v>
          </cell>
          <cell r="B1422" t="str">
            <v>Z</v>
          </cell>
          <cell r="C1422" t="str">
            <v>MUDGUARDS OUTLANDER &lt;2013</v>
          </cell>
          <cell r="D1422">
            <v>148.16999999999999</v>
          </cell>
          <cell r="E1422">
            <v>246.95</v>
          </cell>
          <cell r="F1422">
            <v>0</v>
          </cell>
          <cell r="G1422">
            <v>0</v>
          </cell>
        </row>
        <row r="1423">
          <cell r="A1423" t="str">
            <v>MZ380527EX</v>
          </cell>
          <cell r="B1423" t="str">
            <v>D</v>
          </cell>
          <cell r="C1423" t="str">
            <v>REAR BUMPER PLATE</v>
          </cell>
          <cell r="D1423">
            <v>164.37</v>
          </cell>
          <cell r="E1423">
            <v>273.95</v>
          </cell>
          <cell r="F1423">
            <v>3</v>
          </cell>
          <cell r="G1423">
            <v>0</v>
          </cell>
        </row>
        <row r="1424">
          <cell r="A1424" t="str">
            <v>MZ380538EX</v>
          </cell>
          <cell r="B1424" t="str">
            <v>U</v>
          </cell>
          <cell r="C1424" t="str">
            <v>FOGLIGHT KIT- OUTLANDER &lt;2013</v>
          </cell>
          <cell r="D1424">
            <v>344.37</v>
          </cell>
          <cell r="E1424">
            <v>573.95000000000005</v>
          </cell>
          <cell r="F1424">
            <v>0</v>
          </cell>
          <cell r="G1424">
            <v>0</v>
          </cell>
        </row>
        <row r="1425">
          <cell r="A1425" t="str">
            <v>MZ380544EX</v>
          </cell>
          <cell r="B1425" t="str">
            <v>S</v>
          </cell>
          <cell r="C1425" t="str">
            <v>GARNISH- FRONT BUMPER</v>
          </cell>
          <cell r="D1425">
            <v>230.37</v>
          </cell>
          <cell r="E1425">
            <v>383.95</v>
          </cell>
          <cell r="F1425">
            <v>11</v>
          </cell>
          <cell r="G1425">
            <v>0</v>
          </cell>
        </row>
        <row r="1426">
          <cell r="A1426" t="str">
            <v>MZ380547EX</v>
          </cell>
          <cell r="B1426" t="str">
            <v>S</v>
          </cell>
          <cell r="C1426" t="str">
            <v>FOG LAMP KIT - RVR &lt;2012</v>
          </cell>
          <cell r="D1426">
            <v>309.57</v>
          </cell>
          <cell r="E1426">
            <v>515.95000000000005</v>
          </cell>
          <cell r="F1426">
            <v>0</v>
          </cell>
          <cell r="G1426">
            <v>0</v>
          </cell>
        </row>
        <row r="1427">
          <cell r="A1427" t="str">
            <v>MZ380551EX</v>
          </cell>
          <cell r="B1427" t="str">
            <v>U</v>
          </cell>
          <cell r="C1427" t="str">
            <v>SCUFF PLATE - OUTLANDER SPORT</v>
          </cell>
          <cell r="D1427">
            <v>137.97</v>
          </cell>
          <cell r="E1427">
            <v>229.95</v>
          </cell>
          <cell r="F1427">
            <v>0</v>
          </cell>
          <cell r="G1427">
            <v>0</v>
          </cell>
        </row>
        <row r="1428">
          <cell r="A1428" t="str">
            <v>MZ380552EX</v>
          </cell>
          <cell r="B1428" t="str">
            <v>S</v>
          </cell>
          <cell r="C1428" t="str">
            <v>REAR VIEW CAMERA</v>
          </cell>
          <cell r="D1428">
            <v>200.37</v>
          </cell>
          <cell r="E1428">
            <v>333.95</v>
          </cell>
          <cell r="F1428">
            <v>0</v>
          </cell>
          <cell r="G1428">
            <v>0</v>
          </cell>
        </row>
        <row r="1429">
          <cell r="A1429" t="str">
            <v>MZ380564EX</v>
          </cell>
          <cell r="B1429" t="str">
            <v>S</v>
          </cell>
          <cell r="C1429" t="str">
            <v>GARNISH- FRONT BUMPER</v>
          </cell>
          <cell r="D1429">
            <v>347.44</v>
          </cell>
          <cell r="E1429">
            <v>579.95000000000005</v>
          </cell>
          <cell r="F1429">
            <v>0</v>
          </cell>
          <cell r="G1429">
            <v>0</v>
          </cell>
        </row>
        <row r="1430">
          <cell r="A1430" t="str">
            <v>MZ380579EX</v>
          </cell>
          <cell r="B1430" t="str">
            <v>S</v>
          </cell>
          <cell r="C1430" t="str">
            <v>DEFLECTORS- SIDE WINDOW AIR</v>
          </cell>
          <cell r="D1430">
            <v>73.17</v>
          </cell>
          <cell r="E1430">
            <v>121.95</v>
          </cell>
          <cell r="F1430">
            <v>0</v>
          </cell>
          <cell r="G1430">
            <v>0</v>
          </cell>
        </row>
        <row r="1431">
          <cell r="A1431" t="str">
            <v>MZ380595EX</v>
          </cell>
          <cell r="B1431" t="str">
            <v>S</v>
          </cell>
          <cell r="C1431" t="str">
            <v>SPOILER- RR GRAY A39 OUTL &lt;2013</v>
          </cell>
          <cell r="D1431">
            <v>344.97</v>
          </cell>
          <cell r="E1431">
            <v>574.95000000000005</v>
          </cell>
          <cell r="F1431">
            <v>0</v>
          </cell>
          <cell r="G1431">
            <v>0</v>
          </cell>
        </row>
        <row r="1432">
          <cell r="A1432" t="str">
            <v>MZ380596EX</v>
          </cell>
          <cell r="B1432" t="str">
            <v>F</v>
          </cell>
          <cell r="C1432" t="str">
            <v>SPOILER- RR SILVER A31 OUTL &lt;2013</v>
          </cell>
          <cell r="D1432">
            <v>325.17</v>
          </cell>
          <cell r="E1432">
            <v>541.95000000000005</v>
          </cell>
          <cell r="F1432">
            <v>0</v>
          </cell>
          <cell r="G1432">
            <v>0</v>
          </cell>
        </row>
        <row r="1433">
          <cell r="A1433" t="str">
            <v>MZ380597EX</v>
          </cell>
          <cell r="B1433" t="str">
            <v>S</v>
          </cell>
          <cell r="C1433" t="str">
            <v>SPOILER- RR BLACK X42 OUTL &lt;2013</v>
          </cell>
          <cell r="D1433">
            <v>325.17</v>
          </cell>
          <cell r="E1433">
            <v>541.95000000000005</v>
          </cell>
          <cell r="F1433">
            <v>0</v>
          </cell>
          <cell r="G1433">
            <v>0</v>
          </cell>
        </row>
        <row r="1434">
          <cell r="A1434" t="str">
            <v>MZ380598EX</v>
          </cell>
          <cell r="B1434" t="str">
            <v>Z</v>
          </cell>
          <cell r="C1434" t="str">
            <v>SPOILER- RR WHITE W13 OUTL &lt;2013</v>
          </cell>
          <cell r="D1434">
            <v>325.17</v>
          </cell>
          <cell r="E1434">
            <v>541.95000000000005</v>
          </cell>
          <cell r="F1434">
            <v>0</v>
          </cell>
          <cell r="G1434">
            <v>0</v>
          </cell>
        </row>
        <row r="1435">
          <cell r="A1435" t="str">
            <v>MZ380599EX</v>
          </cell>
          <cell r="B1435" t="str">
            <v>F</v>
          </cell>
          <cell r="C1435" t="str">
            <v>SPOILER- RR RED P26 OUTL &lt;2013</v>
          </cell>
          <cell r="D1435">
            <v>325.17</v>
          </cell>
          <cell r="E1435">
            <v>541.95000000000005</v>
          </cell>
          <cell r="F1435">
            <v>0</v>
          </cell>
          <cell r="G1435">
            <v>0</v>
          </cell>
        </row>
        <row r="1436">
          <cell r="A1436" t="str">
            <v>MZ380600EX</v>
          </cell>
          <cell r="B1436" t="str">
            <v>F</v>
          </cell>
          <cell r="C1436" t="str">
            <v>SPOILER- RR BLUE D14 OUTL &lt;2013</v>
          </cell>
          <cell r="D1436">
            <v>325.17</v>
          </cell>
          <cell r="E1436">
            <v>541.95000000000005</v>
          </cell>
          <cell r="F1436">
            <v>0</v>
          </cell>
          <cell r="G1436">
            <v>0</v>
          </cell>
        </row>
        <row r="1437">
          <cell r="A1437" t="str">
            <v>MZ380601EX</v>
          </cell>
          <cell r="B1437" t="str">
            <v>F</v>
          </cell>
          <cell r="C1437" t="str">
            <v>SPOILER- RR BROWN C06 OUTL &lt;2013</v>
          </cell>
          <cell r="D1437">
            <v>325.17</v>
          </cell>
          <cell r="E1437">
            <v>541.95000000000005</v>
          </cell>
          <cell r="F1437">
            <v>0</v>
          </cell>
          <cell r="G1437">
            <v>0</v>
          </cell>
        </row>
        <row r="1438">
          <cell r="A1438" t="str">
            <v>MZ380603EX</v>
          </cell>
          <cell r="B1438" t="str">
            <v>Q</v>
          </cell>
          <cell r="C1438" t="str">
            <v>FOGLIGHT KIT</v>
          </cell>
          <cell r="D1438">
            <v>328.77</v>
          </cell>
          <cell r="E1438">
            <v>547.95000000000005</v>
          </cell>
          <cell r="F1438">
            <v>2</v>
          </cell>
          <cell r="G1438">
            <v>0</v>
          </cell>
        </row>
        <row r="1439">
          <cell r="A1439" t="str">
            <v>MZ380621EX</v>
          </cell>
          <cell r="B1439" t="str">
            <v>F</v>
          </cell>
          <cell r="C1439" t="str">
            <v>INSTALL KIT- FOG LIGHTS</v>
          </cell>
          <cell r="D1439">
            <v>235.77</v>
          </cell>
          <cell r="E1439">
            <v>392.95</v>
          </cell>
          <cell r="F1439">
            <v>0</v>
          </cell>
          <cell r="G1439">
            <v>0</v>
          </cell>
        </row>
        <row r="1440">
          <cell r="A1440" t="str">
            <v>MZ380623EX</v>
          </cell>
          <cell r="B1440" t="str">
            <v>Q</v>
          </cell>
          <cell r="C1440" t="str">
            <v>FOGLIGHT KIT- OUTLANDER &lt;2013</v>
          </cell>
          <cell r="D1440">
            <v>344.37</v>
          </cell>
          <cell r="E1440">
            <v>573.95000000000005</v>
          </cell>
          <cell r="F1440">
            <v>3</v>
          </cell>
          <cell r="G1440">
            <v>0</v>
          </cell>
        </row>
        <row r="1441">
          <cell r="A1441" t="str">
            <v>MZ380626EX</v>
          </cell>
          <cell r="B1441" t="str">
            <v>S</v>
          </cell>
          <cell r="C1441" t="str">
            <v>GARNISH- FR BUMPER OUTLANDER &lt;2013</v>
          </cell>
          <cell r="D1441">
            <v>252.57</v>
          </cell>
          <cell r="E1441">
            <v>420.95</v>
          </cell>
          <cell r="F1441">
            <v>0</v>
          </cell>
          <cell r="G1441">
            <v>0</v>
          </cell>
        </row>
        <row r="1442">
          <cell r="A1442" t="str">
            <v>MZ380631EX</v>
          </cell>
          <cell r="B1442" t="str">
            <v>Q</v>
          </cell>
          <cell r="C1442" t="str">
            <v>FOG LAMP OUTLANDER 2014/2015</v>
          </cell>
          <cell r="D1442">
            <v>241.17</v>
          </cell>
          <cell r="E1442">
            <v>401.95</v>
          </cell>
          <cell r="F1442">
            <v>13</v>
          </cell>
          <cell r="G1442">
            <v>0</v>
          </cell>
        </row>
        <row r="1443">
          <cell r="A1443" t="str">
            <v>MZ380650EX</v>
          </cell>
          <cell r="B1443" t="str">
            <v>Q</v>
          </cell>
          <cell r="C1443" t="str">
            <v>FOG LAMP KIT - &gt;RVR 2014</v>
          </cell>
          <cell r="D1443">
            <v>155.37</v>
          </cell>
          <cell r="E1443">
            <v>258.95</v>
          </cell>
          <cell r="F1443">
            <v>4</v>
          </cell>
          <cell r="G1443">
            <v>0</v>
          </cell>
        </row>
        <row r="1444">
          <cell r="A1444" t="str">
            <v>MZ380651EX</v>
          </cell>
          <cell r="B1444" t="str">
            <v>S</v>
          </cell>
          <cell r="C1444" t="str">
            <v>FOG LAMP KIT - RVR 2013&gt;</v>
          </cell>
          <cell r="D1444">
            <v>246.57</v>
          </cell>
          <cell r="E1444">
            <v>410.95</v>
          </cell>
          <cell r="F1444">
            <v>0</v>
          </cell>
          <cell r="G1444">
            <v>0</v>
          </cell>
        </row>
        <row r="1445">
          <cell r="A1445" t="str">
            <v>MZ380653EX</v>
          </cell>
          <cell r="B1445" t="str">
            <v>Z</v>
          </cell>
          <cell r="C1445" t="str">
            <v>DAYTIME RUNNING LIGHTS</v>
          </cell>
          <cell r="D1445">
            <v>0.01</v>
          </cell>
          <cell r="E1445">
            <v>618.16999999999996</v>
          </cell>
          <cell r="F1445">
            <v>0</v>
          </cell>
          <cell r="G1445">
            <v>0</v>
          </cell>
        </row>
        <row r="1446">
          <cell r="A1446" t="str">
            <v>MZ380656EX</v>
          </cell>
          <cell r="B1446" t="str">
            <v>Q</v>
          </cell>
          <cell r="C1446" t="str">
            <v>REAR BUMPER STEP PROTECTOR</v>
          </cell>
          <cell r="D1446">
            <v>101.97</v>
          </cell>
          <cell r="E1446">
            <v>169.95</v>
          </cell>
          <cell r="F1446">
            <v>17</v>
          </cell>
          <cell r="G1446">
            <v>0</v>
          </cell>
        </row>
        <row r="1447">
          <cell r="A1447" t="str">
            <v>MZ380657EX</v>
          </cell>
          <cell r="B1447" t="str">
            <v>Q</v>
          </cell>
          <cell r="C1447" t="str">
            <v>MUDGUARD SET FR - RVR2013-15-&gt;</v>
          </cell>
          <cell r="D1447">
            <v>79.17</v>
          </cell>
          <cell r="E1447">
            <v>131.94999999999999</v>
          </cell>
          <cell r="F1447">
            <v>10</v>
          </cell>
          <cell r="G1447">
            <v>0</v>
          </cell>
        </row>
        <row r="1448">
          <cell r="A1448" t="str">
            <v>MZ380658EX</v>
          </cell>
          <cell r="B1448" t="str">
            <v>F</v>
          </cell>
          <cell r="C1448" t="str">
            <v>REAR SPOILER- LARGE - TITANIUM GREY U17</v>
          </cell>
          <cell r="D1448">
            <v>271.77</v>
          </cell>
          <cell r="E1448">
            <v>452.95</v>
          </cell>
          <cell r="F1448">
            <v>0</v>
          </cell>
          <cell r="G1448">
            <v>0</v>
          </cell>
        </row>
        <row r="1449">
          <cell r="A1449" t="str">
            <v>MZ380662EX</v>
          </cell>
          <cell r="B1449" t="str">
            <v>S</v>
          </cell>
          <cell r="C1449" t="str">
            <v>REAR BUMPER EXT PURPLE (V08)</v>
          </cell>
          <cell r="D1449">
            <v>220.77</v>
          </cell>
          <cell r="E1449">
            <v>367.95</v>
          </cell>
          <cell r="F1449">
            <v>0</v>
          </cell>
          <cell r="G1449">
            <v>0</v>
          </cell>
        </row>
        <row r="1450">
          <cell r="A1450" t="str">
            <v>MZ380663EX</v>
          </cell>
          <cell r="B1450" t="str">
            <v>F</v>
          </cell>
          <cell r="C1450" t="str">
            <v>REAR BUMP EXT CERULEAN BLUE MET(T69)</v>
          </cell>
          <cell r="D1450">
            <v>220.77</v>
          </cell>
          <cell r="E1450">
            <v>367.95</v>
          </cell>
          <cell r="F1450">
            <v>0</v>
          </cell>
          <cell r="G1450">
            <v>0</v>
          </cell>
        </row>
        <row r="1451">
          <cell r="A1451" t="str">
            <v>MZ380664EX</v>
          </cell>
          <cell r="B1451" t="str">
            <v>S</v>
          </cell>
          <cell r="C1451" t="str">
            <v>REAR BUMPER EXT GREEN(F24)</v>
          </cell>
          <cell r="D1451">
            <v>236.37</v>
          </cell>
          <cell r="E1451">
            <v>393.95</v>
          </cell>
          <cell r="F1451">
            <v>0</v>
          </cell>
          <cell r="G1451">
            <v>0</v>
          </cell>
        </row>
        <row r="1452">
          <cell r="A1452" t="str">
            <v>MZ380665EX</v>
          </cell>
          <cell r="B1452" t="str">
            <v>Q</v>
          </cell>
          <cell r="C1452" t="str">
            <v>REAR BUMPER EXT RED METALIC(P19)</v>
          </cell>
          <cell r="D1452">
            <v>236.37</v>
          </cell>
          <cell r="E1452">
            <v>393.95</v>
          </cell>
          <cell r="F1452">
            <v>4</v>
          </cell>
          <cell r="G1452">
            <v>0</v>
          </cell>
        </row>
        <row r="1453">
          <cell r="A1453" t="str">
            <v>MZ380666EX</v>
          </cell>
          <cell r="B1453" t="str">
            <v>S</v>
          </cell>
          <cell r="C1453" t="str">
            <v>REAR BUMPER EXT BLACK MICA(X08)</v>
          </cell>
          <cell r="D1453">
            <v>220.77</v>
          </cell>
          <cell r="E1453">
            <v>367.95</v>
          </cell>
          <cell r="F1453">
            <v>4</v>
          </cell>
          <cell r="G1453">
            <v>0</v>
          </cell>
        </row>
        <row r="1454">
          <cell r="A1454" t="str">
            <v>MZ380667EX</v>
          </cell>
          <cell r="B1454" t="str">
            <v>S</v>
          </cell>
          <cell r="C1454" t="str">
            <v>REAR BUMPER EXT GRAY(A02)</v>
          </cell>
          <cell r="D1454">
            <v>220.77</v>
          </cell>
          <cell r="E1454">
            <v>367.95</v>
          </cell>
          <cell r="F1454">
            <v>1</v>
          </cell>
          <cell r="G1454">
            <v>0</v>
          </cell>
        </row>
        <row r="1455">
          <cell r="A1455" t="str">
            <v>MZ380668EX</v>
          </cell>
          <cell r="B1455" t="str">
            <v>S</v>
          </cell>
          <cell r="C1455" t="str">
            <v>REAR BUMPER EXT COOL SILVER METALIC(A66)</v>
          </cell>
          <cell r="D1455">
            <v>236.37</v>
          </cell>
          <cell r="E1455">
            <v>393.95</v>
          </cell>
          <cell r="F1455">
            <v>0</v>
          </cell>
          <cell r="G1455">
            <v>0</v>
          </cell>
        </row>
        <row r="1456">
          <cell r="A1456" t="str">
            <v>MZ380669EX</v>
          </cell>
          <cell r="B1456" t="str">
            <v>S</v>
          </cell>
          <cell r="C1456" t="str">
            <v>REAR BUMPER EXT WHITE (W19)</v>
          </cell>
          <cell r="D1456">
            <v>220.77</v>
          </cell>
          <cell r="E1456">
            <v>367.95</v>
          </cell>
          <cell r="F1456">
            <v>0</v>
          </cell>
          <cell r="G1456">
            <v>0</v>
          </cell>
        </row>
        <row r="1457">
          <cell r="A1457" t="str">
            <v>MZ380673EX</v>
          </cell>
          <cell r="B1457" t="str">
            <v>Z</v>
          </cell>
          <cell r="C1457" t="str">
            <v>Rear View Camera</v>
          </cell>
          <cell r="D1457">
            <v>0.01</v>
          </cell>
          <cell r="E1457">
            <v>0.01</v>
          </cell>
          <cell r="F1457">
            <v>0</v>
          </cell>
          <cell r="G1457">
            <v>0</v>
          </cell>
        </row>
        <row r="1458">
          <cell r="A1458" t="str">
            <v>MZ380675EX</v>
          </cell>
          <cell r="B1458" t="str">
            <v>Z</v>
          </cell>
          <cell r="C1458" t="str">
            <v>Rear View Camera Cover</v>
          </cell>
          <cell r="D1458">
            <v>0.01</v>
          </cell>
          <cell r="E1458">
            <v>0.01</v>
          </cell>
          <cell r="F1458">
            <v>0</v>
          </cell>
          <cell r="G1458">
            <v>0</v>
          </cell>
        </row>
        <row r="1459">
          <cell r="A1459" t="str">
            <v>MZ380676EX</v>
          </cell>
          <cell r="B1459" t="str">
            <v>Z</v>
          </cell>
          <cell r="C1459" t="str">
            <v>Rear View Camera Cover</v>
          </cell>
          <cell r="D1459">
            <v>0.01</v>
          </cell>
          <cell r="E1459">
            <v>0.01</v>
          </cell>
          <cell r="F1459">
            <v>0</v>
          </cell>
          <cell r="G1459">
            <v>0</v>
          </cell>
        </row>
        <row r="1460">
          <cell r="A1460" t="str">
            <v>MZ380677EX</v>
          </cell>
          <cell r="B1460" t="str">
            <v>Z</v>
          </cell>
          <cell r="C1460" t="str">
            <v>Rear View Camera Cover</v>
          </cell>
          <cell r="D1460">
            <v>0.01</v>
          </cell>
          <cell r="E1460">
            <v>0.01</v>
          </cell>
          <cell r="F1460">
            <v>0</v>
          </cell>
          <cell r="G1460">
            <v>0</v>
          </cell>
        </row>
        <row r="1461">
          <cell r="A1461" t="str">
            <v>MZ380678EX</v>
          </cell>
          <cell r="B1461" t="str">
            <v>Z</v>
          </cell>
          <cell r="C1461" t="str">
            <v>Rear View Camera Cover</v>
          </cell>
          <cell r="D1461">
            <v>0.01</v>
          </cell>
          <cell r="E1461">
            <v>0.01</v>
          </cell>
          <cell r="F1461">
            <v>0</v>
          </cell>
          <cell r="G1461">
            <v>0</v>
          </cell>
        </row>
        <row r="1462">
          <cell r="A1462" t="str">
            <v>MZ380679EX</v>
          </cell>
          <cell r="B1462" t="str">
            <v>Z</v>
          </cell>
          <cell r="C1462" t="str">
            <v>Rear View Camera Cover</v>
          </cell>
          <cell r="D1462">
            <v>0.01</v>
          </cell>
          <cell r="E1462">
            <v>0.01</v>
          </cell>
          <cell r="F1462">
            <v>0</v>
          </cell>
          <cell r="G1462">
            <v>0</v>
          </cell>
        </row>
        <row r="1463">
          <cell r="A1463" t="str">
            <v>MZ380680EX</v>
          </cell>
          <cell r="B1463" t="str">
            <v>Z</v>
          </cell>
          <cell r="C1463" t="str">
            <v>Rear View Camera Cover</v>
          </cell>
          <cell r="D1463">
            <v>0.01</v>
          </cell>
          <cell r="E1463">
            <v>0.01</v>
          </cell>
          <cell r="F1463">
            <v>0</v>
          </cell>
          <cell r="G1463">
            <v>0</v>
          </cell>
        </row>
        <row r="1464">
          <cell r="A1464" t="str">
            <v>MZ380681EX</v>
          </cell>
          <cell r="B1464" t="str">
            <v>Z</v>
          </cell>
          <cell r="C1464" t="str">
            <v>Rear View Camera Cover</v>
          </cell>
          <cell r="D1464">
            <v>0.01</v>
          </cell>
          <cell r="E1464">
            <v>0.01</v>
          </cell>
          <cell r="F1464">
            <v>0</v>
          </cell>
          <cell r="G1464">
            <v>0</v>
          </cell>
        </row>
        <row r="1465">
          <cell r="A1465" t="str">
            <v>MZ380682EX</v>
          </cell>
          <cell r="B1465" t="str">
            <v>Z</v>
          </cell>
          <cell r="C1465" t="str">
            <v>Rear View Camera Cover</v>
          </cell>
          <cell r="D1465">
            <v>0.01</v>
          </cell>
          <cell r="E1465">
            <v>0.01</v>
          </cell>
          <cell r="F1465">
            <v>0</v>
          </cell>
          <cell r="G1465">
            <v>0</v>
          </cell>
        </row>
        <row r="1466">
          <cell r="A1466" t="str">
            <v>MZ380685EX</v>
          </cell>
          <cell r="B1466" t="str">
            <v>S</v>
          </cell>
          <cell r="C1466" t="str">
            <v>REAR BUMPER EXTENSION (W54)</v>
          </cell>
          <cell r="D1466">
            <v>220.77</v>
          </cell>
          <cell r="E1466">
            <v>367.95</v>
          </cell>
          <cell r="F1466">
            <v>0</v>
          </cell>
          <cell r="G1466">
            <v>0</v>
          </cell>
        </row>
        <row r="1467">
          <cell r="A1467" t="str">
            <v>MZ380689EX</v>
          </cell>
          <cell r="B1467" t="str">
            <v>Q</v>
          </cell>
          <cell r="C1467" t="str">
            <v>MUD GUARD FRONT RE</v>
          </cell>
          <cell r="D1467">
            <v>35.72</v>
          </cell>
          <cell r="E1467">
            <v>54.95</v>
          </cell>
          <cell r="F1467">
            <v>95</v>
          </cell>
          <cell r="G1467">
            <v>0</v>
          </cell>
        </row>
        <row r="1468">
          <cell r="A1468" t="str">
            <v>MZ380690EX</v>
          </cell>
          <cell r="B1468" t="str">
            <v>Q</v>
          </cell>
          <cell r="C1468" t="str">
            <v>MUD GUARD RR RE 2014/2015</v>
          </cell>
          <cell r="D1468">
            <v>35.72</v>
          </cell>
          <cell r="E1468">
            <v>54.95</v>
          </cell>
          <cell r="F1468">
            <v>4</v>
          </cell>
          <cell r="G1468">
            <v>0</v>
          </cell>
        </row>
        <row r="1469">
          <cell r="A1469" t="str">
            <v>MZ380692EX</v>
          </cell>
          <cell r="B1469" t="str">
            <v>D</v>
          </cell>
          <cell r="C1469" t="str">
            <v>FOGLIGHT KIT</v>
          </cell>
          <cell r="D1469">
            <v>170.37</v>
          </cell>
          <cell r="E1469">
            <v>283.95</v>
          </cell>
          <cell r="F1469">
            <v>2</v>
          </cell>
          <cell r="G1469">
            <v>0</v>
          </cell>
        </row>
        <row r="1470">
          <cell r="A1470" t="str">
            <v>MZ380694EX</v>
          </cell>
          <cell r="B1470" t="str">
            <v>S</v>
          </cell>
          <cell r="C1470" t="str">
            <v>FOG LAMPS- HALOGEN - 2016 O/L</v>
          </cell>
          <cell r="D1470">
            <v>277.16000000000003</v>
          </cell>
          <cell r="E1470">
            <v>461.95</v>
          </cell>
          <cell r="F1470">
            <v>0</v>
          </cell>
          <cell r="G1470">
            <v>0</v>
          </cell>
        </row>
        <row r="1471">
          <cell r="A1471" t="str">
            <v>MZ380696EX</v>
          </cell>
          <cell r="B1471" t="str">
            <v>F</v>
          </cell>
          <cell r="C1471" t="str">
            <v>REAR BUMPER EXTENSION  (U17)</v>
          </cell>
          <cell r="D1471">
            <v>220.77</v>
          </cell>
          <cell r="E1471">
            <v>367.95</v>
          </cell>
          <cell r="F1471">
            <v>0</v>
          </cell>
          <cell r="G1471">
            <v>0</v>
          </cell>
        </row>
        <row r="1472">
          <cell r="A1472" t="str">
            <v>MZ380697EX</v>
          </cell>
          <cell r="B1472" t="str">
            <v>Q</v>
          </cell>
          <cell r="C1472" t="str">
            <v>MUDGUARDS- REAR RE PHEV</v>
          </cell>
          <cell r="D1472">
            <v>38.97</v>
          </cell>
          <cell r="E1472">
            <v>64.95</v>
          </cell>
          <cell r="F1472">
            <v>13</v>
          </cell>
          <cell r="G1472">
            <v>5</v>
          </cell>
        </row>
        <row r="1473">
          <cell r="A1473" t="str">
            <v>MZ380698EX</v>
          </cell>
          <cell r="B1473" t="str">
            <v>A</v>
          </cell>
          <cell r="C1473" t="str">
            <v>FRONT MUDGUARDS RVR</v>
          </cell>
          <cell r="D1473">
            <v>52.77</v>
          </cell>
          <cell r="E1473">
            <v>87.95</v>
          </cell>
          <cell r="F1473">
            <v>1137</v>
          </cell>
          <cell r="G1473">
            <v>1558</v>
          </cell>
        </row>
        <row r="1474">
          <cell r="A1474" t="str">
            <v>MZ380699EX</v>
          </cell>
          <cell r="B1474" t="str">
            <v>S</v>
          </cell>
          <cell r="C1474" t="str">
            <v>REAR MUDGUARDS RVR '16-'17</v>
          </cell>
          <cell r="D1474">
            <v>47.97</v>
          </cell>
          <cell r="E1474">
            <v>79.95</v>
          </cell>
          <cell r="F1474">
            <v>14</v>
          </cell>
          <cell r="G1474">
            <v>0</v>
          </cell>
        </row>
        <row r="1475">
          <cell r="A1475" t="str">
            <v>MZ380701EX</v>
          </cell>
          <cell r="B1475" t="str">
            <v>Q</v>
          </cell>
          <cell r="C1475" t="str">
            <v>MUD GUARDS,FRONT,SET</v>
          </cell>
          <cell r="D1475">
            <v>35.97</v>
          </cell>
          <cell r="E1475">
            <v>59.95</v>
          </cell>
          <cell r="F1475">
            <v>205</v>
          </cell>
          <cell r="G1475">
            <v>0</v>
          </cell>
        </row>
        <row r="1476">
          <cell r="A1476" t="str">
            <v>MZ380707EX</v>
          </cell>
          <cell r="B1476" t="str">
            <v>Q</v>
          </cell>
          <cell r="C1476" t="str">
            <v>SPOILER,REAR,U25</v>
          </cell>
          <cell r="D1476">
            <v>346.77</v>
          </cell>
          <cell r="E1476">
            <v>577.95000000000005</v>
          </cell>
          <cell r="F1476">
            <v>2</v>
          </cell>
          <cell r="G1476">
            <v>0</v>
          </cell>
        </row>
        <row r="1477">
          <cell r="A1477" t="str">
            <v>MZ380708EX</v>
          </cell>
          <cell r="B1477" t="str">
            <v>Q</v>
          </cell>
          <cell r="C1477" t="str">
            <v>FOG LAMP KIT - RVR '16-&gt;</v>
          </cell>
          <cell r="D1477">
            <v>137.97</v>
          </cell>
          <cell r="E1477">
            <v>229.95</v>
          </cell>
          <cell r="F1477">
            <v>7</v>
          </cell>
          <cell r="G1477">
            <v>0</v>
          </cell>
        </row>
        <row r="1478">
          <cell r="A1478" t="str">
            <v>MZ380713EX</v>
          </cell>
          <cell r="B1478" t="str">
            <v>D</v>
          </cell>
          <cell r="C1478" t="str">
            <v>FOG LAMP KIT</v>
          </cell>
          <cell r="D1478">
            <v>117.57</v>
          </cell>
          <cell r="E1478">
            <v>195.95</v>
          </cell>
          <cell r="F1478">
            <v>6</v>
          </cell>
          <cell r="G1478">
            <v>0</v>
          </cell>
        </row>
        <row r="1479">
          <cell r="A1479" t="str">
            <v>MZ380714EX</v>
          </cell>
          <cell r="B1479" t="str">
            <v>Q</v>
          </cell>
          <cell r="C1479" t="str">
            <v>FOG LAMP KIT</v>
          </cell>
          <cell r="D1479">
            <v>95.97</v>
          </cell>
          <cell r="E1479">
            <v>159.94999999999999</v>
          </cell>
          <cell r="F1479">
            <v>3</v>
          </cell>
          <cell r="G1479">
            <v>0</v>
          </cell>
        </row>
        <row r="1480">
          <cell r="A1480" t="str">
            <v>MZ380725EX</v>
          </cell>
          <cell r="B1480" t="str">
            <v>F</v>
          </cell>
          <cell r="C1480" t="str">
            <v>MUD FLAP (RED) - EL RALLIART</v>
          </cell>
          <cell r="D1480">
            <v>279.76</v>
          </cell>
          <cell r="E1480">
            <v>466.26</v>
          </cell>
          <cell r="F1480">
            <v>0</v>
          </cell>
          <cell r="G1480">
            <v>0</v>
          </cell>
        </row>
        <row r="1481">
          <cell r="A1481" t="str">
            <v>MZ380727EX</v>
          </cell>
          <cell r="B1481" t="str">
            <v>F</v>
          </cell>
          <cell r="C1481" t="str">
            <v>MUD FLAP (BLACK) - EL RALLIART</v>
          </cell>
          <cell r="D1481">
            <v>279.76</v>
          </cell>
          <cell r="E1481">
            <v>466.26</v>
          </cell>
          <cell r="F1481">
            <v>0</v>
          </cell>
          <cell r="G1481">
            <v>0</v>
          </cell>
        </row>
        <row r="1482">
          <cell r="A1482" t="str">
            <v>MZ380731EX</v>
          </cell>
          <cell r="B1482" t="str">
            <v>D</v>
          </cell>
          <cell r="C1482" t="str">
            <v>FENDER PROTECTOR</v>
          </cell>
          <cell r="D1482">
            <v>832</v>
          </cell>
          <cell r="E1482">
            <v>1386.95</v>
          </cell>
          <cell r="F1482">
            <v>18</v>
          </cell>
          <cell r="G1482">
            <v>0</v>
          </cell>
        </row>
        <row r="1483">
          <cell r="A1483" t="str">
            <v>MZ380732EX</v>
          </cell>
          <cell r="B1483" t="str">
            <v>N</v>
          </cell>
          <cell r="C1483" t="str">
            <v>FENDER PROTECTOR</v>
          </cell>
          <cell r="D1483">
            <v>854.97</v>
          </cell>
          <cell r="E1483">
            <v>1424.95</v>
          </cell>
          <cell r="F1483">
            <v>0</v>
          </cell>
          <cell r="G1483">
            <v>0</v>
          </cell>
        </row>
        <row r="1484">
          <cell r="A1484" t="str">
            <v>MZ511956EX</v>
          </cell>
          <cell r="B1484" t="str">
            <v>X</v>
          </cell>
          <cell r="C1484" t="str">
            <v>FLR MAT ST</v>
          </cell>
          <cell r="D1484">
            <v>50.37</v>
          </cell>
          <cell r="E1484">
            <v>83.95</v>
          </cell>
          <cell r="F1484">
            <v>0</v>
          </cell>
          <cell r="G1484">
            <v>0</v>
          </cell>
        </row>
        <row r="1485">
          <cell r="A1485" t="str">
            <v>MZ514125EX</v>
          </cell>
          <cell r="B1485" t="str">
            <v>Z</v>
          </cell>
          <cell r="C1485" t="str">
            <v>TRUNK MAT- W/O SUBWOOFER</v>
          </cell>
          <cell r="D1485">
            <v>94.77</v>
          </cell>
          <cell r="E1485">
            <v>157.94999999999999</v>
          </cell>
          <cell r="F1485">
            <v>0</v>
          </cell>
          <cell r="G1485">
            <v>0</v>
          </cell>
        </row>
        <row r="1486">
          <cell r="A1486" t="str">
            <v>MZ514293EX</v>
          </cell>
          <cell r="B1486" t="str">
            <v>F</v>
          </cell>
          <cell r="C1486" t="str">
            <v>LUGGAGE MAT(FOR REPAIR KIT</v>
          </cell>
          <cell r="D1486">
            <v>41.37</v>
          </cell>
          <cell r="E1486">
            <v>68.95</v>
          </cell>
          <cell r="F1486">
            <v>0</v>
          </cell>
          <cell r="G1486">
            <v>0</v>
          </cell>
        </row>
        <row r="1487">
          <cell r="A1487" t="str">
            <v>MZ514296EX</v>
          </cell>
          <cell r="B1487" t="str">
            <v>S</v>
          </cell>
          <cell r="C1487" t="str">
            <v>LUGGAGE MAT</v>
          </cell>
          <cell r="D1487">
            <v>57.57</v>
          </cell>
          <cell r="E1487">
            <v>95.95</v>
          </cell>
          <cell r="F1487">
            <v>0</v>
          </cell>
          <cell r="G1487">
            <v>0</v>
          </cell>
        </row>
        <row r="1488">
          <cell r="A1488" t="str">
            <v>MZ514300EX</v>
          </cell>
          <cell r="B1488" t="str">
            <v>Z</v>
          </cell>
          <cell r="C1488" t="str">
            <v>LUGGAGE SOFT TRAY</v>
          </cell>
          <cell r="D1488">
            <v>259.33</v>
          </cell>
          <cell r="E1488">
            <v>432.95</v>
          </cell>
          <cell r="F1488">
            <v>0</v>
          </cell>
          <cell r="G1488">
            <v>0</v>
          </cell>
        </row>
        <row r="1489">
          <cell r="A1489" t="str">
            <v>MZ518796EX</v>
          </cell>
          <cell r="B1489" t="str">
            <v>C</v>
          </cell>
          <cell r="C1489" t="str">
            <v>ROLL SUNSHADE</v>
          </cell>
          <cell r="D1489">
            <v>244.17</v>
          </cell>
          <cell r="E1489">
            <v>406.95</v>
          </cell>
          <cell r="F1489">
            <v>12</v>
          </cell>
          <cell r="G1489">
            <v>8</v>
          </cell>
        </row>
        <row r="1490">
          <cell r="A1490" t="str">
            <v>MZ518797EX</v>
          </cell>
          <cell r="B1490" t="str">
            <v>D</v>
          </cell>
          <cell r="C1490" t="str">
            <v>ONE TOUCH SUNSHADE</v>
          </cell>
          <cell r="D1490">
            <v>269.97000000000003</v>
          </cell>
          <cell r="E1490">
            <v>449.95</v>
          </cell>
          <cell r="F1490">
            <v>13</v>
          </cell>
          <cell r="G1490">
            <v>0</v>
          </cell>
        </row>
        <row r="1491">
          <cell r="A1491" t="str">
            <v>MZ520624EX</v>
          </cell>
          <cell r="B1491" t="str">
            <v>U</v>
          </cell>
          <cell r="C1491" t="str">
            <v>ASH CUP</v>
          </cell>
          <cell r="D1491">
            <v>26.37</v>
          </cell>
          <cell r="E1491">
            <v>43.95</v>
          </cell>
          <cell r="F1491">
            <v>0</v>
          </cell>
          <cell r="G1491">
            <v>0</v>
          </cell>
        </row>
        <row r="1492">
          <cell r="A1492" t="str">
            <v>MZ520635EX</v>
          </cell>
          <cell r="B1492" t="str">
            <v>Z</v>
          </cell>
          <cell r="C1492" t="str">
            <v>LED ASH CUP</v>
          </cell>
          <cell r="D1492">
            <v>85.77</v>
          </cell>
          <cell r="E1492">
            <v>142.94999999999999</v>
          </cell>
          <cell r="F1492">
            <v>4</v>
          </cell>
          <cell r="G1492">
            <v>0</v>
          </cell>
        </row>
        <row r="1493">
          <cell r="A1493" t="str">
            <v>MZ521034EX</v>
          </cell>
          <cell r="B1493" t="str">
            <v>D</v>
          </cell>
          <cell r="C1493" t="str">
            <v>UTILITY BAG</v>
          </cell>
          <cell r="D1493">
            <v>97.77</v>
          </cell>
          <cell r="E1493">
            <v>162.94999999999999</v>
          </cell>
          <cell r="F1493">
            <v>4</v>
          </cell>
          <cell r="G1493">
            <v>0</v>
          </cell>
        </row>
        <row r="1494">
          <cell r="A1494" t="str">
            <v>MZ521857EX</v>
          </cell>
          <cell r="B1494" t="str">
            <v>B</v>
          </cell>
          <cell r="C1494" t="str">
            <v>TONNEAU COVER</v>
          </cell>
          <cell r="D1494">
            <v>140.37</v>
          </cell>
          <cell r="E1494">
            <v>233.95</v>
          </cell>
          <cell r="F1494">
            <v>375</v>
          </cell>
          <cell r="G1494">
            <v>0</v>
          </cell>
        </row>
        <row r="1495">
          <cell r="A1495" t="str">
            <v>MZ521887EX</v>
          </cell>
          <cell r="B1495" t="str">
            <v>Q</v>
          </cell>
          <cell r="C1495" t="str">
            <v>TONNEAU COVER W/O ELEC T/GATE OUTLANDER</v>
          </cell>
          <cell r="D1495">
            <v>158.97</v>
          </cell>
          <cell r="E1495">
            <v>264.95</v>
          </cell>
          <cell r="F1495">
            <v>5</v>
          </cell>
          <cell r="G1495">
            <v>0</v>
          </cell>
        </row>
        <row r="1496">
          <cell r="A1496" t="str">
            <v>MZ521888EX</v>
          </cell>
          <cell r="B1496" t="str">
            <v>Q</v>
          </cell>
          <cell r="C1496" t="str">
            <v>TONNEAU COVER W ELEC TAILGATE</v>
          </cell>
          <cell r="D1496">
            <v>161.97</v>
          </cell>
          <cell r="E1496">
            <v>269.95</v>
          </cell>
          <cell r="F1496">
            <v>4</v>
          </cell>
          <cell r="G1496">
            <v>0</v>
          </cell>
        </row>
        <row r="1497">
          <cell r="A1497" t="str">
            <v>MZ522511EX</v>
          </cell>
          <cell r="B1497" t="str">
            <v>C</v>
          </cell>
          <cell r="C1497" t="str">
            <v>CARGO PROTECTOR</v>
          </cell>
          <cell r="D1497">
            <v>363.57</v>
          </cell>
          <cell r="E1497">
            <v>605.95000000000005</v>
          </cell>
          <cell r="F1497">
            <v>17</v>
          </cell>
          <cell r="G1497">
            <v>0</v>
          </cell>
        </row>
        <row r="1498">
          <cell r="A1498" t="str">
            <v>MZ522615EX</v>
          </cell>
          <cell r="B1498" t="str">
            <v>Z</v>
          </cell>
          <cell r="C1498" t="str">
            <v>TRUNK TRAY</v>
          </cell>
          <cell r="D1498">
            <v>196.17</v>
          </cell>
          <cell r="E1498">
            <v>326.95</v>
          </cell>
          <cell r="F1498">
            <v>0</v>
          </cell>
          <cell r="G1498">
            <v>0</v>
          </cell>
        </row>
        <row r="1499">
          <cell r="A1499" t="str">
            <v>MZ522661EX</v>
          </cell>
          <cell r="B1499" t="str">
            <v>Z</v>
          </cell>
          <cell r="C1499" t="str">
            <v>LUGGAGE TRAY</v>
          </cell>
          <cell r="D1499">
            <v>108.57</v>
          </cell>
          <cell r="E1499">
            <v>180.95</v>
          </cell>
          <cell r="F1499">
            <v>0</v>
          </cell>
          <cell r="G1499">
            <v>0</v>
          </cell>
        </row>
        <row r="1500">
          <cell r="A1500" t="str">
            <v>MZ522693EX</v>
          </cell>
          <cell r="B1500" t="str">
            <v>L</v>
          </cell>
          <cell r="C1500" t="str">
            <v>TRAY- LUGGAGE OUTLANDER &lt;2013</v>
          </cell>
          <cell r="D1500">
            <v>122.37</v>
          </cell>
          <cell r="E1500">
            <v>203.95</v>
          </cell>
          <cell r="F1500">
            <v>19</v>
          </cell>
          <cell r="G1500">
            <v>0</v>
          </cell>
        </row>
        <row r="1501">
          <cell r="A1501" t="str">
            <v>MZ522721EX</v>
          </cell>
          <cell r="B1501" t="str">
            <v>S</v>
          </cell>
          <cell r="C1501" t="str">
            <v>TRAY-TRUNK</v>
          </cell>
          <cell r="D1501">
            <v>196.17</v>
          </cell>
          <cell r="E1501">
            <v>326.95</v>
          </cell>
          <cell r="F1501">
            <v>2</v>
          </cell>
          <cell r="G1501">
            <v>0</v>
          </cell>
        </row>
        <row r="1502">
          <cell r="A1502" t="str">
            <v>MZ522734EX</v>
          </cell>
          <cell r="B1502" t="str">
            <v>F</v>
          </cell>
          <cell r="C1502" t="str">
            <v>LUGGAGE NET</v>
          </cell>
          <cell r="D1502">
            <v>100.17</v>
          </cell>
          <cell r="E1502">
            <v>166.95</v>
          </cell>
          <cell r="F1502">
            <v>0</v>
          </cell>
          <cell r="G1502">
            <v>0</v>
          </cell>
        </row>
        <row r="1503">
          <cell r="A1503" t="str">
            <v>MZ522742EX</v>
          </cell>
          <cell r="B1503" t="str">
            <v>F</v>
          </cell>
          <cell r="C1503" t="str">
            <v>LUGGAGE FLOOR BOX</v>
          </cell>
          <cell r="D1503">
            <v>290.37</v>
          </cell>
          <cell r="E1503">
            <v>483.95</v>
          </cell>
          <cell r="F1503">
            <v>0</v>
          </cell>
          <cell r="G1503">
            <v>0</v>
          </cell>
        </row>
        <row r="1504">
          <cell r="A1504" t="str">
            <v>MZ522752EX</v>
          </cell>
          <cell r="B1504" t="str">
            <v>N</v>
          </cell>
          <cell r="C1504" t="str">
            <v>TONNEAUCVR</v>
          </cell>
          <cell r="D1504">
            <v>137.97</v>
          </cell>
          <cell r="E1504">
            <v>229.95</v>
          </cell>
          <cell r="F1504">
            <v>0</v>
          </cell>
          <cell r="G1504">
            <v>5</v>
          </cell>
        </row>
        <row r="1505">
          <cell r="A1505" t="str">
            <v>MZ525507EX</v>
          </cell>
          <cell r="B1505" t="str">
            <v>C</v>
          </cell>
          <cell r="C1505" t="str">
            <v>SHIFT KNOB</v>
          </cell>
          <cell r="D1505">
            <v>73.17</v>
          </cell>
          <cell r="E1505">
            <v>121.95</v>
          </cell>
          <cell r="F1505">
            <v>6</v>
          </cell>
          <cell r="G1505">
            <v>0</v>
          </cell>
        </row>
        <row r="1506">
          <cell r="A1506" t="str">
            <v>MZ525554EX</v>
          </cell>
          <cell r="B1506" t="str">
            <v>F</v>
          </cell>
          <cell r="C1506" t="str">
            <v>KNOB- SHIFT- SILVER</v>
          </cell>
          <cell r="D1506">
            <v>117.57</v>
          </cell>
          <cell r="E1506">
            <v>195.95</v>
          </cell>
          <cell r="F1506">
            <v>0</v>
          </cell>
          <cell r="G1506">
            <v>0</v>
          </cell>
        </row>
        <row r="1507">
          <cell r="A1507" t="str">
            <v>MZ525607EX</v>
          </cell>
          <cell r="B1507" t="str">
            <v>F</v>
          </cell>
          <cell r="C1507" t="str">
            <v>PARKING BRAKE GRIP- SILV/CARBN</v>
          </cell>
          <cell r="D1507">
            <v>305.97000000000003</v>
          </cell>
          <cell r="E1507">
            <v>509.95</v>
          </cell>
          <cell r="F1507">
            <v>0</v>
          </cell>
          <cell r="G1507">
            <v>0</v>
          </cell>
        </row>
        <row r="1508">
          <cell r="A1508" t="str">
            <v>MZ525632EX</v>
          </cell>
          <cell r="B1508" t="str">
            <v>S</v>
          </cell>
          <cell r="C1508" t="str">
            <v>KNOB- SHIFT-TC-SST ALUM/LEATHE</v>
          </cell>
          <cell r="D1508">
            <v>309.57</v>
          </cell>
          <cell r="E1508">
            <v>515.95000000000005</v>
          </cell>
          <cell r="F1508">
            <v>0</v>
          </cell>
          <cell r="G1508">
            <v>0</v>
          </cell>
        </row>
        <row r="1509">
          <cell r="A1509" t="str">
            <v>MZ525635EX</v>
          </cell>
          <cell r="B1509" t="str">
            <v>Q</v>
          </cell>
          <cell r="C1509" t="str">
            <v>KNOB- SHIFT- 5 M/T ALUMINUM</v>
          </cell>
          <cell r="D1509">
            <v>182.97</v>
          </cell>
          <cell r="E1509">
            <v>304.95</v>
          </cell>
          <cell r="F1509">
            <v>1</v>
          </cell>
          <cell r="G1509">
            <v>0</v>
          </cell>
        </row>
        <row r="1510">
          <cell r="A1510" t="str">
            <v>MZ525639EX</v>
          </cell>
          <cell r="B1510" t="str">
            <v>S</v>
          </cell>
          <cell r="C1510" t="str">
            <v>KNOB- SHIFT- TC-SST- RALLIART</v>
          </cell>
          <cell r="D1510">
            <v>196.17</v>
          </cell>
          <cell r="E1510">
            <v>326.95</v>
          </cell>
          <cell r="F1510">
            <v>0</v>
          </cell>
          <cell r="G1510">
            <v>0</v>
          </cell>
        </row>
        <row r="1511">
          <cell r="A1511" t="str">
            <v>MZ526047EX</v>
          </cell>
          <cell r="B1511" t="str">
            <v>O</v>
          </cell>
          <cell r="C1511" t="str">
            <v>TONNEAU COVER</v>
          </cell>
          <cell r="D1511">
            <v>186.57</v>
          </cell>
          <cell r="E1511">
            <v>310.95</v>
          </cell>
          <cell r="F1511">
            <v>15</v>
          </cell>
          <cell r="G1511">
            <v>0</v>
          </cell>
        </row>
        <row r="1512">
          <cell r="A1512" t="str">
            <v>MZ526050EX</v>
          </cell>
          <cell r="B1512" t="str">
            <v>D</v>
          </cell>
          <cell r="C1512" t="str">
            <v>TONNEAU COVER ECLIPSE</v>
          </cell>
          <cell r="D1512">
            <v>194.97</v>
          </cell>
          <cell r="E1512">
            <v>324.95</v>
          </cell>
          <cell r="F1512">
            <v>27</v>
          </cell>
          <cell r="G1512">
            <v>0</v>
          </cell>
        </row>
        <row r="1513">
          <cell r="A1513" t="str">
            <v>MZ527391EX</v>
          </cell>
          <cell r="B1513" t="str">
            <v>D</v>
          </cell>
          <cell r="C1513" t="str">
            <v>SCUFF PLATES- RALLIART</v>
          </cell>
          <cell r="D1513">
            <v>163.77000000000001</v>
          </cell>
          <cell r="E1513">
            <v>272.95</v>
          </cell>
          <cell r="F1513">
            <v>3</v>
          </cell>
          <cell r="G1513">
            <v>0</v>
          </cell>
        </row>
        <row r="1514">
          <cell r="A1514" t="str">
            <v>MZ527473EX</v>
          </cell>
          <cell r="B1514" t="str">
            <v>C</v>
          </cell>
          <cell r="C1514" t="str">
            <v>SCUFF PLATE</v>
          </cell>
          <cell r="D1514">
            <v>137.97</v>
          </cell>
          <cell r="E1514">
            <v>229.95</v>
          </cell>
          <cell r="F1514">
            <v>40</v>
          </cell>
          <cell r="G1514">
            <v>50</v>
          </cell>
        </row>
        <row r="1515">
          <cell r="A1515" t="str">
            <v>MZ527487EX</v>
          </cell>
          <cell r="B1515" t="str">
            <v>S</v>
          </cell>
          <cell r="C1515" t="str">
            <v>PADDLE SHIFT (CANADIAN UNIQUE)</v>
          </cell>
          <cell r="D1515">
            <v>281.97000000000003</v>
          </cell>
          <cell r="E1515">
            <v>469.95</v>
          </cell>
          <cell r="F1515">
            <v>0</v>
          </cell>
          <cell r="G1515">
            <v>0</v>
          </cell>
        </row>
        <row r="1516">
          <cell r="A1516" t="str">
            <v>MZ527538EX</v>
          </cell>
          <cell r="B1516" t="str">
            <v>Q</v>
          </cell>
          <cell r="C1516" t="str">
            <v>SCUFF PLATE OUTLANDER</v>
          </cell>
          <cell r="D1516">
            <v>197.37</v>
          </cell>
          <cell r="E1516">
            <v>328.95</v>
          </cell>
          <cell r="F1516">
            <v>12</v>
          </cell>
          <cell r="G1516">
            <v>0</v>
          </cell>
        </row>
        <row r="1517">
          <cell r="A1517" t="str">
            <v>MZ527539EX</v>
          </cell>
          <cell r="B1517" t="str">
            <v>Q</v>
          </cell>
          <cell r="C1517" t="str">
            <v>SCUFF PLATE W/ILLUM OUTLANDER 2014&lt;</v>
          </cell>
          <cell r="D1517">
            <v>273.57</v>
          </cell>
          <cell r="E1517">
            <v>455.95</v>
          </cell>
          <cell r="F1517">
            <v>6</v>
          </cell>
          <cell r="G1517">
            <v>0</v>
          </cell>
        </row>
        <row r="1518">
          <cell r="A1518" t="str">
            <v>MZ527590EX</v>
          </cell>
          <cell r="B1518" t="str">
            <v>S</v>
          </cell>
          <cell r="C1518" t="str">
            <v>Accent Panel FOR RHD OUTLANDER</v>
          </cell>
          <cell r="D1518">
            <v>163.16</v>
          </cell>
          <cell r="E1518">
            <v>271.95</v>
          </cell>
          <cell r="F1518">
            <v>0</v>
          </cell>
          <cell r="G1518">
            <v>0</v>
          </cell>
        </row>
        <row r="1519">
          <cell r="A1519" t="str">
            <v>MZ527591EX</v>
          </cell>
          <cell r="B1519" t="str">
            <v>U</v>
          </cell>
          <cell r="C1519" t="str">
            <v>ACCENT PANEL HAIRLINE METAL LIKE</v>
          </cell>
          <cell r="D1519">
            <v>127.77</v>
          </cell>
          <cell r="E1519">
            <v>212.95</v>
          </cell>
          <cell r="F1519">
            <v>0</v>
          </cell>
          <cell r="G1519">
            <v>0</v>
          </cell>
        </row>
        <row r="1520">
          <cell r="A1520" t="str">
            <v>MZ527593EX</v>
          </cell>
          <cell r="B1520" t="str">
            <v>Q</v>
          </cell>
          <cell r="C1520" t="str">
            <v>SHIFT KNOB OUTLANDER 2014&lt;</v>
          </cell>
          <cell r="D1520">
            <v>61.17</v>
          </cell>
          <cell r="E1520">
            <v>101.95</v>
          </cell>
          <cell r="F1520">
            <v>3</v>
          </cell>
          <cell r="G1520">
            <v>0</v>
          </cell>
        </row>
        <row r="1521">
          <cell r="A1521" t="str">
            <v>MZ527623EX</v>
          </cell>
          <cell r="B1521" t="str">
            <v>B</v>
          </cell>
          <cell r="C1521" t="str">
            <v>SCUFF PLATE SET NON ILLUMINATE</v>
          </cell>
          <cell r="D1521">
            <v>163.77000000000001</v>
          </cell>
          <cell r="E1521">
            <v>272.95</v>
          </cell>
          <cell r="F1521">
            <v>235</v>
          </cell>
          <cell r="G1521">
            <v>181</v>
          </cell>
        </row>
        <row r="1522">
          <cell r="A1522" t="str">
            <v>MZ528452EX</v>
          </cell>
          <cell r="B1522" t="str">
            <v>D</v>
          </cell>
          <cell r="C1522" t="str">
            <v>CONSOLE ACCENT PANEL</v>
          </cell>
          <cell r="D1522">
            <v>137.37</v>
          </cell>
          <cell r="E1522">
            <v>228.95</v>
          </cell>
          <cell r="F1522">
            <v>17</v>
          </cell>
          <cell r="G1522">
            <v>0</v>
          </cell>
        </row>
        <row r="1523">
          <cell r="A1523" t="str">
            <v>MZ530003EX</v>
          </cell>
          <cell r="B1523" t="str">
            <v>Z</v>
          </cell>
          <cell r="C1523" t="str">
            <v>MUDGUARD SET - RVR &lt;2012</v>
          </cell>
          <cell r="D1523">
            <v>139.77000000000001</v>
          </cell>
          <cell r="E1523">
            <v>232.95</v>
          </cell>
          <cell r="F1523">
            <v>0</v>
          </cell>
          <cell r="G1523">
            <v>0</v>
          </cell>
        </row>
        <row r="1524">
          <cell r="A1524" t="str">
            <v>MZ531264EX</v>
          </cell>
          <cell r="B1524" t="str">
            <v>F</v>
          </cell>
          <cell r="C1524" t="str">
            <v>MUDGUARD- W/FENDER FLARE 4 PCS</v>
          </cell>
          <cell r="D1524">
            <v>94.17</v>
          </cell>
          <cell r="E1524">
            <v>156.94999999999999</v>
          </cell>
          <cell r="F1524">
            <v>0</v>
          </cell>
          <cell r="G1524">
            <v>0</v>
          </cell>
        </row>
        <row r="1525">
          <cell r="A1525" t="str">
            <v>MZ531356EX</v>
          </cell>
          <cell r="B1525" t="str">
            <v>Q</v>
          </cell>
          <cell r="C1525" t="str">
            <v>MUD FLAPS- BLACK W/ALUM. PLATE</v>
          </cell>
          <cell r="D1525">
            <v>280.17</v>
          </cell>
          <cell r="E1525">
            <v>466.95</v>
          </cell>
          <cell r="F1525">
            <v>4</v>
          </cell>
          <cell r="G1525">
            <v>0</v>
          </cell>
        </row>
        <row r="1526">
          <cell r="A1526" t="str">
            <v>MZ531357EX</v>
          </cell>
          <cell r="B1526" t="str">
            <v>Z</v>
          </cell>
          <cell r="C1526" t="str">
            <v>MUD FLAP</v>
          </cell>
          <cell r="D1526">
            <v>182</v>
          </cell>
          <cell r="E1526">
            <v>303.33999999999997</v>
          </cell>
          <cell r="F1526">
            <v>0</v>
          </cell>
          <cell r="G1526">
            <v>0</v>
          </cell>
        </row>
        <row r="1527">
          <cell r="A1527" t="str">
            <v>MZ531447EX</v>
          </cell>
          <cell r="B1527" t="str">
            <v>B</v>
          </cell>
          <cell r="C1527" t="str">
            <v>MUDGUARDS-FRONT ECLIPSE</v>
          </cell>
          <cell r="D1527">
            <v>42.57</v>
          </cell>
          <cell r="E1527">
            <v>70.95</v>
          </cell>
          <cell r="F1527">
            <v>204</v>
          </cell>
          <cell r="G1527">
            <v>1568</v>
          </cell>
        </row>
        <row r="1528">
          <cell r="A1528" t="str">
            <v>MZ531448EX</v>
          </cell>
          <cell r="B1528" t="str">
            <v>B</v>
          </cell>
          <cell r="C1528" t="str">
            <v>MUDGUARDS-REAR ECLIPSE</v>
          </cell>
          <cell r="D1528">
            <v>42.57</v>
          </cell>
          <cell r="E1528">
            <v>70.95</v>
          </cell>
          <cell r="F1528">
            <v>732</v>
          </cell>
          <cell r="G1528">
            <v>1700</v>
          </cell>
        </row>
        <row r="1529">
          <cell r="A1529" t="str">
            <v>MZ531450EX</v>
          </cell>
          <cell r="B1529" t="str">
            <v>S</v>
          </cell>
          <cell r="C1529" t="str">
            <v>REAR MUDGUARDS RVR '18-'19</v>
          </cell>
          <cell r="D1529">
            <v>47.97</v>
          </cell>
          <cell r="E1529">
            <v>79.95</v>
          </cell>
          <cell r="F1529">
            <v>66</v>
          </cell>
          <cell r="G1529">
            <v>0</v>
          </cell>
        </row>
        <row r="1530">
          <cell r="A1530" t="str">
            <v>MZ531463EX</v>
          </cell>
          <cell r="B1530" t="str">
            <v>A</v>
          </cell>
          <cell r="C1530" t="str">
            <v>REAR MUD GUARD RVR '21/22</v>
          </cell>
          <cell r="D1530">
            <v>65.37</v>
          </cell>
          <cell r="E1530">
            <v>108.95</v>
          </cell>
          <cell r="F1530">
            <v>1205</v>
          </cell>
          <cell r="G1530">
            <v>1300</v>
          </cell>
        </row>
        <row r="1531">
          <cell r="A1531" t="str">
            <v>MZ531475EX</v>
          </cell>
          <cell r="B1531" t="str">
            <v>F</v>
          </cell>
          <cell r="C1531" t="str">
            <v>MUD FLAP (RED) - NS RALLIART</v>
          </cell>
          <cell r="D1531">
            <v>348.73</v>
          </cell>
          <cell r="E1531">
            <v>581.21</v>
          </cell>
          <cell r="F1531">
            <v>0</v>
          </cell>
          <cell r="G1531">
            <v>0</v>
          </cell>
        </row>
        <row r="1532">
          <cell r="A1532" t="str">
            <v>MZ531476EX</v>
          </cell>
          <cell r="B1532" t="str">
            <v>F</v>
          </cell>
          <cell r="C1532" t="str">
            <v>MUD FLAP (BLACK) - NS RALLIART</v>
          </cell>
          <cell r="D1532">
            <v>348.73</v>
          </cell>
          <cell r="E1532">
            <v>581.21</v>
          </cell>
          <cell r="F1532">
            <v>0</v>
          </cell>
          <cell r="G1532">
            <v>0</v>
          </cell>
        </row>
        <row r="1533">
          <cell r="A1533" t="str">
            <v>MZ531481EX</v>
          </cell>
          <cell r="B1533" t="str">
            <v>Q</v>
          </cell>
          <cell r="C1533" t="str">
            <v>MUD FLAP (RED) - ZC RALLIART</v>
          </cell>
          <cell r="D1533">
            <v>307.39</v>
          </cell>
          <cell r="E1533">
            <v>512.95000000000005</v>
          </cell>
          <cell r="F1533">
            <v>1</v>
          </cell>
          <cell r="G1533">
            <v>0</v>
          </cell>
        </row>
        <row r="1534">
          <cell r="A1534" t="str">
            <v>MZ531482EX</v>
          </cell>
          <cell r="B1534" t="str">
            <v>Q</v>
          </cell>
          <cell r="C1534" t="str">
            <v>MUD FLAP (RED) - DG RALLIART</v>
          </cell>
          <cell r="D1534">
            <v>307.39999999999998</v>
          </cell>
          <cell r="E1534">
            <v>512.95000000000005</v>
          </cell>
          <cell r="F1534">
            <v>0</v>
          </cell>
          <cell r="G1534">
            <v>0</v>
          </cell>
        </row>
        <row r="1535">
          <cell r="A1535" t="str">
            <v>MZ531483EX</v>
          </cell>
          <cell r="B1535" t="str">
            <v>F</v>
          </cell>
          <cell r="C1535" t="str">
            <v>MUD FLAP (BLACK) - ZC RALLIART</v>
          </cell>
          <cell r="D1535">
            <v>307.39999999999998</v>
          </cell>
          <cell r="E1535">
            <v>512.33000000000004</v>
          </cell>
          <cell r="F1535">
            <v>0</v>
          </cell>
          <cell r="G1535">
            <v>0</v>
          </cell>
        </row>
        <row r="1536">
          <cell r="A1536" t="str">
            <v>MZ531484EX</v>
          </cell>
          <cell r="B1536" t="str">
            <v>Q</v>
          </cell>
          <cell r="C1536" t="str">
            <v>MUD FLAP (BLACK) - DG RALLIART</v>
          </cell>
          <cell r="D1536">
            <v>307.39999999999998</v>
          </cell>
          <cell r="E1536">
            <v>512.33000000000004</v>
          </cell>
          <cell r="F1536">
            <v>0</v>
          </cell>
          <cell r="G1536">
            <v>0</v>
          </cell>
        </row>
        <row r="1537">
          <cell r="A1537" t="str">
            <v>MZ531493EX</v>
          </cell>
          <cell r="B1537" t="str">
            <v>N</v>
          </cell>
          <cell r="C1537" t="str">
            <v>MUD FLAPS - RED OUTLANDER</v>
          </cell>
          <cell r="D1537">
            <v>316.14</v>
          </cell>
          <cell r="E1537">
            <v>526.95000000000005</v>
          </cell>
          <cell r="F1537">
            <v>198</v>
          </cell>
          <cell r="G1537">
            <v>0</v>
          </cell>
        </row>
        <row r="1538">
          <cell r="A1538" t="str">
            <v>MZ531494EX</v>
          </cell>
          <cell r="B1538" t="str">
            <v>C</v>
          </cell>
          <cell r="C1538" t="str">
            <v>MUD FLAPS - BLACK OUTLANDER</v>
          </cell>
          <cell r="D1538">
            <v>316.14</v>
          </cell>
          <cell r="E1538">
            <v>526.95000000000005</v>
          </cell>
          <cell r="F1538">
            <v>306</v>
          </cell>
          <cell r="G1538">
            <v>0</v>
          </cell>
        </row>
        <row r="1539">
          <cell r="A1539" t="str">
            <v>MZ536144EX</v>
          </cell>
          <cell r="B1539" t="str">
            <v>F</v>
          </cell>
          <cell r="C1539" t="str">
            <v>DOOR EDGE MOULDING(CHROME)</v>
          </cell>
          <cell r="D1539">
            <v>65.97</v>
          </cell>
          <cell r="E1539">
            <v>109.95</v>
          </cell>
          <cell r="F1539">
            <v>0</v>
          </cell>
          <cell r="G1539">
            <v>0</v>
          </cell>
        </row>
        <row r="1540">
          <cell r="A1540" t="str">
            <v>MZ536198EX</v>
          </cell>
          <cell r="B1540" t="str">
            <v>Q</v>
          </cell>
          <cell r="C1540" t="str">
            <v>TAILGATE PROTECTOR</v>
          </cell>
          <cell r="D1540">
            <v>107.37</v>
          </cell>
          <cell r="E1540">
            <v>178.95</v>
          </cell>
          <cell r="F1540">
            <v>10</v>
          </cell>
          <cell r="G1540">
            <v>0</v>
          </cell>
        </row>
        <row r="1541">
          <cell r="A1541" t="str">
            <v>MZ538302EX</v>
          </cell>
          <cell r="B1541" t="str">
            <v>Z</v>
          </cell>
          <cell r="C1541" t="str">
            <v>MOULDING- BODY SIDE OUTLANDER &lt;2013</v>
          </cell>
          <cell r="D1541">
            <v>101.37</v>
          </cell>
          <cell r="E1541">
            <v>168.95</v>
          </cell>
          <cell r="F1541">
            <v>2</v>
          </cell>
          <cell r="G1541">
            <v>0</v>
          </cell>
        </row>
        <row r="1542">
          <cell r="A1542" t="str">
            <v>MZ538307EX</v>
          </cell>
          <cell r="B1542" t="str">
            <v>S</v>
          </cell>
          <cell r="C1542" t="str">
            <v>MOLDING- BODY SIDE</v>
          </cell>
          <cell r="D1542">
            <v>160.16</v>
          </cell>
          <cell r="E1542">
            <v>266.95</v>
          </cell>
          <cell r="F1542">
            <v>0</v>
          </cell>
          <cell r="G1542">
            <v>0</v>
          </cell>
        </row>
        <row r="1543">
          <cell r="A1543" t="str">
            <v>MZ538346EX</v>
          </cell>
          <cell r="B1543" t="str">
            <v>D</v>
          </cell>
          <cell r="C1543" t="str">
            <v>SIDE CHROME MOLDING ECLIPSE</v>
          </cell>
          <cell r="D1543">
            <v>183.57</v>
          </cell>
          <cell r="E1543">
            <v>305.95</v>
          </cell>
          <cell r="F1543">
            <v>6</v>
          </cell>
          <cell r="G1543">
            <v>0</v>
          </cell>
        </row>
        <row r="1544">
          <cell r="A1544" t="str">
            <v>MZ550398EX</v>
          </cell>
          <cell r="B1544" t="str">
            <v>C</v>
          </cell>
          <cell r="C1544" t="str">
            <v>BODY SIDE DECAL</v>
          </cell>
          <cell r="D1544">
            <v>203.37</v>
          </cell>
          <cell r="E1544">
            <v>338.95</v>
          </cell>
          <cell r="F1544">
            <v>25</v>
          </cell>
          <cell r="G1544">
            <v>0</v>
          </cell>
        </row>
        <row r="1545">
          <cell r="A1545" t="str">
            <v>MZ550399EX</v>
          </cell>
          <cell r="B1545" t="str">
            <v>D</v>
          </cell>
          <cell r="C1545" t="str">
            <v>SIDE DECAL</v>
          </cell>
          <cell r="D1545">
            <v>193.5</v>
          </cell>
          <cell r="E1545">
            <v>322.95</v>
          </cell>
          <cell r="F1545">
            <v>15</v>
          </cell>
          <cell r="G1545">
            <v>0</v>
          </cell>
        </row>
        <row r="1546">
          <cell r="A1546" t="str">
            <v>MZ550409</v>
          </cell>
          <cell r="B1546" t="str">
            <v>F</v>
          </cell>
          <cell r="C1546" t="str">
            <v>Body Side Decal</v>
          </cell>
          <cell r="D1546">
            <v>0.01</v>
          </cell>
          <cell r="E1546">
            <v>0</v>
          </cell>
          <cell r="F1546">
            <v>0</v>
          </cell>
          <cell r="G1546">
            <v>0</v>
          </cell>
        </row>
        <row r="1547">
          <cell r="A1547" t="str">
            <v>MZ553018EX</v>
          </cell>
          <cell r="B1547" t="str">
            <v>A</v>
          </cell>
          <cell r="C1547" t="str">
            <v>ENGINE HOOD EMBLEM BLACK OUTLA</v>
          </cell>
          <cell r="D1547">
            <v>89.37</v>
          </cell>
          <cell r="E1547">
            <v>148.94999999999999</v>
          </cell>
          <cell r="F1547">
            <v>601</v>
          </cell>
          <cell r="G1547">
            <v>0</v>
          </cell>
        </row>
        <row r="1548">
          <cell r="A1548" t="str">
            <v>MZ553023EX</v>
          </cell>
          <cell r="B1548" t="str">
            <v>A</v>
          </cell>
          <cell r="C1548" t="str">
            <v>ENGINE HOOD EMBLEM CHROME OUT</v>
          </cell>
          <cell r="D1548">
            <v>89.37</v>
          </cell>
          <cell r="E1548">
            <v>148.94999999999999</v>
          </cell>
          <cell r="F1548">
            <v>388</v>
          </cell>
          <cell r="G1548">
            <v>35</v>
          </cell>
        </row>
        <row r="1549">
          <cell r="A1549" t="str">
            <v>MZ553024EX</v>
          </cell>
          <cell r="B1549" t="str">
            <v>B</v>
          </cell>
          <cell r="C1549" t="str">
            <v>ENGINE HOOD EMBLEM SAT CHR OUT</v>
          </cell>
          <cell r="D1549">
            <v>89.37</v>
          </cell>
          <cell r="E1549">
            <v>148.94999999999999</v>
          </cell>
          <cell r="F1549">
            <v>309</v>
          </cell>
          <cell r="G1549">
            <v>0</v>
          </cell>
        </row>
        <row r="1550">
          <cell r="A1550" t="str">
            <v>MZ553141EX</v>
          </cell>
          <cell r="B1550" t="str">
            <v>A</v>
          </cell>
          <cell r="C1550" t="str">
            <v>ENGINE HOOD EMBLEM  SILVER OUT</v>
          </cell>
          <cell r="D1550">
            <v>59.37</v>
          </cell>
          <cell r="E1550">
            <v>98.95</v>
          </cell>
          <cell r="F1550">
            <v>9</v>
          </cell>
          <cell r="G1550">
            <v>10</v>
          </cell>
        </row>
        <row r="1551">
          <cell r="A1551" t="str">
            <v>MZ553142EX</v>
          </cell>
          <cell r="B1551" t="str">
            <v>C</v>
          </cell>
          <cell r="C1551" t="str">
            <v>ENGINE HOOD EMBLEM BLACK OUTLA</v>
          </cell>
          <cell r="D1551">
            <v>59.37</v>
          </cell>
          <cell r="E1551">
            <v>98.95</v>
          </cell>
          <cell r="F1551">
            <v>34</v>
          </cell>
          <cell r="G1551">
            <v>0</v>
          </cell>
        </row>
        <row r="1552">
          <cell r="A1552" t="str">
            <v>MZ553165EX</v>
          </cell>
          <cell r="B1552" t="str">
            <v>D</v>
          </cell>
          <cell r="C1552" t="str">
            <v>ALLOY WHEEL DECAL</v>
          </cell>
          <cell r="D1552">
            <v>108.57</v>
          </cell>
          <cell r="E1552">
            <v>180.95</v>
          </cell>
          <cell r="F1552">
            <v>3</v>
          </cell>
          <cell r="G1552">
            <v>0</v>
          </cell>
        </row>
        <row r="1553">
          <cell r="A1553" t="str">
            <v>MZ553170EX</v>
          </cell>
          <cell r="B1553" t="str">
            <v>D</v>
          </cell>
          <cell r="C1553" t="str">
            <v>SIDE DECAL</v>
          </cell>
          <cell r="D1553">
            <v>197.97</v>
          </cell>
          <cell r="E1553">
            <v>329.95</v>
          </cell>
          <cell r="F1553">
            <v>3</v>
          </cell>
          <cell r="G1553">
            <v>10</v>
          </cell>
        </row>
        <row r="1554">
          <cell r="A1554" t="str">
            <v>MZ553171EX</v>
          </cell>
          <cell r="B1554" t="str">
            <v>F</v>
          </cell>
          <cell r="C1554" t="str">
            <v>SIDE DECAL</v>
          </cell>
          <cell r="D1554">
            <v>197.97</v>
          </cell>
          <cell r="E1554">
            <v>329.95</v>
          </cell>
          <cell r="F1554">
            <v>0</v>
          </cell>
          <cell r="G1554">
            <v>0</v>
          </cell>
        </row>
        <row r="1555">
          <cell r="A1555" t="str">
            <v>MZ553194EX</v>
          </cell>
          <cell r="B1555" t="str">
            <v>N</v>
          </cell>
          <cell r="C1555" t="str">
            <v>BODY SIDE DECAL - ZC RALLIART</v>
          </cell>
          <cell r="D1555">
            <v>165.52</v>
          </cell>
          <cell r="E1555">
            <v>275.95</v>
          </cell>
          <cell r="F1555">
            <v>1</v>
          </cell>
          <cell r="G1555">
            <v>0</v>
          </cell>
        </row>
        <row r="1556">
          <cell r="A1556" t="str">
            <v>MZ553195EX</v>
          </cell>
          <cell r="B1556" t="str">
            <v>F</v>
          </cell>
          <cell r="C1556" t="str">
            <v>BODY SIDE DECAL - NS RALLIART</v>
          </cell>
          <cell r="D1556">
            <v>157.38</v>
          </cell>
          <cell r="E1556">
            <v>262.3</v>
          </cell>
          <cell r="F1556">
            <v>0</v>
          </cell>
          <cell r="G1556">
            <v>0</v>
          </cell>
        </row>
        <row r="1557">
          <cell r="A1557" t="str">
            <v>MZ553196EX</v>
          </cell>
          <cell r="B1557" t="str">
            <v>Q</v>
          </cell>
          <cell r="C1557" t="str">
            <v>BODY SIDE DECAL - DG RALLIART</v>
          </cell>
          <cell r="D1557">
            <v>165.52</v>
          </cell>
          <cell r="E1557">
            <v>275.95</v>
          </cell>
          <cell r="F1557">
            <v>0</v>
          </cell>
          <cell r="G1557">
            <v>0</v>
          </cell>
        </row>
        <row r="1558">
          <cell r="A1558" t="str">
            <v>MZ553199EX</v>
          </cell>
          <cell r="B1558" t="str">
            <v>A</v>
          </cell>
          <cell r="C1558" t="str">
            <v>ENGINE HOOD EMBLEM BLACK DG25</v>
          </cell>
          <cell r="D1558">
            <v>66.56</v>
          </cell>
          <cell r="E1558">
            <v>110.95</v>
          </cell>
          <cell r="F1558">
            <v>2144</v>
          </cell>
          <cell r="G1558">
            <v>801</v>
          </cell>
        </row>
        <row r="1559">
          <cell r="A1559" t="str">
            <v>MZ553200EX</v>
          </cell>
          <cell r="B1559" t="str">
            <v>B</v>
          </cell>
          <cell r="C1559" t="str">
            <v>ENGINE HOOD EMBLEM CHROME DG25</v>
          </cell>
          <cell r="D1559">
            <v>66.56</v>
          </cell>
          <cell r="E1559">
            <v>110.95</v>
          </cell>
          <cell r="F1559">
            <v>1421</v>
          </cell>
          <cell r="G1559">
            <v>500</v>
          </cell>
        </row>
        <row r="1560">
          <cell r="A1560" t="str">
            <v>MZ553201EX</v>
          </cell>
          <cell r="B1560" t="str">
            <v>B</v>
          </cell>
          <cell r="C1560" t="str">
            <v>ENGINE HOOD EMBLEM SATIN DG25</v>
          </cell>
          <cell r="D1560">
            <v>66.56</v>
          </cell>
          <cell r="E1560">
            <v>110.95</v>
          </cell>
          <cell r="F1560">
            <v>291</v>
          </cell>
          <cell r="G1560">
            <v>1</v>
          </cell>
        </row>
        <row r="1561">
          <cell r="A1561" t="str">
            <v>MZ555004EX</v>
          </cell>
          <cell r="B1561" t="str">
            <v>D</v>
          </cell>
          <cell r="C1561" t="str">
            <v>AIR GUIDE- BRAKE</v>
          </cell>
          <cell r="D1561">
            <v>149.97</v>
          </cell>
          <cell r="E1561">
            <v>249.95</v>
          </cell>
          <cell r="F1561">
            <v>2</v>
          </cell>
          <cell r="G1561">
            <v>0</v>
          </cell>
        </row>
        <row r="1562">
          <cell r="A1562" t="str">
            <v>MZ555443EX</v>
          </cell>
          <cell r="B1562" t="str">
            <v>C</v>
          </cell>
          <cell r="C1562" t="str">
            <v>REAR BUMPER GARNISH</v>
          </cell>
          <cell r="D1562">
            <v>138.57</v>
          </cell>
          <cell r="E1562">
            <v>230.95</v>
          </cell>
          <cell r="F1562">
            <v>52</v>
          </cell>
          <cell r="G1562">
            <v>0</v>
          </cell>
        </row>
        <row r="1563">
          <cell r="A1563" t="str">
            <v>MZ555575EX</v>
          </cell>
          <cell r="B1563" t="str">
            <v>Z</v>
          </cell>
          <cell r="C1563" t="str">
            <v>GRILLE GUARD- MUNICH SILVER</v>
          </cell>
          <cell r="D1563">
            <v>612.57000000000005</v>
          </cell>
          <cell r="E1563">
            <v>1020.95</v>
          </cell>
          <cell r="F1563">
            <v>0</v>
          </cell>
          <cell r="G1563">
            <v>0</v>
          </cell>
        </row>
        <row r="1564">
          <cell r="A1564" t="str">
            <v>MZ555591EX</v>
          </cell>
          <cell r="B1564" t="str">
            <v>C</v>
          </cell>
          <cell r="C1564" t="str">
            <v>FRONT SKID GARNISH</v>
          </cell>
          <cell r="D1564">
            <v>266.37</v>
          </cell>
          <cell r="E1564">
            <v>443.95</v>
          </cell>
          <cell r="F1564">
            <v>10</v>
          </cell>
          <cell r="G1564">
            <v>10</v>
          </cell>
        </row>
        <row r="1565">
          <cell r="A1565" t="str">
            <v>MZ562635EX</v>
          </cell>
          <cell r="B1565" t="str">
            <v>U</v>
          </cell>
          <cell r="C1565" t="str">
            <v>DEFLECTOR- SIDE WINDOW</v>
          </cell>
          <cell r="D1565">
            <v>87.57</v>
          </cell>
          <cell r="E1565">
            <v>145.94999999999999</v>
          </cell>
          <cell r="F1565">
            <v>0</v>
          </cell>
          <cell r="G1565">
            <v>0</v>
          </cell>
        </row>
        <row r="1566">
          <cell r="A1566" t="str">
            <v>MZ562825EX</v>
          </cell>
          <cell r="B1566" t="str">
            <v>Z</v>
          </cell>
          <cell r="C1566" t="str">
            <v>DEFLECTOR- SIDE WINDOW</v>
          </cell>
          <cell r="D1566">
            <v>87.57</v>
          </cell>
          <cell r="E1566">
            <v>145.94999999999999</v>
          </cell>
          <cell r="F1566">
            <v>0</v>
          </cell>
          <cell r="G1566">
            <v>0</v>
          </cell>
        </row>
        <row r="1567">
          <cell r="A1567" t="str">
            <v>MZ562845EX</v>
          </cell>
          <cell r="B1567" t="str">
            <v>Q</v>
          </cell>
          <cell r="C1567" t="str">
            <v>DEFLECTOR- SIDE WINDOW</v>
          </cell>
          <cell r="D1567">
            <v>87.57</v>
          </cell>
          <cell r="E1567">
            <v>145.94999999999999</v>
          </cell>
          <cell r="F1567">
            <v>0</v>
          </cell>
          <cell r="G1567">
            <v>0</v>
          </cell>
        </row>
        <row r="1568">
          <cell r="A1568" t="str">
            <v>MZ562854EX</v>
          </cell>
          <cell r="B1568" t="str">
            <v>Q</v>
          </cell>
          <cell r="C1568" t="str">
            <v>SIDE WINDOW DEFLECTOR MIRAGE</v>
          </cell>
          <cell r="D1568">
            <v>48.57</v>
          </cell>
          <cell r="E1568">
            <v>80.95</v>
          </cell>
          <cell r="F1568">
            <v>85</v>
          </cell>
          <cell r="G1568">
            <v>0</v>
          </cell>
        </row>
        <row r="1569">
          <cell r="A1569" t="str">
            <v>MZ562863EX</v>
          </cell>
          <cell r="B1569" t="str">
            <v>Q</v>
          </cell>
          <cell r="C1569" t="str">
            <v>DEFLECTOR- SIDE WIND</v>
          </cell>
          <cell r="D1569">
            <v>83.97</v>
          </cell>
          <cell r="E1569">
            <v>139.94999999999999</v>
          </cell>
          <cell r="F1569">
            <v>10</v>
          </cell>
          <cell r="G1569">
            <v>0</v>
          </cell>
        </row>
        <row r="1570">
          <cell r="A1570" t="str">
            <v>MZ562868EX</v>
          </cell>
          <cell r="B1570" t="str">
            <v>A</v>
          </cell>
          <cell r="C1570" t="str">
            <v>SIDE WIND DEFLECTOR</v>
          </cell>
          <cell r="D1570">
            <v>115.77</v>
          </cell>
          <cell r="E1570">
            <v>192.95</v>
          </cell>
          <cell r="F1570">
            <v>218</v>
          </cell>
          <cell r="G1570">
            <v>181</v>
          </cell>
        </row>
        <row r="1571">
          <cell r="A1571" t="str">
            <v>MZ562880EX</v>
          </cell>
          <cell r="B1571" t="str">
            <v>Q</v>
          </cell>
          <cell r="C1571" t="str">
            <v>DEFLECTORS- SIDE WIND OUTLANDER &lt;2013</v>
          </cell>
          <cell r="D1571">
            <v>62.97</v>
          </cell>
          <cell r="E1571">
            <v>104.95</v>
          </cell>
          <cell r="F1571">
            <v>7</v>
          </cell>
          <cell r="G1571">
            <v>0</v>
          </cell>
        </row>
        <row r="1572">
          <cell r="A1572" t="str">
            <v>MZ562905EX</v>
          </cell>
          <cell r="B1572" t="str">
            <v>Q</v>
          </cell>
          <cell r="C1572" t="str">
            <v>SIDE WINDOW DEFLECTORS PHEV</v>
          </cell>
          <cell r="D1572">
            <v>80.97</v>
          </cell>
          <cell r="E1572">
            <v>134.94999999999999</v>
          </cell>
          <cell r="F1572">
            <v>17</v>
          </cell>
          <cell r="G1572">
            <v>0</v>
          </cell>
        </row>
        <row r="1573">
          <cell r="A1573" t="str">
            <v>MZ562928EX</v>
          </cell>
          <cell r="B1573" t="str">
            <v>U</v>
          </cell>
          <cell r="C1573" t="str">
            <v>SIDE WINDOW DEFLECTOR</v>
          </cell>
          <cell r="D1573">
            <v>185.97</v>
          </cell>
          <cell r="E1573">
            <v>309.95</v>
          </cell>
          <cell r="F1573">
            <v>0</v>
          </cell>
          <cell r="G1573">
            <v>0</v>
          </cell>
        </row>
        <row r="1574">
          <cell r="A1574" t="str">
            <v>MZ562930EX</v>
          </cell>
          <cell r="B1574" t="str">
            <v>A</v>
          </cell>
          <cell r="C1574" t="str">
            <v>SIDE WIND DEFLECTORS TINTED</v>
          </cell>
          <cell r="D1574">
            <v>154.16</v>
          </cell>
          <cell r="E1574">
            <v>256.95</v>
          </cell>
          <cell r="F1574">
            <v>927</v>
          </cell>
          <cell r="G1574">
            <v>170</v>
          </cell>
        </row>
        <row r="1575">
          <cell r="A1575" t="str">
            <v>MZ562931EX</v>
          </cell>
          <cell r="B1575" t="str">
            <v>C</v>
          </cell>
          <cell r="C1575" t="str">
            <v>SIDE WINDOW DEFLECTOR ECLIPSE</v>
          </cell>
          <cell r="D1575">
            <v>185.97</v>
          </cell>
          <cell r="E1575">
            <v>309.95</v>
          </cell>
          <cell r="F1575">
            <v>35</v>
          </cell>
          <cell r="G1575">
            <v>203</v>
          </cell>
        </row>
        <row r="1576">
          <cell r="A1576" t="str">
            <v>MZ568879EX</v>
          </cell>
          <cell r="B1576" t="str">
            <v>S</v>
          </cell>
          <cell r="C1576" t="str">
            <v>BRACE- FRONT STRUT</v>
          </cell>
          <cell r="D1576">
            <v>608.97</v>
          </cell>
          <cell r="E1576">
            <v>1014.95</v>
          </cell>
          <cell r="F1576">
            <v>0</v>
          </cell>
          <cell r="G1576">
            <v>0</v>
          </cell>
        </row>
        <row r="1577">
          <cell r="A1577" t="str">
            <v>MZ568904EX</v>
          </cell>
          <cell r="B1577" t="str">
            <v>X</v>
          </cell>
          <cell r="C1577" t="str">
            <v>PIPES- INTERCOOLER- LANCER EVO</v>
          </cell>
          <cell r="D1577">
            <v>307.17</v>
          </cell>
          <cell r="E1577">
            <v>511.95</v>
          </cell>
          <cell r="F1577">
            <v>0</v>
          </cell>
          <cell r="G1577">
            <v>0</v>
          </cell>
        </row>
        <row r="1578">
          <cell r="A1578" t="str">
            <v>MZ569001EX</v>
          </cell>
          <cell r="B1578" t="str">
            <v>C</v>
          </cell>
          <cell r="C1578" t="str">
            <v>FUEL LID</v>
          </cell>
          <cell r="D1578">
            <v>152.37</v>
          </cell>
          <cell r="E1578">
            <v>253.95</v>
          </cell>
          <cell r="F1578">
            <v>35</v>
          </cell>
          <cell r="G1578">
            <v>0</v>
          </cell>
        </row>
        <row r="1579">
          <cell r="A1579" t="str">
            <v>MZ569002EX</v>
          </cell>
          <cell r="B1579" t="str">
            <v>D</v>
          </cell>
          <cell r="C1579" t="str">
            <v>FUEL LID 2023 PHEV</v>
          </cell>
          <cell r="D1579">
            <v>173.82</v>
          </cell>
          <cell r="E1579">
            <v>289.95</v>
          </cell>
          <cell r="F1579">
            <v>15</v>
          </cell>
          <cell r="G1579">
            <v>0</v>
          </cell>
        </row>
        <row r="1580">
          <cell r="A1580" t="str">
            <v>MZ569195EX</v>
          </cell>
          <cell r="B1580" t="str">
            <v>Q</v>
          </cell>
          <cell r="C1580" t="str">
            <v>CHROME SIDE MIRROR COV. W/IND O/L 2014&lt;</v>
          </cell>
          <cell r="D1580">
            <v>164.37</v>
          </cell>
          <cell r="E1580">
            <v>273.95</v>
          </cell>
          <cell r="F1580">
            <v>16</v>
          </cell>
          <cell r="G1580">
            <v>0</v>
          </cell>
        </row>
        <row r="1581">
          <cell r="A1581" t="str">
            <v>MZ569716EX</v>
          </cell>
          <cell r="B1581" t="str">
            <v>Q</v>
          </cell>
          <cell r="C1581" t="str">
            <v>MIRROR COVERS- SIDE- CHROMED O/L &lt;2013</v>
          </cell>
          <cell r="D1581">
            <v>80.97</v>
          </cell>
          <cell r="E1581">
            <v>134.94999999999999</v>
          </cell>
          <cell r="F1581">
            <v>11</v>
          </cell>
          <cell r="G1581">
            <v>0</v>
          </cell>
        </row>
        <row r="1582">
          <cell r="A1582" t="str">
            <v>MZ569719EX</v>
          </cell>
          <cell r="B1582" t="str">
            <v>S</v>
          </cell>
          <cell r="C1582" t="str">
            <v>MIRROR COVERS- SIDE- CHROMED</v>
          </cell>
          <cell r="D1582">
            <v>89.37</v>
          </cell>
          <cell r="E1582">
            <v>148.94999999999999</v>
          </cell>
          <cell r="F1582">
            <v>0</v>
          </cell>
          <cell r="G1582">
            <v>0</v>
          </cell>
        </row>
        <row r="1583">
          <cell r="A1583" t="str">
            <v>MZ569735EX</v>
          </cell>
          <cell r="B1583" t="str">
            <v>S</v>
          </cell>
          <cell r="C1583" t="str">
            <v>SIDE SILL EXTENSION- APEX A31</v>
          </cell>
          <cell r="D1583">
            <v>374.97</v>
          </cell>
          <cell r="E1583">
            <v>624.95000000000005</v>
          </cell>
          <cell r="F1583">
            <v>0</v>
          </cell>
          <cell r="G1583">
            <v>0</v>
          </cell>
        </row>
        <row r="1584">
          <cell r="A1584" t="str">
            <v>MZ569736EX</v>
          </cell>
          <cell r="B1584" t="str">
            <v>S</v>
          </cell>
          <cell r="C1584" t="str">
            <v>SIDE SILL EXTENSION-TARMAC X42</v>
          </cell>
          <cell r="D1584">
            <v>374.97</v>
          </cell>
          <cell r="E1584">
            <v>624.95000000000005</v>
          </cell>
          <cell r="F1584">
            <v>0</v>
          </cell>
          <cell r="G1584">
            <v>0</v>
          </cell>
        </row>
        <row r="1585">
          <cell r="A1585" t="str">
            <v>MZ569737EX</v>
          </cell>
          <cell r="B1585" t="str">
            <v>S</v>
          </cell>
          <cell r="C1585" t="str">
            <v>SIDE SILL EXTENSION-GRAY A39</v>
          </cell>
          <cell r="D1585">
            <v>374.97</v>
          </cell>
          <cell r="E1585">
            <v>624.95000000000005</v>
          </cell>
          <cell r="F1585">
            <v>0</v>
          </cell>
          <cell r="G1585">
            <v>0</v>
          </cell>
        </row>
        <row r="1586">
          <cell r="A1586" t="str">
            <v>MZ569738EX</v>
          </cell>
          <cell r="B1586" t="str">
            <v>F</v>
          </cell>
          <cell r="C1586" t="str">
            <v>SIDE SILL EXTENSION- RED P26</v>
          </cell>
          <cell r="D1586">
            <v>374.97</v>
          </cell>
          <cell r="E1586">
            <v>624.95000000000005</v>
          </cell>
          <cell r="F1586">
            <v>0</v>
          </cell>
          <cell r="G1586">
            <v>0</v>
          </cell>
        </row>
        <row r="1587">
          <cell r="A1587" t="str">
            <v>MZ569743EX</v>
          </cell>
          <cell r="B1587" t="str">
            <v>F</v>
          </cell>
          <cell r="C1587" t="str">
            <v>SIDE SILL EXTENSION- BLUE T70</v>
          </cell>
          <cell r="D1587">
            <v>374.97</v>
          </cell>
          <cell r="E1587">
            <v>624.95000000000005</v>
          </cell>
          <cell r="F1587">
            <v>0</v>
          </cell>
          <cell r="G1587">
            <v>0</v>
          </cell>
        </row>
        <row r="1588">
          <cell r="A1588" t="str">
            <v>MZ569744EX</v>
          </cell>
          <cell r="B1588" t="str">
            <v>F</v>
          </cell>
          <cell r="C1588" t="str">
            <v>SIDE SILL-EXTENSION OCTANE D06</v>
          </cell>
          <cell r="D1588">
            <v>374.97</v>
          </cell>
          <cell r="E1588">
            <v>624.95000000000005</v>
          </cell>
          <cell r="F1588">
            <v>0</v>
          </cell>
          <cell r="G1588">
            <v>0</v>
          </cell>
        </row>
        <row r="1589">
          <cell r="A1589" t="str">
            <v>MZ569754EX</v>
          </cell>
          <cell r="B1589" t="str">
            <v>F</v>
          </cell>
          <cell r="C1589" t="str">
            <v>SIDE SKIRTS- COSMIC BLUE</v>
          </cell>
          <cell r="D1589">
            <v>1002.57</v>
          </cell>
          <cell r="E1589">
            <v>1670.95</v>
          </cell>
          <cell r="F1589">
            <v>0</v>
          </cell>
          <cell r="G1589">
            <v>0</v>
          </cell>
        </row>
        <row r="1590">
          <cell r="A1590" t="str">
            <v>MZ569755EX</v>
          </cell>
          <cell r="B1590" t="str">
            <v>X</v>
          </cell>
          <cell r="C1590" t="str">
            <v>SIDE AIR DAM KIT,XW1,FE</v>
          </cell>
          <cell r="D1590">
            <v>1066.77</v>
          </cell>
          <cell r="E1590">
            <v>1777.95</v>
          </cell>
          <cell r="F1590">
            <v>0</v>
          </cell>
          <cell r="G1590">
            <v>0</v>
          </cell>
        </row>
        <row r="1591">
          <cell r="A1591" t="str">
            <v>MZ569761EX</v>
          </cell>
          <cell r="B1591" t="str">
            <v>F</v>
          </cell>
          <cell r="C1591" t="str">
            <v>SIDE SKIRTS- TITANIUM GREY</v>
          </cell>
          <cell r="D1591">
            <v>970.18</v>
          </cell>
          <cell r="E1591">
            <v>1616.95</v>
          </cell>
          <cell r="F1591">
            <v>0</v>
          </cell>
          <cell r="G1591">
            <v>0</v>
          </cell>
        </row>
        <row r="1592">
          <cell r="A1592" t="str">
            <v>MZ569780EX</v>
          </cell>
          <cell r="B1592" t="str">
            <v>Q</v>
          </cell>
          <cell r="C1592" t="str">
            <v>SIDE SILL EXTENSION (U17)</v>
          </cell>
          <cell r="D1592">
            <v>283.77</v>
          </cell>
          <cell r="E1592">
            <v>472.95</v>
          </cell>
          <cell r="F1592">
            <v>0</v>
          </cell>
          <cell r="G1592">
            <v>0</v>
          </cell>
        </row>
        <row r="1593">
          <cell r="A1593" t="str">
            <v>MZ570219EX</v>
          </cell>
          <cell r="B1593" t="str">
            <v>S</v>
          </cell>
          <cell r="C1593" t="str">
            <v>TAILGATE SPOILER, RED P62</v>
          </cell>
          <cell r="D1593">
            <v>235.77</v>
          </cell>
          <cell r="E1593">
            <v>392.95</v>
          </cell>
          <cell r="F1593">
            <v>2</v>
          </cell>
          <cell r="G1593">
            <v>0</v>
          </cell>
        </row>
        <row r="1594">
          <cell r="A1594" t="str">
            <v>MZ574262EX</v>
          </cell>
          <cell r="B1594" t="str">
            <v>F</v>
          </cell>
          <cell r="C1594" t="str">
            <v>SPOILER- REAR- DIAMOND WHITE</v>
          </cell>
          <cell r="D1594">
            <v>371.97</v>
          </cell>
          <cell r="E1594">
            <v>619.95000000000005</v>
          </cell>
          <cell r="F1594">
            <v>0</v>
          </cell>
          <cell r="G1594">
            <v>0</v>
          </cell>
        </row>
        <row r="1595">
          <cell r="A1595" t="str">
            <v>MZ574481EX</v>
          </cell>
          <cell r="B1595" t="str">
            <v>S</v>
          </cell>
          <cell r="C1595" t="str">
            <v>PROTECTOR- TAILGATE O/L &lt;2013</v>
          </cell>
          <cell r="D1595">
            <v>151.16</v>
          </cell>
          <cell r="E1595">
            <v>251.95</v>
          </cell>
          <cell r="F1595">
            <v>0</v>
          </cell>
          <cell r="G1595">
            <v>0</v>
          </cell>
        </row>
        <row r="1596">
          <cell r="A1596" t="str">
            <v>MZ574482EX</v>
          </cell>
          <cell r="B1596" t="str">
            <v>Z</v>
          </cell>
          <cell r="C1596" t="str">
            <v>PLATE- REAR BUMPER PROTECTION O/L &lt;2013</v>
          </cell>
          <cell r="D1596">
            <v>153.57</v>
          </cell>
          <cell r="E1596">
            <v>255.95</v>
          </cell>
          <cell r="F1596">
            <v>0</v>
          </cell>
          <cell r="G1596">
            <v>0</v>
          </cell>
        </row>
        <row r="1597">
          <cell r="A1597" t="str">
            <v>MZ574503EX</v>
          </cell>
          <cell r="B1597" t="str">
            <v>S</v>
          </cell>
          <cell r="C1597" t="str">
            <v>PROTECTOR- TAILGATE</v>
          </cell>
          <cell r="D1597">
            <v>88.17</v>
          </cell>
          <cell r="E1597">
            <v>146.94999999999999</v>
          </cell>
          <cell r="F1597">
            <v>0</v>
          </cell>
          <cell r="G1597">
            <v>0</v>
          </cell>
        </row>
        <row r="1598">
          <cell r="A1598" t="str">
            <v>MZ574504EX</v>
          </cell>
          <cell r="B1598" t="str">
            <v>S</v>
          </cell>
          <cell r="C1598" t="str">
            <v>MOLDING- TRUNK LID- CHROME</v>
          </cell>
          <cell r="D1598">
            <v>141.57</v>
          </cell>
          <cell r="E1598">
            <v>235.95</v>
          </cell>
          <cell r="F1598">
            <v>0</v>
          </cell>
          <cell r="G1598">
            <v>0</v>
          </cell>
        </row>
        <row r="1599">
          <cell r="A1599" t="str">
            <v>MZ574560EX</v>
          </cell>
          <cell r="B1599" t="str">
            <v>Q</v>
          </cell>
          <cell r="C1599" t="str">
            <v>SPOILER- REAR- APEX SILVER A31</v>
          </cell>
          <cell r="D1599">
            <v>346.77</v>
          </cell>
          <cell r="E1599">
            <v>577.95000000000005</v>
          </cell>
          <cell r="F1599">
            <v>0</v>
          </cell>
          <cell r="G1599">
            <v>0</v>
          </cell>
        </row>
        <row r="1600">
          <cell r="A1600" t="str">
            <v>MZ574561EX</v>
          </cell>
          <cell r="B1600" t="str">
            <v>E</v>
          </cell>
          <cell r="C1600" t="str">
            <v>SPOILER- REAR- TARMAC BLK X42</v>
          </cell>
          <cell r="D1600">
            <v>367.77</v>
          </cell>
          <cell r="E1600">
            <v>612.95000000000005</v>
          </cell>
          <cell r="F1600">
            <v>0</v>
          </cell>
          <cell r="G1600">
            <v>0</v>
          </cell>
        </row>
        <row r="1601">
          <cell r="A1601" t="str">
            <v>MZ574562EX</v>
          </cell>
          <cell r="B1601" t="str">
            <v>S</v>
          </cell>
          <cell r="C1601" t="str">
            <v>SPOILER- REAR- GRAY A39</v>
          </cell>
          <cell r="D1601">
            <v>367.77</v>
          </cell>
          <cell r="E1601">
            <v>612.95000000000005</v>
          </cell>
          <cell r="F1601">
            <v>0</v>
          </cell>
          <cell r="G1601">
            <v>0</v>
          </cell>
        </row>
        <row r="1602">
          <cell r="A1602" t="str">
            <v>MZ574563EX</v>
          </cell>
          <cell r="B1602" t="str">
            <v>Q</v>
          </cell>
          <cell r="C1602" t="str">
            <v>SPOILER- REAR- RALLY RED P26</v>
          </cell>
          <cell r="D1602">
            <v>346.77</v>
          </cell>
          <cell r="E1602">
            <v>577.95000000000005</v>
          </cell>
          <cell r="F1602">
            <v>6</v>
          </cell>
          <cell r="G1602">
            <v>0</v>
          </cell>
        </row>
        <row r="1603">
          <cell r="A1603" t="str">
            <v>MZ574564EX</v>
          </cell>
          <cell r="B1603" t="str">
            <v>F</v>
          </cell>
          <cell r="C1603" t="str">
            <v>SPOILER- REAR- SAND- S18</v>
          </cell>
          <cell r="D1603">
            <v>346.77</v>
          </cell>
          <cell r="E1603">
            <v>577.95000000000005</v>
          </cell>
          <cell r="F1603">
            <v>0</v>
          </cell>
          <cell r="G1603">
            <v>0</v>
          </cell>
        </row>
        <row r="1604">
          <cell r="A1604" t="str">
            <v>MZ574566EX</v>
          </cell>
          <cell r="B1604" t="str">
            <v>F</v>
          </cell>
          <cell r="C1604" t="str">
            <v>SPOILER- REAR- AQUA- A86</v>
          </cell>
          <cell r="D1604">
            <v>346.77</v>
          </cell>
          <cell r="E1604">
            <v>577.95000000000005</v>
          </cell>
          <cell r="F1604">
            <v>0</v>
          </cell>
          <cell r="G1604">
            <v>0</v>
          </cell>
        </row>
        <row r="1605">
          <cell r="A1605" t="str">
            <v>MZ574567EX</v>
          </cell>
          <cell r="B1605" t="str">
            <v>O</v>
          </cell>
          <cell r="C1605" t="str">
            <v>SPOILER, REAR, WHITE W13</v>
          </cell>
          <cell r="D1605">
            <v>367.77</v>
          </cell>
          <cell r="E1605">
            <v>612.95000000000005</v>
          </cell>
          <cell r="F1605">
            <v>1</v>
          </cell>
          <cell r="G1605">
            <v>0</v>
          </cell>
        </row>
        <row r="1606">
          <cell r="A1606" t="str">
            <v>MZ574568EX</v>
          </cell>
          <cell r="B1606" t="str">
            <v>F</v>
          </cell>
          <cell r="C1606" t="str">
            <v>SPOILER-REAR-ELECTRIC BLUE T70</v>
          </cell>
          <cell r="D1606">
            <v>346.77</v>
          </cell>
          <cell r="E1606">
            <v>577.95000000000005</v>
          </cell>
          <cell r="F1606">
            <v>0</v>
          </cell>
          <cell r="G1606">
            <v>0</v>
          </cell>
        </row>
        <row r="1607">
          <cell r="A1607" t="str">
            <v>MZ574569EX</v>
          </cell>
          <cell r="B1607" t="str">
            <v>O</v>
          </cell>
          <cell r="C1607" t="str">
            <v>SPOILER-REAR- OCTANE BLUE- D06</v>
          </cell>
          <cell r="D1607">
            <v>367.77</v>
          </cell>
          <cell r="E1607">
            <v>612.95000000000005</v>
          </cell>
          <cell r="F1607">
            <v>0</v>
          </cell>
          <cell r="G1607">
            <v>0</v>
          </cell>
        </row>
        <row r="1608">
          <cell r="A1608" t="str">
            <v>MZ574585EX</v>
          </cell>
          <cell r="B1608" t="str">
            <v>S</v>
          </cell>
          <cell r="C1608" t="str">
            <v>SPOILER- REAR LIP- APEX SILVER</v>
          </cell>
          <cell r="D1608">
            <v>313.17</v>
          </cell>
          <cell r="E1608">
            <v>521.95000000000005</v>
          </cell>
          <cell r="F1608">
            <v>0</v>
          </cell>
          <cell r="G1608">
            <v>0</v>
          </cell>
        </row>
        <row r="1609">
          <cell r="A1609" t="str">
            <v>MZ574586EX</v>
          </cell>
          <cell r="B1609" t="str">
            <v>S</v>
          </cell>
          <cell r="C1609" t="str">
            <v>SPOILER- REAR LIP- TARMAC BLK</v>
          </cell>
          <cell r="D1609">
            <v>313.17</v>
          </cell>
          <cell r="E1609">
            <v>521.95000000000005</v>
          </cell>
          <cell r="F1609">
            <v>0</v>
          </cell>
          <cell r="G1609">
            <v>0</v>
          </cell>
        </row>
        <row r="1610">
          <cell r="A1610" t="str">
            <v>MZ574587EX</v>
          </cell>
          <cell r="B1610" t="str">
            <v>S</v>
          </cell>
          <cell r="C1610" t="str">
            <v>SPOILER-REAR LIP-GRAPHITE GRAY</v>
          </cell>
          <cell r="D1610">
            <v>295.17</v>
          </cell>
          <cell r="E1610">
            <v>491.95</v>
          </cell>
          <cell r="F1610">
            <v>0</v>
          </cell>
          <cell r="G1610">
            <v>0</v>
          </cell>
        </row>
        <row r="1611">
          <cell r="A1611" t="str">
            <v>MZ574588EX</v>
          </cell>
          <cell r="B1611" t="str">
            <v>S</v>
          </cell>
          <cell r="C1611" t="str">
            <v>SPOILER- REAR LIP- RALLY RED</v>
          </cell>
          <cell r="D1611">
            <v>313.17</v>
          </cell>
          <cell r="E1611">
            <v>521.95000000000005</v>
          </cell>
          <cell r="F1611">
            <v>0</v>
          </cell>
          <cell r="G1611">
            <v>0</v>
          </cell>
        </row>
        <row r="1612">
          <cell r="A1612" t="str">
            <v>MZ574589EX</v>
          </cell>
          <cell r="B1612" t="str">
            <v>F</v>
          </cell>
          <cell r="C1612" t="str">
            <v>SPOILER- REAR LIP- DESERT SAND</v>
          </cell>
          <cell r="D1612">
            <v>295.17</v>
          </cell>
          <cell r="E1612">
            <v>491.95</v>
          </cell>
          <cell r="F1612">
            <v>0</v>
          </cell>
          <cell r="G1612">
            <v>0</v>
          </cell>
        </row>
        <row r="1613">
          <cell r="A1613" t="str">
            <v>MZ574591EX</v>
          </cell>
          <cell r="B1613" t="str">
            <v>F</v>
          </cell>
          <cell r="C1613" t="str">
            <v>SPOILER- REAR LIP- AQUA A86</v>
          </cell>
          <cell r="D1613">
            <v>295.17</v>
          </cell>
          <cell r="E1613">
            <v>491.95</v>
          </cell>
          <cell r="F1613">
            <v>0</v>
          </cell>
          <cell r="G1613">
            <v>0</v>
          </cell>
        </row>
        <row r="1614">
          <cell r="A1614" t="str">
            <v>MZ574592EX</v>
          </cell>
          <cell r="B1614" t="str">
            <v>Z</v>
          </cell>
          <cell r="C1614" t="str">
            <v>SPOILER-REAR LIP-ELECTRIC BLUE</v>
          </cell>
          <cell r="D1614">
            <v>295.17</v>
          </cell>
          <cell r="E1614">
            <v>491.95</v>
          </cell>
          <cell r="F1614">
            <v>0</v>
          </cell>
          <cell r="G1614">
            <v>0</v>
          </cell>
        </row>
        <row r="1615">
          <cell r="A1615" t="str">
            <v>MZ574593EX</v>
          </cell>
          <cell r="B1615" t="str">
            <v>S</v>
          </cell>
          <cell r="C1615" t="str">
            <v>SPOILER-REAR LIP- WICKED WHITE</v>
          </cell>
          <cell r="D1615">
            <v>313.17</v>
          </cell>
          <cell r="E1615">
            <v>521.95000000000005</v>
          </cell>
          <cell r="F1615">
            <v>0</v>
          </cell>
          <cell r="G1615">
            <v>0</v>
          </cell>
        </row>
        <row r="1616">
          <cell r="A1616" t="str">
            <v>MZ574594EX</v>
          </cell>
          <cell r="B1616" t="str">
            <v>S</v>
          </cell>
          <cell r="C1616" t="str">
            <v>REAR LIP SPOILER,WHITE(P),W13</v>
          </cell>
          <cell r="D1616">
            <v>313.17</v>
          </cell>
          <cell r="E1616">
            <v>521.95000000000005</v>
          </cell>
          <cell r="F1616">
            <v>0</v>
          </cell>
          <cell r="G1616">
            <v>0</v>
          </cell>
        </row>
        <row r="1617">
          <cell r="A1617" t="str">
            <v>MZ574595EX</v>
          </cell>
          <cell r="B1617" t="str">
            <v>F</v>
          </cell>
          <cell r="C1617" t="str">
            <v>SPOILER- REAR LIP- PHANTOM U02</v>
          </cell>
          <cell r="D1617">
            <v>295.17</v>
          </cell>
          <cell r="E1617">
            <v>491.95</v>
          </cell>
          <cell r="F1617">
            <v>0</v>
          </cell>
          <cell r="G1617">
            <v>0</v>
          </cell>
        </row>
        <row r="1618">
          <cell r="A1618" t="str">
            <v>MZ574596EX</v>
          </cell>
          <cell r="B1618" t="str">
            <v>S</v>
          </cell>
          <cell r="C1618" t="str">
            <v>SPOILER- REAR LIP- OCTANE BLUE</v>
          </cell>
          <cell r="D1618">
            <v>313.17</v>
          </cell>
          <cell r="E1618">
            <v>521.95000000000005</v>
          </cell>
          <cell r="F1618">
            <v>0</v>
          </cell>
          <cell r="G1618">
            <v>0</v>
          </cell>
        </row>
        <row r="1619">
          <cell r="A1619" t="str">
            <v>MZ574597EX</v>
          </cell>
          <cell r="B1619" t="str">
            <v>Z</v>
          </cell>
          <cell r="C1619" t="str">
            <v>SPOILER- REAR LIP- ROTOR GLOW</v>
          </cell>
          <cell r="D1619">
            <v>295.17</v>
          </cell>
          <cell r="E1619">
            <v>491.95</v>
          </cell>
          <cell r="F1619">
            <v>0</v>
          </cell>
          <cell r="G1619">
            <v>0</v>
          </cell>
        </row>
        <row r="1620">
          <cell r="A1620" t="str">
            <v>MZ574598EX</v>
          </cell>
          <cell r="B1620" t="str">
            <v>F</v>
          </cell>
          <cell r="C1620" t="str">
            <v>BRACE- REAR STRUT</v>
          </cell>
          <cell r="D1620">
            <v>574.16999999999996</v>
          </cell>
          <cell r="E1620">
            <v>956.95</v>
          </cell>
          <cell r="F1620">
            <v>0</v>
          </cell>
          <cell r="G1620">
            <v>0</v>
          </cell>
        </row>
        <row r="1621">
          <cell r="A1621" t="str">
            <v>MZ574603EX</v>
          </cell>
          <cell r="B1621" t="str">
            <v>O</v>
          </cell>
          <cell r="C1621" t="str">
            <v>PLATE- RR BUMPER PROT - RVR &lt;2012</v>
          </cell>
          <cell r="D1621">
            <v>136.16</v>
          </cell>
          <cell r="E1621">
            <v>226.95</v>
          </cell>
          <cell r="F1621">
            <v>25</v>
          </cell>
          <cell r="G1621">
            <v>0</v>
          </cell>
        </row>
        <row r="1622">
          <cell r="A1622" t="str">
            <v>MZ574604EX</v>
          </cell>
          <cell r="B1622" t="str">
            <v>C</v>
          </cell>
          <cell r="C1622" t="str">
            <v>PROTECTOR- TAILGATE</v>
          </cell>
          <cell r="D1622">
            <v>80.97</v>
          </cell>
          <cell r="E1622">
            <v>134.94999999999999</v>
          </cell>
          <cell r="F1622">
            <v>20</v>
          </cell>
          <cell r="G1622">
            <v>0</v>
          </cell>
        </row>
        <row r="1623">
          <cell r="A1623" t="str">
            <v>MZ574626EX</v>
          </cell>
          <cell r="B1623" t="str">
            <v>F</v>
          </cell>
          <cell r="C1623" t="str">
            <v>SPOILER-REAR LIP- MERC U17</v>
          </cell>
          <cell r="D1623">
            <v>313.17</v>
          </cell>
          <cell r="E1623">
            <v>521.95000000000005</v>
          </cell>
          <cell r="F1623">
            <v>0</v>
          </cell>
          <cell r="G1623">
            <v>0</v>
          </cell>
        </row>
        <row r="1624">
          <cell r="A1624" t="str">
            <v>MZ574640EX</v>
          </cell>
          <cell r="B1624" t="str">
            <v>S</v>
          </cell>
          <cell r="C1624" t="str">
            <v>SPOILER-RVR- (P) WHITE (PORT)</v>
          </cell>
          <cell r="D1624">
            <v>299.97000000000003</v>
          </cell>
          <cell r="E1624">
            <v>499.95</v>
          </cell>
          <cell r="F1624">
            <v>3</v>
          </cell>
          <cell r="G1624">
            <v>0</v>
          </cell>
        </row>
        <row r="1625">
          <cell r="A1625" t="str">
            <v>MZ574641EX</v>
          </cell>
          <cell r="B1625" t="str">
            <v>S</v>
          </cell>
          <cell r="C1625" t="str">
            <v>SPOILER-RVR- SILVER(FOR PORT)</v>
          </cell>
          <cell r="D1625">
            <v>299.97000000000003</v>
          </cell>
          <cell r="E1625">
            <v>499.95</v>
          </cell>
          <cell r="F1625">
            <v>0</v>
          </cell>
          <cell r="G1625">
            <v>0</v>
          </cell>
        </row>
        <row r="1626">
          <cell r="A1626" t="str">
            <v>MZ574642EX</v>
          </cell>
          <cell r="B1626" t="str">
            <v>O</v>
          </cell>
          <cell r="C1626" t="str">
            <v>TAILGATE SPOILER BLACK</v>
          </cell>
          <cell r="D1626">
            <v>317.97000000000003</v>
          </cell>
          <cell r="E1626">
            <v>529.95000000000005</v>
          </cell>
          <cell r="F1626">
            <v>23</v>
          </cell>
          <cell r="G1626">
            <v>0</v>
          </cell>
        </row>
        <row r="1627">
          <cell r="A1627" t="str">
            <v>MZ574643EX</v>
          </cell>
          <cell r="B1627" t="str">
            <v>S</v>
          </cell>
          <cell r="C1627" t="str">
            <v>SPOILER-LARGE REAR-RED</v>
          </cell>
          <cell r="D1627">
            <v>299.97000000000003</v>
          </cell>
          <cell r="E1627">
            <v>499.95</v>
          </cell>
          <cell r="F1627">
            <v>0</v>
          </cell>
          <cell r="G1627">
            <v>0</v>
          </cell>
        </row>
        <row r="1628">
          <cell r="A1628" t="str">
            <v>MZ574644EX</v>
          </cell>
          <cell r="B1628" t="str">
            <v>S</v>
          </cell>
          <cell r="C1628" t="str">
            <v>TAILGATE SPOILER QUARTZ BROWN</v>
          </cell>
          <cell r="D1628">
            <v>299.97000000000003</v>
          </cell>
          <cell r="E1628">
            <v>499.95</v>
          </cell>
          <cell r="F1628">
            <v>0</v>
          </cell>
          <cell r="G1628">
            <v>0</v>
          </cell>
        </row>
        <row r="1629">
          <cell r="A1629" t="str">
            <v>MZ574645EX</v>
          </cell>
          <cell r="B1629" t="str">
            <v>S</v>
          </cell>
          <cell r="C1629" t="str">
            <v>SPOILER-LARGE REAR-COSMIC BLUE</v>
          </cell>
          <cell r="D1629">
            <v>300.58</v>
          </cell>
          <cell r="E1629">
            <v>500.95</v>
          </cell>
          <cell r="F1629">
            <v>0</v>
          </cell>
          <cell r="G1629">
            <v>0</v>
          </cell>
        </row>
        <row r="1630">
          <cell r="A1630" t="str">
            <v>MZ574646EX</v>
          </cell>
          <cell r="B1630" t="str">
            <v>O</v>
          </cell>
          <cell r="C1630" t="str">
            <v>SPOILER-LG REAR-MERCURY GRAY</v>
          </cell>
          <cell r="D1630">
            <v>317.97000000000003</v>
          </cell>
          <cell r="E1630">
            <v>529.95000000000005</v>
          </cell>
          <cell r="F1630">
            <v>19</v>
          </cell>
          <cell r="G1630">
            <v>0</v>
          </cell>
        </row>
        <row r="1631">
          <cell r="A1631" t="str">
            <v>MZ574647EX</v>
          </cell>
          <cell r="B1631" t="str">
            <v>S</v>
          </cell>
          <cell r="C1631" t="str">
            <v>TAILGATE SPOILER</v>
          </cell>
          <cell r="D1631">
            <v>300.57</v>
          </cell>
          <cell r="E1631">
            <v>500.95</v>
          </cell>
          <cell r="F1631">
            <v>0</v>
          </cell>
          <cell r="G1631">
            <v>0</v>
          </cell>
        </row>
        <row r="1632">
          <cell r="A1632" t="str">
            <v>MZ574649EX</v>
          </cell>
          <cell r="B1632" t="str">
            <v>F</v>
          </cell>
          <cell r="C1632" t="str">
            <v>TAILGATE SPOILER, LARGE</v>
          </cell>
          <cell r="D1632">
            <v>299.97000000000003</v>
          </cell>
          <cell r="E1632">
            <v>499.95</v>
          </cell>
          <cell r="F1632">
            <v>0</v>
          </cell>
          <cell r="G1632">
            <v>0</v>
          </cell>
        </row>
        <row r="1633">
          <cell r="A1633" t="str">
            <v>MZ574652EX</v>
          </cell>
          <cell r="B1633" t="str">
            <v>Q</v>
          </cell>
          <cell r="C1633" t="str">
            <v>SPOILER- REAR- MERC GRAY U17</v>
          </cell>
          <cell r="D1633">
            <v>367.77</v>
          </cell>
          <cell r="E1633">
            <v>612.95000000000005</v>
          </cell>
          <cell r="F1633">
            <v>3</v>
          </cell>
          <cell r="G1633">
            <v>0</v>
          </cell>
        </row>
        <row r="1634">
          <cell r="A1634" t="str">
            <v>MZ574654EX</v>
          </cell>
          <cell r="B1634" t="str">
            <v>S</v>
          </cell>
          <cell r="C1634" t="str">
            <v>SPOILER- REAR COSMIC BLUE D14</v>
          </cell>
          <cell r="D1634">
            <v>367.77</v>
          </cell>
          <cell r="E1634">
            <v>612.95000000000005</v>
          </cell>
          <cell r="F1634">
            <v>0</v>
          </cell>
          <cell r="G1634">
            <v>0</v>
          </cell>
        </row>
        <row r="1635">
          <cell r="A1635" t="str">
            <v>MZ574657EX</v>
          </cell>
          <cell r="B1635" t="str">
            <v>F</v>
          </cell>
          <cell r="C1635" t="str">
            <v>SPOILER- LARGE REAR- SILVER U04</v>
          </cell>
          <cell r="D1635">
            <v>300.57</v>
          </cell>
          <cell r="E1635">
            <v>500.95</v>
          </cell>
          <cell r="F1635">
            <v>0</v>
          </cell>
          <cell r="G1635">
            <v>0</v>
          </cell>
        </row>
        <row r="1636">
          <cell r="A1636" t="str">
            <v>MZ574658EX</v>
          </cell>
          <cell r="B1636" t="str">
            <v>S</v>
          </cell>
          <cell r="C1636" t="str">
            <v>SPOILER- LARGE REAR- WHITE W55</v>
          </cell>
          <cell r="D1636">
            <v>319.17</v>
          </cell>
          <cell r="E1636">
            <v>531.95000000000005</v>
          </cell>
          <cell r="F1636">
            <v>0</v>
          </cell>
          <cell r="G1636">
            <v>0</v>
          </cell>
        </row>
        <row r="1637">
          <cell r="A1637" t="str">
            <v>MZ574661EX</v>
          </cell>
          <cell r="B1637" t="str">
            <v>Q</v>
          </cell>
          <cell r="C1637" t="str">
            <v>REAR BUMPER PLATE OUTLANDER 2014&lt;</v>
          </cell>
          <cell r="D1637">
            <v>117.57</v>
          </cell>
          <cell r="E1637">
            <v>195.95</v>
          </cell>
          <cell r="F1637">
            <v>6</v>
          </cell>
          <cell r="G1637">
            <v>3</v>
          </cell>
        </row>
        <row r="1638">
          <cell r="A1638" t="str">
            <v>MZ574690EX</v>
          </cell>
          <cell r="B1638" t="str">
            <v>O</v>
          </cell>
          <cell r="C1638" t="str">
            <v>SPOILER-LG REAR-OCTANE BLU D06</v>
          </cell>
          <cell r="D1638">
            <v>361.77</v>
          </cell>
          <cell r="E1638">
            <v>602.95000000000005</v>
          </cell>
          <cell r="F1638">
            <v>1</v>
          </cell>
          <cell r="G1638">
            <v>0</v>
          </cell>
        </row>
        <row r="1639">
          <cell r="A1639" t="str">
            <v>MZ574706EX</v>
          </cell>
          <cell r="B1639" t="str">
            <v>D</v>
          </cell>
          <cell r="C1639" t="str">
            <v>SPOILER- LARGE REAR- BROWN C06</v>
          </cell>
          <cell r="D1639">
            <v>252.57</v>
          </cell>
          <cell r="E1639">
            <v>420.95</v>
          </cell>
          <cell r="F1639">
            <v>5</v>
          </cell>
          <cell r="G1639">
            <v>0</v>
          </cell>
        </row>
        <row r="1640">
          <cell r="A1640" t="str">
            <v>MZ574707EX</v>
          </cell>
          <cell r="B1640" t="str">
            <v>Q</v>
          </cell>
          <cell r="C1640" t="str">
            <v>REAR BUMPER PROTECTION PLATE</v>
          </cell>
          <cell r="D1640">
            <v>125.97</v>
          </cell>
          <cell r="E1640">
            <v>209.95</v>
          </cell>
          <cell r="F1640">
            <v>24</v>
          </cell>
          <cell r="G1640">
            <v>10</v>
          </cell>
        </row>
        <row r="1641">
          <cell r="A1641" t="str">
            <v>MZ574713EX</v>
          </cell>
          <cell r="B1641" t="str">
            <v>S</v>
          </cell>
          <cell r="C1641" t="str">
            <v>SPOILER,REAR,X40</v>
          </cell>
          <cell r="D1641">
            <v>252.57</v>
          </cell>
          <cell r="E1641">
            <v>420.95</v>
          </cell>
          <cell r="F1641">
            <v>5</v>
          </cell>
          <cell r="G1641">
            <v>0</v>
          </cell>
        </row>
        <row r="1642">
          <cell r="A1642" t="str">
            <v>MZ574725EX</v>
          </cell>
          <cell r="B1642" t="str">
            <v>S</v>
          </cell>
          <cell r="C1642" t="str">
            <v>SPOILER-RVR- STERLING SILVER</v>
          </cell>
          <cell r="D1642">
            <v>317.97000000000003</v>
          </cell>
          <cell r="E1642">
            <v>529.95000000000005</v>
          </cell>
          <cell r="F1642">
            <v>0</v>
          </cell>
          <cell r="G1642">
            <v>0</v>
          </cell>
        </row>
        <row r="1643">
          <cell r="A1643" t="str">
            <v>MZ574739EX</v>
          </cell>
          <cell r="B1643" t="str">
            <v>F</v>
          </cell>
          <cell r="C1643" t="str">
            <v>TAILGATE SPOILER BRIGHT ORANGE</v>
          </cell>
          <cell r="D1643">
            <v>463.17</v>
          </cell>
          <cell r="E1643">
            <v>771.95</v>
          </cell>
          <cell r="F1643">
            <v>2</v>
          </cell>
          <cell r="G1643">
            <v>0</v>
          </cell>
        </row>
        <row r="1644">
          <cell r="A1644" t="str">
            <v>MZ574740EX</v>
          </cell>
          <cell r="B1644" t="str">
            <v>D</v>
          </cell>
          <cell r="C1644" t="str">
            <v>TAILGATE SPOILER RED DIAMOND (</v>
          </cell>
          <cell r="D1644">
            <v>436.77</v>
          </cell>
          <cell r="E1644">
            <v>727.95</v>
          </cell>
          <cell r="F1644">
            <v>12</v>
          </cell>
          <cell r="G1644">
            <v>0</v>
          </cell>
        </row>
        <row r="1645">
          <cell r="A1645" t="str">
            <v>MZ574741EX</v>
          </cell>
          <cell r="B1645" t="str">
            <v>S</v>
          </cell>
          <cell r="C1645" t="str">
            <v>TAILGATE SPOILER OAK BROWN MET</v>
          </cell>
          <cell r="D1645">
            <v>439.66</v>
          </cell>
          <cell r="E1645">
            <v>732.95</v>
          </cell>
          <cell r="F1645">
            <v>1</v>
          </cell>
          <cell r="G1645">
            <v>0</v>
          </cell>
        </row>
        <row r="1646">
          <cell r="A1646" t="str">
            <v>MZ574747EX</v>
          </cell>
          <cell r="B1646" t="str">
            <v>D</v>
          </cell>
          <cell r="C1646" t="str">
            <v>SPOILER-RVR-DIAM WHITE (PORT)</v>
          </cell>
          <cell r="D1646">
            <v>413.37</v>
          </cell>
          <cell r="E1646">
            <v>688.95</v>
          </cell>
          <cell r="F1646">
            <v>11</v>
          </cell>
          <cell r="G1646">
            <v>0</v>
          </cell>
        </row>
        <row r="1647">
          <cell r="A1647" t="str">
            <v>MZ575156EX</v>
          </cell>
          <cell r="B1647" t="str">
            <v>F</v>
          </cell>
          <cell r="C1647" t="str">
            <v>FRONT AIR DAM- COSMIC BLUE</v>
          </cell>
          <cell r="D1647">
            <v>716.37</v>
          </cell>
          <cell r="E1647">
            <v>1193.95</v>
          </cell>
          <cell r="F1647">
            <v>0</v>
          </cell>
          <cell r="G1647">
            <v>0</v>
          </cell>
        </row>
        <row r="1648">
          <cell r="A1648" t="str">
            <v>MZ575157EX</v>
          </cell>
          <cell r="B1648" t="str">
            <v>F</v>
          </cell>
          <cell r="C1648" t="str">
            <v>REAR CORNER AIR DAM- COSMIC BLUE</v>
          </cell>
          <cell r="D1648">
            <v>394.17</v>
          </cell>
          <cell r="E1648">
            <v>656.95</v>
          </cell>
          <cell r="F1648">
            <v>0</v>
          </cell>
          <cell r="G1648">
            <v>0</v>
          </cell>
        </row>
        <row r="1649">
          <cell r="A1649" t="str">
            <v>MZ575158EX</v>
          </cell>
          <cell r="B1649" t="str">
            <v>S</v>
          </cell>
          <cell r="C1649" t="str">
            <v>REAR SPOILER EXTENSION- COSMIC BLUE</v>
          </cell>
          <cell r="D1649">
            <v>119.37</v>
          </cell>
          <cell r="E1649">
            <v>198.95</v>
          </cell>
          <cell r="F1649">
            <v>0</v>
          </cell>
          <cell r="G1649">
            <v>0</v>
          </cell>
        </row>
        <row r="1650">
          <cell r="A1650" t="str">
            <v>MZ575326EX</v>
          </cell>
          <cell r="B1650" t="str">
            <v>S</v>
          </cell>
          <cell r="C1650" t="str">
            <v>SPOILER- LARGE REAR- RED P26</v>
          </cell>
          <cell r="D1650">
            <v>235.77</v>
          </cell>
          <cell r="E1650">
            <v>392.95</v>
          </cell>
          <cell r="F1650">
            <v>5</v>
          </cell>
          <cell r="G1650">
            <v>0</v>
          </cell>
        </row>
        <row r="1651">
          <cell r="A1651" t="str">
            <v>MZ575332EX</v>
          </cell>
          <cell r="B1651" t="str">
            <v>F</v>
          </cell>
          <cell r="C1651" t="str">
            <v>SPOILER RR WHITE (S) W37 O/L 2014&lt;</v>
          </cell>
          <cell r="D1651">
            <v>256.17</v>
          </cell>
          <cell r="E1651">
            <v>426.95</v>
          </cell>
          <cell r="F1651">
            <v>0</v>
          </cell>
          <cell r="G1651">
            <v>0</v>
          </cell>
        </row>
        <row r="1652">
          <cell r="A1652" t="str">
            <v>MZ575333EX</v>
          </cell>
          <cell r="B1652" t="str">
            <v>Q</v>
          </cell>
          <cell r="C1652" t="str">
            <v>SPOILER RR WHITE (P) W13 O/L 2014&lt;</v>
          </cell>
          <cell r="D1652">
            <v>252.57</v>
          </cell>
          <cell r="E1652">
            <v>420.95</v>
          </cell>
          <cell r="F1652">
            <v>16</v>
          </cell>
          <cell r="G1652">
            <v>0</v>
          </cell>
        </row>
        <row r="1653">
          <cell r="A1653" t="str">
            <v>MZ575334EX</v>
          </cell>
          <cell r="B1653" t="str">
            <v>S</v>
          </cell>
          <cell r="C1653" t="str">
            <v>SPOILER RR COOL SILVER (M) A31 O/L 2014&lt;</v>
          </cell>
          <cell r="D1653">
            <v>235.77</v>
          </cell>
          <cell r="E1653">
            <v>392.95</v>
          </cell>
          <cell r="F1653">
            <v>1</v>
          </cell>
          <cell r="G1653">
            <v>0</v>
          </cell>
        </row>
        <row r="1654">
          <cell r="A1654" t="str">
            <v>MZ575335EX</v>
          </cell>
          <cell r="B1654" t="str">
            <v>Z</v>
          </cell>
          <cell r="C1654" t="str">
            <v>SPOILER RR TECH SILVER O/L 2014&lt;</v>
          </cell>
          <cell r="D1654">
            <v>256.16000000000003</v>
          </cell>
          <cell r="E1654">
            <v>426.95</v>
          </cell>
          <cell r="F1654">
            <v>0</v>
          </cell>
          <cell r="G1654">
            <v>0</v>
          </cell>
        </row>
        <row r="1655">
          <cell r="A1655" t="str">
            <v>MZ575336EX</v>
          </cell>
          <cell r="B1655" t="str">
            <v>S</v>
          </cell>
          <cell r="C1655" t="str">
            <v>SPOILER RR TIT. GREY (M) U17 O/L 2014&lt;</v>
          </cell>
          <cell r="D1655">
            <v>250.17</v>
          </cell>
          <cell r="E1655">
            <v>416.95</v>
          </cell>
          <cell r="F1655">
            <v>4</v>
          </cell>
          <cell r="G1655">
            <v>0</v>
          </cell>
        </row>
        <row r="1656">
          <cell r="A1656" t="str">
            <v>MZ575337EX</v>
          </cell>
          <cell r="B1656" t="str">
            <v>Q</v>
          </cell>
          <cell r="C1656" t="str">
            <v>SPOILER RR BLACK (P) X42 O/L 2014&lt;</v>
          </cell>
          <cell r="D1656">
            <v>250.17</v>
          </cell>
          <cell r="E1656">
            <v>416.95</v>
          </cell>
          <cell r="F1656">
            <v>15</v>
          </cell>
          <cell r="G1656">
            <v>0</v>
          </cell>
        </row>
        <row r="1657">
          <cell r="A1657" t="str">
            <v>MZ575338EX</v>
          </cell>
          <cell r="B1657" t="str">
            <v>Q</v>
          </cell>
          <cell r="C1657" t="str">
            <v>SPOILER RR COSMIC BLUE (M) D14 O/L 2014&lt;</v>
          </cell>
          <cell r="D1657">
            <v>235.77</v>
          </cell>
          <cell r="E1657">
            <v>392.95</v>
          </cell>
          <cell r="F1657">
            <v>4</v>
          </cell>
          <cell r="G1657">
            <v>0</v>
          </cell>
        </row>
        <row r="1658">
          <cell r="A1658" t="str">
            <v>MZ575339EX</v>
          </cell>
          <cell r="B1658" t="str">
            <v>Z</v>
          </cell>
          <cell r="C1658" t="str">
            <v>SPOILER RR COP. MET. (M) C07 O/L 2014&lt;</v>
          </cell>
          <cell r="D1658">
            <v>235.77</v>
          </cell>
          <cell r="E1658">
            <v>392.95</v>
          </cell>
          <cell r="F1658">
            <v>0</v>
          </cell>
          <cell r="G1658">
            <v>0</v>
          </cell>
        </row>
        <row r="1659">
          <cell r="A1659" t="str">
            <v>MZ575361EX</v>
          </cell>
          <cell r="B1659" t="str">
            <v>Z</v>
          </cell>
          <cell r="C1659" t="str">
            <v>REAR AIRDAM WHITE (S) W37</v>
          </cell>
          <cell r="D1659">
            <v>156.57</v>
          </cell>
          <cell r="E1659">
            <v>260.95</v>
          </cell>
          <cell r="F1659">
            <v>0</v>
          </cell>
          <cell r="G1659">
            <v>0</v>
          </cell>
        </row>
        <row r="1660">
          <cell r="A1660" t="str">
            <v>MZ575362EX</v>
          </cell>
          <cell r="B1660" t="str">
            <v>S</v>
          </cell>
          <cell r="C1660" t="str">
            <v>RR AIRDAM WHITE (P) W13 O/L 2014&lt;</v>
          </cell>
          <cell r="D1660">
            <v>170.97</v>
          </cell>
          <cell r="E1660">
            <v>284.95</v>
          </cell>
          <cell r="F1660">
            <v>0</v>
          </cell>
          <cell r="G1660">
            <v>0</v>
          </cell>
        </row>
        <row r="1661">
          <cell r="A1661" t="str">
            <v>MZ575363EX</v>
          </cell>
          <cell r="B1661" t="str">
            <v>S</v>
          </cell>
          <cell r="C1661" t="str">
            <v>RR AIRDAM COOL SILVER (M) A31 O/L 2014&lt;</v>
          </cell>
          <cell r="D1661">
            <v>170.97</v>
          </cell>
          <cell r="E1661">
            <v>284.95</v>
          </cell>
          <cell r="F1661">
            <v>0</v>
          </cell>
          <cell r="G1661">
            <v>0</v>
          </cell>
        </row>
        <row r="1662">
          <cell r="A1662" t="str">
            <v>MZ575364EX</v>
          </cell>
          <cell r="B1662" t="str">
            <v>Z</v>
          </cell>
          <cell r="C1662" t="str">
            <v>RR AIRDAM TECHNICAL SILVER   U21 O/L 201</v>
          </cell>
          <cell r="D1662">
            <v>170.97</v>
          </cell>
          <cell r="E1662">
            <v>284.95</v>
          </cell>
          <cell r="F1662">
            <v>0</v>
          </cell>
          <cell r="G1662">
            <v>0</v>
          </cell>
        </row>
        <row r="1663">
          <cell r="A1663" t="str">
            <v>MZ575367EX</v>
          </cell>
          <cell r="B1663" t="str">
            <v>S</v>
          </cell>
          <cell r="C1663" t="str">
            <v>RR AIRDAM TITANIUM GREY (M) U17 O/L 2014</v>
          </cell>
          <cell r="D1663">
            <v>170.97</v>
          </cell>
          <cell r="E1663">
            <v>284.95</v>
          </cell>
          <cell r="F1663">
            <v>0</v>
          </cell>
          <cell r="G1663">
            <v>0</v>
          </cell>
        </row>
        <row r="1664">
          <cell r="A1664" t="str">
            <v>MZ575368EX</v>
          </cell>
          <cell r="B1664" t="str">
            <v>Z</v>
          </cell>
          <cell r="C1664" t="str">
            <v>RR AIRDAM BLACK (P) X42 O/L 2014&lt;</v>
          </cell>
          <cell r="D1664">
            <v>170.97</v>
          </cell>
          <cell r="E1664">
            <v>284.95</v>
          </cell>
          <cell r="F1664">
            <v>0</v>
          </cell>
          <cell r="G1664">
            <v>0</v>
          </cell>
        </row>
        <row r="1665">
          <cell r="A1665" t="str">
            <v>MZ575369EX</v>
          </cell>
          <cell r="B1665" t="str">
            <v>S</v>
          </cell>
          <cell r="C1665" t="str">
            <v>RR AIRDAM COSMIC BLUE (M) D14 O/L 2004&lt;</v>
          </cell>
          <cell r="D1665">
            <v>170.97</v>
          </cell>
          <cell r="E1665">
            <v>284.95</v>
          </cell>
          <cell r="F1665">
            <v>0</v>
          </cell>
          <cell r="G1665">
            <v>0</v>
          </cell>
        </row>
        <row r="1666">
          <cell r="A1666" t="str">
            <v>MZ575390EX</v>
          </cell>
          <cell r="B1666" t="str">
            <v>Z</v>
          </cell>
          <cell r="C1666" t="str">
            <v>GRILLE- MESH GARNISH</v>
          </cell>
          <cell r="D1666">
            <v>301.77</v>
          </cell>
          <cell r="E1666">
            <v>502.95</v>
          </cell>
          <cell r="F1666">
            <v>0</v>
          </cell>
          <cell r="G1666">
            <v>0</v>
          </cell>
        </row>
        <row r="1667">
          <cell r="A1667" t="str">
            <v>MZ575393EX</v>
          </cell>
          <cell r="B1667" t="str">
            <v>S</v>
          </cell>
          <cell r="C1667" t="str">
            <v>RR AIRDAM COPPER MET (M) C07 O/L 2014&lt;</v>
          </cell>
          <cell r="D1667">
            <v>170.97</v>
          </cell>
          <cell r="E1667">
            <v>284.95</v>
          </cell>
          <cell r="F1667">
            <v>0</v>
          </cell>
          <cell r="G1667">
            <v>0</v>
          </cell>
        </row>
        <row r="1668">
          <cell r="A1668" t="str">
            <v>MZ575625EX</v>
          </cell>
          <cell r="B1668" t="str">
            <v>Z</v>
          </cell>
          <cell r="C1668" t="str">
            <v>AIR DAM EXTENSION KIT- FRONT</v>
          </cell>
          <cell r="D1668">
            <v>330.57</v>
          </cell>
          <cell r="E1668">
            <v>550.95000000000005</v>
          </cell>
          <cell r="F1668">
            <v>0</v>
          </cell>
          <cell r="G1668">
            <v>0</v>
          </cell>
        </row>
        <row r="1669">
          <cell r="A1669" t="str">
            <v>MZ575682EX</v>
          </cell>
          <cell r="B1669" t="str">
            <v>D</v>
          </cell>
          <cell r="C1669" t="str">
            <v>FOGLAMP CHR BEZEL - RVR 2013&gt;</v>
          </cell>
          <cell r="D1669">
            <v>56.37</v>
          </cell>
          <cell r="E1669">
            <v>93.95</v>
          </cell>
          <cell r="F1669">
            <v>2</v>
          </cell>
          <cell r="G1669">
            <v>0</v>
          </cell>
        </row>
        <row r="1670">
          <cell r="A1670" t="str">
            <v>MZ575683EX</v>
          </cell>
          <cell r="B1670" t="str">
            <v>S</v>
          </cell>
          <cell r="C1670" t="str">
            <v>FOGLAMP CHR BEZEL - RVR &lt;2012</v>
          </cell>
          <cell r="D1670">
            <v>93.57</v>
          </cell>
          <cell r="E1670">
            <v>155.94999999999999</v>
          </cell>
          <cell r="F1670">
            <v>0</v>
          </cell>
          <cell r="G1670">
            <v>0</v>
          </cell>
        </row>
        <row r="1671">
          <cell r="A1671" t="str">
            <v>MZ575707EX</v>
          </cell>
          <cell r="B1671" t="str">
            <v>Z</v>
          </cell>
          <cell r="C1671" t="str">
            <v>FRONT CHROME LWR GARNISH - RVR 2013&gt;</v>
          </cell>
          <cell r="D1671">
            <v>117.57</v>
          </cell>
          <cell r="E1671">
            <v>195.95</v>
          </cell>
          <cell r="F1671">
            <v>0</v>
          </cell>
          <cell r="G1671">
            <v>0</v>
          </cell>
        </row>
        <row r="1672">
          <cell r="A1672" t="str">
            <v>MZ575708EX</v>
          </cell>
          <cell r="B1672" t="str">
            <v>Z</v>
          </cell>
          <cell r="C1672" t="str">
            <v>REAR UNDERCOVER</v>
          </cell>
          <cell r="D1672">
            <v>134.97</v>
          </cell>
          <cell r="E1672">
            <v>224.95</v>
          </cell>
          <cell r="F1672">
            <v>0</v>
          </cell>
          <cell r="G1672">
            <v>0</v>
          </cell>
        </row>
        <row r="1673">
          <cell r="A1673" t="str">
            <v>MZ575709EX</v>
          </cell>
          <cell r="B1673" t="str">
            <v>D</v>
          </cell>
          <cell r="C1673" t="str">
            <v>FRONT CORNER EXTENSION</v>
          </cell>
          <cell r="D1673">
            <v>130.16</v>
          </cell>
          <cell r="E1673">
            <v>216.95</v>
          </cell>
          <cell r="F1673">
            <v>6</v>
          </cell>
          <cell r="G1673">
            <v>0</v>
          </cell>
        </row>
        <row r="1674">
          <cell r="A1674" t="str">
            <v>MZ575780EX</v>
          </cell>
          <cell r="B1674" t="str">
            <v>F</v>
          </cell>
          <cell r="C1674" t="str">
            <v>AIR DAM- FRONT APEX SILVER A31</v>
          </cell>
          <cell r="D1674">
            <v>176.96</v>
          </cell>
          <cell r="E1674">
            <v>294.95</v>
          </cell>
          <cell r="F1674">
            <v>1</v>
          </cell>
          <cell r="G1674">
            <v>0</v>
          </cell>
        </row>
        <row r="1675">
          <cell r="A1675" t="str">
            <v>MZ575781EX</v>
          </cell>
          <cell r="B1675" t="str">
            <v>Q</v>
          </cell>
          <cell r="C1675" t="str">
            <v>AIR DAM- FR. TARMAC BLACK X42</v>
          </cell>
          <cell r="D1675">
            <v>189.57</v>
          </cell>
          <cell r="E1675">
            <v>315.95</v>
          </cell>
          <cell r="F1675">
            <v>0</v>
          </cell>
          <cell r="G1675">
            <v>0</v>
          </cell>
        </row>
        <row r="1676">
          <cell r="A1676" t="str">
            <v>MZ575782EX</v>
          </cell>
          <cell r="B1676" t="str">
            <v>S</v>
          </cell>
          <cell r="C1676" t="str">
            <v>AIR DAM- FR GRAPHITE GRAY  A39</v>
          </cell>
          <cell r="D1676">
            <v>176.97</v>
          </cell>
          <cell r="E1676">
            <v>294.95</v>
          </cell>
          <cell r="F1676">
            <v>0</v>
          </cell>
          <cell r="G1676">
            <v>0</v>
          </cell>
        </row>
        <row r="1677">
          <cell r="A1677" t="str">
            <v>MZ575783EX</v>
          </cell>
          <cell r="B1677" t="str">
            <v>Z</v>
          </cell>
          <cell r="C1677" t="str">
            <v>AIR DAM- FRONT RALLY RED P26</v>
          </cell>
          <cell r="D1677">
            <v>189.57</v>
          </cell>
          <cell r="E1677">
            <v>315.95</v>
          </cell>
          <cell r="F1677">
            <v>0</v>
          </cell>
          <cell r="G1677">
            <v>0</v>
          </cell>
        </row>
        <row r="1678">
          <cell r="A1678" t="str">
            <v>MZ575788EX</v>
          </cell>
          <cell r="B1678" t="str">
            <v>Z</v>
          </cell>
          <cell r="C1678" t="str">
            <v>AIR DAM- FR- ELECTRIC BLUE T70</v>
          </cell>
          <cell r="D1678">
            <v>176.97</v>
          </cell>
          <cell r="E1678">
            <v>294.95</v>
          </cell>
          <cell r="F1678">
            <v>0</v>
          </cell>
          <cell r="G1678">
            <v>0</v>
          </cell>
        </row>
        <row r="1679">
          <cell r="A1679" t="str">
            <v>MZ575789EX</v>
          </cell>
          <cell r="B1679" t="str">
            <v>F</v>
          </cell>
          <cell r="C1679" t="str">
            <v>AIRDAM- FRONT- OCTANE BLUE D06</v>
          </cell>
          <cell r="D1679">
            <v>189.57</v>
          </cell>
          <cell r="E1679">
            <v>315.95</v>
          </cell>
          <cell r="F1679">
            <v>0</v>
          </cell>
          <cell r="G1679">
            <v>0</v>
          </cell>
        </row>
        <row r="1680">
          <cell r="A1680" t="str">
            <v>MZ575817EX</v>
          </cell>
          <cell r="B1680" t="str">
            <v>S</v>
          </cell>
          <cell r="C1680" t="str">
            <v>AIR DAM- FR. MERC GRAY U17</v>
          </cell>
          <cell r="D1680">
            <v>189.57</v>
          </cell>
          <cell r="E1680">
            <v>315.95</v>
          </cell>
          <cell r="F1680">
            <v>0</v>
          </cell>
          <cell r="G1680">
            <v>0</v>
          </cell>
        </row>
        <row r="1681">
          <cell r="A1681" t="str">
            <v>MZ575819EX</v>
          </cell>
          <cell r="B1681" t="str">
            <v>S</v>
          </cell>
          <cell r="C1681" t="str">
            <v>FRONT AIR DAM- COSMIC BLUE D14</v>
          </cell>
          <cell r="D1681">
            <v>176.96</v>
          </cell>
          <cell r="E1681">
            <v>294.95</v>
          </cell>
          <cell r="F1681">
            <v>0</v>
          </cell>
          <cell r="G1681">
            <v>0</v>
          </cell>
        </row>
        <row r="1682">
          <cell r="A1682" t="str">
            <v>MZ575844EX</v>
          </cell>
          <cell r="B1682" t="str">
            <v>X</v>
          </cell>
          <cell r="C1682" t="str">
            <v>HEAT PROTECTOR</v>
          </cell>
          <cell r="D1682">
            <v>475.17</v>
          </cell>
          <cell r="E1682">
            <v>791.95</v>
          </cell>
          <cell r="F1682">
            <v>0</v>
          </cell>
          <cell r="G1682">
            <v>0</v>
          </cell>
        </row>
        <row r="1683">
          <cell r="A1683" t="str">
            <v>MZ575845EX</v>
          </cell>
          <cell r="B1683" t="str">
            <v>Z</v>
          </cell>
          <cell r="C1683" t="str">
            <v>AIR DAM- FRONT</v>
          </cell>
          <cell r="D1683">
            <v>734.37</v>
          </cell>
          <cell r="E1683">
            <v>1223.95</v>
          </cell>
          <cell r="F1683">
            <v>0</v>
          </cell>
          <cell r="G1683">
            <v>0</v>
          </cell>
        </row>
        <row r="1684">
          <cell r="A1684" t="str">
            <v>MZ575850EX</v>
          </cell>
          <cell r="B1684" t="str">
            <v>Z</v>
          </cell>
          <cell r="C1684" t="str">
            <v>AIR DAM- REAR CORNER</v>
          </cell>
          <cell r="D1684">
            <v>485.97</v>
          </cell>
          <cell r="E1684">
            <v>809.95</v>
          </cell>
          <cell r="F1684">
            <v>0</v>
          </cell>
          <cell r="G1684">
            <v>0</v>
          </cell>
        </row>
        <row r="1685">
          <cell r="A1685" t="str">
            <v>MZ575856EX</v>
          </cell>
          <cell r="B1685" t="str">
            <v>F</v>
          </cell>
          <cell r="C1685" t="str">
            <v>EXTENSION- REAR SPOILER- APEX</v>
          </cell>
          <cell r="D1685">
            <v>112.18</v>
          </cell>
          <cell r="E1685">
            <v>186.95</v>
          </cell>
          <cell r="F1685">
            <v>0</v>
          </cell>
          <cell r="G1685">
            <v>0</v>
          </cell>
        </row>
        <row r="1686">
          <cell r="A1686" t="str">
            <v>MZ575857EX</v>
          </cell>
          <cell r="B1686" t="str">
            <v>F</v>
          </cell>
          <cell r="C1686" t="str">
            <v>EXTENSION- REAR SPOILER</v>
          </cell>
          <cell r="D1686">
            <v>112.18</v>
          </cell>
          <cell r="E1686">
            <v>186.95</v>
          </cell>
          <cell r="F1686">
            <v>0</v>
          </cell>
          <cell r="G1686">
            <v>0</v>
          </cell>
        </row>
        <row r="1687">
          <cell r="A1687" t="str">
            <v>MZ575858EX</v>
          </cell>
          <cell r="B1687" t="str">
            <v>D</v>
          </cell>
          <cell r="C1687" t="str">
            <v>EXTENSION- REAR SPOILER</v>
          </cell>
          <cell r="D1687">
            <v>120.57</v>
          </cell>
          <cell r="E1687">
            <v>200.95</v>
          </cell>
          <cell r="F1687">
            <v>3</v>
          </cell>
          <cell r="G1687">
            <v>0</v>
          </cell>
        </row>
        <row r="1688">
          <cell r="A1688" t="str">
            <v>MZ575859EX</v>
          </cell>
          <cell r="B1688" t="str">
            <v>F</v>
          </cell>
          <cell r="C1688" t="str">
            <v>EXTENSION- REAR SPOILER</v>
          </cell>
          <cell r="D1688">
            <v>112.18</v>
          </cell>
          <cell r="E1688">
            <v>186.95</v>
          </cell>
          <cell r="F1688">
            <v>0</v>
          </cell>
          <cell r="G1688">
            <v>0</v>
          </cell>
        </row>
        <row r="1689">
          <cell r="A1689" t="str">
            <v>MZ575866EX</v>
          </cell>
          <cell r="B1689" t="str">
            <v>S</v>
          </cell>
          <cell r="C1689" t="str">
            <v>EXTENSION- REAR SPOILER</v>
          </cell>
          <cell r="D1689">
            <v>112.18</v>
          </cell>
          <cell r="E1689">
            <v>186.95</v>
          </cell>
          <cell r="F1689">
            <v>0</v>
          </cell>
          <cell r="G1689">
            <v>0</v>
          </cell>
        </row>
        <row r="1690">
          <cell r="A1690" t="str">
            <v>MZ575869EX</v>
          </cell>
          <cell r="B1690" t="str">
            <v>S</v>
          </cell>
          <cell r="C1690" t="str">
            <v>REAR SPOILER EXTENSION- TITANIUM GREY</v>
          </cell>
          <cell r="D1690">
            <v>112.18</v>
          </cell>
          <cell r="E1690">
            <v>186.95</v>
          </cell>
          <cell r="F1690">
            <v>0</v>
          </cell>
          <cell r="G1690">
            <v>0</v>
          </cell>
        </row>
        <row r="1691">
          <cell r="A1691" t="str">
            <v>MZ575893EX</v>
          </cell>
          <cell r="B1691" t="str">
            <v>F</v>
          </cell>
          <cell r="C1691" t="str">
            <v>FRONT AIR DAM- TITANIUM GREY</v>
          </cell>
          <cell r="D1691">
            <v>752.97</v>
          </cell>
          <cell r="E1691">
            <v>1254.95</v>
          </cell>
          <cell r="F1691">
            <v>0</v>
          </cell>
          <cell r="G1691">
            <v>0</v>
          </cell>
        </row>
        <row r="1692">
          <cell r="A1692" t="str">
            <v>MZ575894EX</v>
          </cell>
          <cell r="B1692" t="str">
            <v>D</v>
          </cell>
          <cell r="C1692" t="str">
            <v>REAR CORNER AIR DAM- TITANIUM GREY</v>
          </cell>
          <cell r="D1692">
            <v>515.37</v>
          </cell>
          <cell r="E1692">
            <v>858.95</v>
          </cell>
          <cell r="F1692">
            <v>2</v>
          </cell>
          <cell r="G1692">
            <v>0</v>
          </cell>
        </row>
        <row r="1693">
          <cell r="A1693" t="str">
            <v>MZ575946EX</v>
          </cell>
          <cell r="B1693" t="str">
            <v>S</v>
          </cell>
          <cell r="C1693" t="str">
            <v>UNDERCOVER- FRONT CHROME - RVR &lt;2012</v>
          </cell>
          <cell r="D1693">
            <v>259.17</v>
          </cell>
          <cell r="E1693">
            <v>431.95</v>
          </cell>
          <cell r="F1693">
            <v>31</v>
          </cell>
          <cell r="G1693">
            <v>0</v>
          </cell>
        </row>
        <row r="1694">
          <cell r="A1694" t="str">
            <v>MZ575947EX</v>
          </cell>
          <cell r="B1694" t="str">
            <v>D</v>
          </cell>
          <cell r="C1694" t="str">
            <v>REAR GARNISH   GRAY</v>
          </cell>
          <cell r="D1694">
            <v>236.97</v>
          </cell>
          <cell r="E1694">
            <v>394.95</v>
          </cell>
          <cell r="F1694">
            <v>1</v>
          </cell>
          <cell r="G1694">
            <v>0</v>
          </cell>
        </row>
        <row r="1695">
          <cell r="A1695" t="str">
            <v>MZ575960EX</v>
          </cell>
          <cell r="B1695" t="str">
            <v>S</v>
          </cell>
          <cell r="C1695" t="str">
            <v>EXTENSION FRONT CORNER-WHITE</v>
          </cell>
          <cell r="D1695">
            <v>272.98</v>
          </cell>
          <cell r="E1695">
            <v>454.95</v>
          </cell>
          <cell r="F1695">
            <v>0</v>
          </cell>
          <cell r="G1695">
            <v>0</v>
          </cell>
        </row>
        <row r="1696">
          <cell r="A1696" t="str">
            <v>MZ575961EX</v>
          </cell>
          <cell r="B1696" t="str">
            <v>S</v>
          </cell>
          <cell r="C1696" t="str">
            <v>FRONT CORNER EXTENSION  A31</v>
          </cell>
          <cell r="D1696">
            <v>339.57</v>
          </cell>
          <cell r="E1696">
            <v>565.95000000000005</v>
          </cell>
          <cell r="F1696">
            <v>0</v>
          </cell>
          <cell r="G1696">
            <v>0</v>
          </cell>
        </row>
        <row r="1697">
          <cell r="A1697" t="str">
            <v>MZ575962EX</v>
          </cell>
          <cell r="B1697" t="str">
            <v>S</v>
          </cell>
          <cell r="C1697" t="str">
            <v>FRONT CORNER EXTENSION</v>
          </cell>
          <cell r="D1697">
            <v>339.57</v>
          </cell>
          <cell r="E1697">
            <v>565.95000000000005</v>
          </cell>
          <cell r="F1697">
            <v>0</v>
          </cell>
          <cell r="G1697">
            <v>0</v>
          </cell>
        </row>
        <row r="1698">
          <cell r="A1698" t="str">
            <v>MZ575963EX</v>
          </cell>
          <cell r="B1698" t="str">
            <v>S</v>
          </cell>
          <cell r="C1698" t="str">
            <v>EXTENSION-FRONT CORNER- RED</v>
          </cell>
          <cell r="D1698">
            <v>339.57</v>
          </cell>
          <cell r="E1698">
            <v>565.95000000000005</v>
          </cell>
          <cell r="F1698">
            <v>0</v>
          </cell>
          <cell r="G1698">
            <v>0</v>
          </cell>
        </row>
        <row r="1699">
          <cell r="A1699" t="str">
            <v>MZ575965EX</v>
          </cell>
          <cell r="B1699" t="str">
            <v>S</v>
          </cell>
          <cell r="C1699" t="str">
            <v>EXT-FRONT CORNER-COSMIC BLUE</v>
          </cell>
          <cell r="D1699">
            <v>339.58</v>
          </cell>
          <cell r="E1699">
            <v>565.95000000000005</v>
          </cell>
          <cell r="F1699">
            <v>0</v>
          </cell>
          <cell r="G1699">
            <v>0</v>
          </cell>
        </row>
        <row r="1700">
          <cell r="A1700" t="str">
            <v>MZ575966EX</v>
          </cell>
          <cell r="B1700" t="str">
            <v>S</v>
          </cell>
          <cell r="C1700" t="str">
            <v>EXT-FRONT CORNER-MERCURY GRAY</v>
          </cell>
          <cell r="D1700">
            <v>339.58</v>
          </cell>
          <cell r="E1700">
            <v>565.95000000000005</v>
          </cell>
          <cell r="F1700">
            <v>0</v>
          </cell>
          <cell r="G1700">
            <v>0</v>
          </cell>
        </row>
        <row r="1701">
          <cell r="A1701" t="str">
            <v>MZ575967EX</v>
          </cell>
          <cell r="B1701" t="str">
            <v>S</v>
          </cell>
          <cell r="C1701" t="str">
            <v>FRONT CORNER EXTENSION</v>
          </cell>
          <cell r="D1701">
            <v>339.57</v>
          </cell>
          <cell r="E1701">
            <v>565.95000000000005</v>
          </cell>
          <cell r="F1701">
            <v>0</v>
          </cell>
          <cell r="G1701">
            <v>0</v>
          </cell>
        </row>
        <row r="1702">
          <cell r="A1702" t="str">
            <v>MZ575992EX</v>
          </cell>
          <cell r="B1702" t="str">
            <v>Z</v>
          </cell>
          <cell r="C1702" t="str">
            <v>FRONT AIRDAM WHITE (S) W37</v>
          </cell>
          <cell r="D1702">
            <v>379.77</v>
          </cell>
          <cell r="E1702">
            <v>632.95000000000005</v>
          </cell>
          <cell r="F1702">
            <v>0</v>
          </cell>
          <cell r="G1702">
            <v>0</v>
          </cell>
        </row>
        <row r="1703">
          <cell r="A1703" t="str">
            <v>MZ575993EX</v>
          </cell>
          <cell r="B1703" t="str">
            <v>Q</v>
          </cell>
          <cell r="C1703" t="str">
            <v>FRONT AIRDAM WHITE (P) W13 O/L 2014&lt;</v>
          </cell>
          <cell r="D1703">
            <v>379.77</v>
          </cell>
          <cell r="E1703">
            <v>632.95000000000005</v>
          </cell>
          <cell r="F1703">
            <v>1</v>
          </cell>
          <cell r="G1703">
            <v>0</v>
          </cell>
        </row>
        <row r="1704">
          <cell r="A1704" t="str">
            <v>MZ575994EX</v>
          </cell>
          <cell r="B1704" t="str">
            <v>Q</v>
          </cell>
          <cell r="C1704" t="str">
            <v>FR AIRDAM COOL SILVER (M) A31 O/L 2014&lt;</v>
          </cell>
          <cell r="D1704">
            <v>379.77</v>
          </cell>
          <cell r="E1704">
            <v>632.95000000000005</v>
          </cell>
          <cell r="F1704">
            <v>7</v>
          </cell>
          <cell r="G1704">
            <v>0</v>
          </cell>
        </row>
        <row r="1705">
          <cell r="A1705" t="str">
            <v>MZ575995EX</v>
          </cell>
          <cell r="B1705" t="str">
            <v>Z</v>
          </cell>
          <cell r="C1705" t="str">
            <v>FR AIRDAM TECH SILVER U21 O/L 2014&lt;</v>
          </cell>
          <cell r="D1705">
            <v>379.77</v>
          </cell>
          <cell r="E1705">
            <v>632.95000000000005</v>
          </cell>
          <cell r="F1705">
            <v>0</v>
          </cell>
          <cell r="G1705">
            <v>0</v>
          </cell>
        </row>
        <row r="1706">
          <cell r="A1706" t="str">
            <v>MZ575996EX</v>
          </cell>
          <cell r="B1706" t="str">
            <v>Q</v>
          </cell>
          <cell r="C1706" t="str">
            <v>FR AIRDAMTITANIUM GREY (M) U17 O/L 2014&lt;</v>
          </cell>
          <cell r="D1706">
            <v>379.77</v>
          </cell>
          <cell r="E1706">
            <v>632.95000000000005</v>
          </cell>
          <cell r="F1706">
            <v>0</v>
          </cell>
          <cell r="G1706">
            <v>0</v>
          </cell>
        </row>
        <row r="1707">
          <cell r="A1707" t="str">
            <v>MZ575997EX</v>
          </cell>
          <cell r="B1707" t="str">
            <v>Q</v>
          </cell>
          <cell r="C1707" t="str">
            <v>FR AIRDAM BLACK (P) X42 O/L 2014&lt;</v>
          </cell>
          <cell r="D1707">
            <v>379.77</v>
          </cell>
          <cell r="E1707">
            <v>632.95000000000005</v>
          </cell>
          <cell r="F1707">
            <v>2</v>
          </cell>
          <cell r="G1707">
            <v>0</v>
          </cell>
        </row>
        <row r="1708">
          <cell r="A1708" t="str">
            <v>MZ575998EX</v>
          </cell>
          <cell r="B1708" t="str">
            <v>S</v>
          </cell>
          <cell r="C1708" t="str">
            <v>FR AIRDAM COSMIC BLUE (M) D14 O/L 2014&lt;</v>
          </cell>
          <cell r="D1708">
            <v>379.77</v>
          </cell>
          <cell r="E1708">
            <v>632.95000000000005</v>
          </cell>
          <cell r="F1708">
            <v>4</v>
          </cell>
          <cell r="G1708">
            <v>0</v>
          </cell>
        </row>
        <row r="1709">
          <cell r="A1709" t="str">
            <v>MZ575999EX</v>
          </cell>
          <cell r="B1709" t="str">
            <v>S</v>
          </cell>
          <cell r="C1709" t="str">
            <v>FR AIRDAM COPPER MET (M) C07 O/L 2014&lt;</v>
          </cell>
          <cell r="D1709">
            <v>379.77</v>
          </cell>
          <cell r="E1709">
            <v>632.95000000000005</v>
          </cell>
          <cell r="F1709">
            <v>0</v>
          </cell>
          <cell r="G1709">
            <v>0</v>
          </cell>
        </row>
        <row r="1710">
          <cell r="A1710" t="str">
            <v>MZ576227EX</v>
          </cell>
          <cell r="B1710" t="str">
            <v>Q</v>
          </cell>
          <cell r="C1710" t="str">
            <v>COVER- DOOR HANDLE- CHROME</v>
          </cell>
          <cell r="D1710">
            <v>194.97</v>
          </cell>
          <cell r="E1710">
            <v>324.95</v>
          </cell>
          <cell r="F1710">
            <v>4</v>
          </cell>
          <cell r="G1710">
            <v>0</v>
          </cell>
        </row>
        <row r="1711">
          <cell r="A1711" t="str">
            <v>MZ576228EX</v>
          </cell>
          <cell r="B1711" t="str">
            <v>D</v>
          </cell>
          <cell r="C1711" t="str">
            <v>COVER- DOOR HANDLE- CHROME</v>
          </cell>
          <cell r="D1711">
            <v>194.97</v>
          </cell>
          <cell r="E1711">
            <v>324.95</v>
          </cell>
          <cell r="F1711">
            <v>6</v>
          </cell>
          <cell r="G1711">
            <v>0</v>
          </cell>
        </row>
        <row r="1712">
          <cell r="A1712" t="str">
            <v>MZ576245EX</v>
          </cell>
          <cell r="B1712" t="str">
            <v>Q</v>
          </cell>
          <cell r="C1712" t="str">
            <v>STYLING ELEMENT FRONT OUTLANDER 2014&lt;</v>
          </cell>
          <cell r="D1712">
            <v>199.17</v>
          </cell>
          <cell r="E1712">
            <v>331.95</v>
          </cell>
          <cell r="F1712">
            <v>2</v>
          </cell>
          <cell r="G1712">
            <v>0</v>
          </cell>
        </row>
        <row r="1713">
          <cell r="A1713" t="str">
            <v>MZ576427EX</v>
          </cell>
          <cell r="B1713" t="str">
            <v>S</v>
          </cell>
          <cell r="C1713" t="str">
            <v>FRONT BUMPER EXT GREEN(F24)</v>
          </cell>
          <cell r="D1713">
            <v>181.17</v>
          </cell>
          <cell r="E1713">
            <v>301.95</v>
          </cell>
          <cell r="F1713">
            <v>0</v>
          </cell>
          <cell r="G1713">
            <v>0</v>
          </cell>
        </row>
        <row r="1714">
          <cell r="A1714" t="str">
            <v>MZ576428EX</v>
          </cell>
          <cell r="B1714" t="str">
            <v>S</v>
          </cell>
          <cell r="C1714" t="str">
            <v>FRONT BUMPER EXT PURPLE (V08)</v>
          </cell>
          <cell r="D1714">
            <v>167.97</v>
          </cell>
          <cell r="E1714">
            <v>279.95</v>
          </cell>
          <cell r="F1714">
            <v>0</v>
          </cell>
          <cell r="G1714">
            <v>0</v>
          </cell>
        </row>
        <row r="1715">
          <cell r="A1715" t="str">
            <v>MZ576429EX</v>
          </cell>
          <cell r="B1715" t="str">
            <v>S</v>
          </cell>
          <cell r="C1715" t="str">
            <v>FR BUMPER EXT CERULEAN BLUE METALIC(T69)</v>
          </cell>
          <cell r="D1715">
            <v>179.97</v>
          </cell>
          <cell r="E1715">
            <v>299.95</v>
          </cell>
          <cell r="F1715">
            <v>0</v>
          </cell>
          <cell r="G1715">
            <v>0</v>
          </cell>
        </row>
        <row r="1716">
          <cell r="A1716" t="str">
            <v>MZ576430EX</v>
          </cell>
          <cell r="B1716" t="str">
            <v>S</v>
          </cell>
          <cell r="C1716" t="str">
            <v>FRONT BUMPER EXT RED METALIC(P19)</v>
          </cell>
          <cell r="D1716">
            <v>179.97</v>
          </cell>
          <cell r="E1716">
            <v>299.95</v>
          </cell>
          <cell r="F1716">
            <v>0</v>
          </cell>
          <cell r="G1716">
            <v>0</v>
          </cell>
        </row>
        <row r="1717">
          <cell r="A1717" t="str">
            <v>MZ576431EX</v>
          </cell>
          <cell r="B1717" t="str">
            <v>S</v>
          </cell>
          <cell r="C1717" t="str">
            <v>FRONT BUMPER EXT BLACK MICA(X08)</v>
          </cell>
          <cell r="D1717">
            <v>167.97</v>
          </cell>
          <cell r="E1717">
            <v>279.95</v>
          </cell>
          <cell r="F1717">
            <v>0</v>
          </cell>
          <cell r="G1717">
            <v>0</v>
          </cell>
        </row>
        <row r="1718">
          <cell r="A1718" t="str">
            <v>MZ576432EX</v>
          </cell>
          <cell r="B1718" t="str">
            <v>S</v>
          </cell>
          <cell r="C1718" t="str">
            <v>FRONT BUMPER EXT GRAY(A02)</v>
          </cell>
          <cell r="D1718">
            <v>167.97</v>
          </cell>
          <cell r="E1718">
            <v>279.95</v>
          </cell>
          <cell r="F1718">
            <v>0</v>
          </cell>
          <cell r="G1718">
            <v>0</v>
          </cell>
        </row>
        <row r="1719">
          <cell r="A1719" t="str">
            <v>MZ576433EX</v>
          </cell>
          <cell r="B1719" t="str">
            <v>S</v>
          </cell>
          <cell r="C1719" t="str">
            <v>FR BUMPER EXT COOL SILVER METALIC(A66)</v>
          </cell>
          <cell r="D1719">
            <v>167.97</v>
          </cell>
          <cell r="E1719">
            <v>279.95</v>
          </cell>
          <cell r="F1719">
            <v>0</v>
          </cell>
          <cell r="G1719">
            <v>0</v>
          </cell>
        </row>
        <row r="1720">
          <cell r="A1720" t="str">
            <v>MZ576434EX</v>
          </cell>
          <cell r="B1720" t="str">
            <v>S</v>
          </cell>
          <cell r="C1720" t="str">
            <v>FRONT CORNER EXTENSION - P/WHT W54</v>
          </cell>
          <cell r="D1720">
            <v>143.37</v>
          </cell>
          <cell r="E1720">
            <v>238.95</v>
          </cell>
          <cell r="F1720">
            <v>0</v>
          </cell>
          <cell r="G1720">
            <v>0</v>
          </cell>
        </row>
        <row r="1721">
          <cell r="A1721" t="str">
            <v>MZ576435EX</v>
          </cell>
          <cell r="B1721" t="str">
            <v>F</v>
          </cell>
          <cell r="C1721" t="str">
            <v>FRONT BUMPER EXT WHITE (W19)</v>
          </cell>
          <cell r="D1721">
            <v>167.97</v>
          </cell>
          <cell r="E1721">
            <v>279.95</v>
          </cell>
          <cell r="F1721">
            <v>0</v>
          </cell>
          <cell r="G1721">
            <v>0</v>
          </cell>
        </row>
        <row r="1722">
          <cell r="A1722" t="str">
            <v>MZ576438EX</v>
          </cell>
          <cell r="B1722" t="str">
            <v>Q</v>
          </cell>
          <cell r="C1722" t="str">
            <v>SIDE SILL EXT GREEN(F24)</v>
          </cell>
          <cell r="D1722">
            <v>283.77</v>
          </cell>
          <cell r="E1722">
            <v>472.95</v>
          </cell>
          <cell r="F1722">
            <v>2</v>
          </cell>
          <cell r="G1722">
            <v>0</v>
          </cell>
        </row>
        <row r="1723">
          <cell r="A1723" t="str">
            <v>MZ576439EX</v>
          </cell>
          <cell r="B1723" t="str">
            <v>Q</v>
          </cell>
          <cell r="C1723" t="str">
            <v>SIDE SILL EXT PURPLE (V08)</v>
          </cell>
          <cell r="D1723">
            <v>283.77</v>
          </cell>
          <cell r="E1723">
            <v>472.95</v>
          </cell>
          <cell r="F1723">
            <v>0</v>
          </cell>
          <cell r="G1723">
            <v>0</v>
          </cell>
        </row>
        <row r="1724">
          <cell r="A1724" t="str">
            <v>MZ576440EX</v>
          </cell>
          <cell r="B1724" t="str">
            <v>Q</v>
          </cell>
          <cell r="C1724" t="str">
            <v>SIDE SILL EXTENSION - T69</v>
          </cell>
          <cell r="D1724">
            <v>283.77</v>
          </cell>
          <cell r="E1724">
            <v>472.95</v>
          </cell>
          <cell r="F1724">
            <v>1</v>
          </cell>
          <cell r="G1724">
            <v>0</v>
          </cell>
        </row>
        <row r="1725">
          <cell r="A1725" t="str">
            <v>MZ576441EX</v>
          </cell>
          <cell r="B1725" t="str">
            <v>S</v>
          </cell>
          <cell r="C1725" t="str">
            <v>SIDE SILL EXT RED METALIC(P19)</v>
          </cell>
          <cell r="D1725">
            <v>283.77</v>
          </cell>
          <cell r="E1725">
            <v>472.95</v>
          </cell>
          <cell r="F1725">
            <v>0</v>
          </cell>
          <cell r="G1725">
            <v>0</v>
          </cell>
        </row>
        <row r="1726">
          <cell r="A1726" t="str">
            <v>MZ576442EX</v>
          </cell>
          <cell r="B1726" t="str">
            <v>S</v>
          </cell>
          <cell r="C1726" t="str">
            <v>SIDE SILL EXT BLACK MICA(X08)</v>
          </cell>
          <cell r="D1726">
            <v>283.77</v>
          </cell>
          <cell r="E1726">
            <v>472.95</v>
          </cell>
          <cell r="F1726">
            <v>0</v>
          </cell>
          <cell r="G1726">
            <v>0</v>
          </cell>
        </row>
        <row r="1727">
          <cell r="A1727" t="str">
            <v>MZ576443EX</v>
          </cell>
          <cell r="B1727" t="str">
            <v>S</v>
          </cell>
          <cell r="C1727" t="str">
            <v>SIDE SILL EXT GRAY(A02)</v>
          </cell>
          <cell r="D1727">
            <v>283.77</v>
          </cell>
          <cell r="E1727">
            <v>472.95</v>
          </cell>
          <cell r="F1727">
            <v>0</v>
          </cell>
          <cell r="G1727">
            <v>0</v>
          </cell>
        </row>
        <row r="1728">
          <cell r="A1728" t="str">
            <v>MZ576444EX</v>
          </cell>
          <cell r="B1728" t="str">
            <v>S</v>
          </cell>
          <cell r="C1728" t="str">
            <v>SIDE SILL EXTENSION - A66</v>
          </cell>
          <cell r="D1728">
            <v>283.77</v>
          </cell>
          <cell r="E1728">
            <v>472.95</v>
          </cell>
          <cell r="F1728">
            <v>0</v>
          </cell>
          <cell r="G1728">
            <v>0</v>
          </cell>
        </row>
        <row r="1729">
          <cell r="A1729" t="str">
            <v>MZ576445EX</v>
          </cell>
          <cell r="B1729" t="str">
            <v>S</v>
          </cell>
          <cell r="C1729" t="str">
            <v>SIDE SILL EXTENSION - W54</v>
          </cell>
          <cell r="D1729">
            <v>283.77</v>
          </cell>
          <cell r="E1729">
            <v>472.95</v>
          </cell>
          <cell r="F1729">
            <v>0</v>
          </cell>
          <cell r="G1729">
            <v>0</v>
          </cell>
        </row>
        <row r="1730">
          <cell r="A1730" t="str">
            <v>MZ576446EX</v>
          </cell>
          <cell r="B1730" t="str">
            <v>S</v>
          </cell>
          <cell r="C1730" t="str">
            <v>SIDE SILL EXT WHITE (W19)</v>
          </cell>
          <cell r="D1730">
            <v>283.77</v>
          </cell>
          <cell r="E1730">
            <v>472.95</v>
          </cell>
          <cell r="F1730">
            <v>0</v>
          </cell>
          <cell r="G1730">
            <v>0</v>
          </cell>
        </row>
        <row r="1731">
          <cell r="A1731" t="str">
            <v>MZ576460EX</v>
          </cell>
          <cell r="B1731" t="str">
            <v>Z</v>
          </cell>
          <cell r="C1731" t="str">
            <v>SIDE AIRDAM WHITE (S) W37 O/L 2014&lt;</v>
          </cell>
          <cell r="D1731">
            <v>553.16999999999996</v>
          </cell>
          <cell r="E1731">
            <v>921.95</v>
          </cell>
          <cell r="F1731">
            <v>0</v>
          </cell>
          <cell r="G1731">
            <v>0</v>
          </cell>
        </row>
        <row r="1732">
          <cell r="A1732" t="str">
            <v>MZ576461EX</v>
          </cell>
          <cell r="B1732" t="str">
            <v>Q</v>
          </cell>
          <cell r="C1732" t="str">
            <v>SIDE AIRDAM WHITE (P) W13 O/L 2014&lt;</v>
          </cell>
          <cell r="D1732">
            <v>594.57000000000005</v>
          </cell>
          <cell r="E1732">
            <v>990.95</v>
          </cell>
          <cell r="F1732">
            <v>1</v>
          </cell>
          <cell r="G1732">
            <v>0</v>
          </cell>
        </row>
        <row r="1733">
          <cell r="A1733" t="str">
            <v>MZ576462EX</v>
          </cell>
          <cell r="B1733" t="str">
            <v>S</v>
          </cell>
          <cell r="C1733" t="str">
            <v>SIDE AIRDAM COOL SILVER (M) A31 O/L 2014</v>
          </cell>
          <cell r="D1733">
            <v>594.57000000000005</v>
          </cell>
          <cell r="E1733">
            <v>990.95</v>
          </cell>
          <cell r="F1733">
            <v>0</v>
          </cell>
          <cell r="G1733">
            <v>0</v>
          </cell>
        </row>
        <row r="1734">
          <cell r="A1734" t="str">
            <v>MZ576463EX</v>
          </cell>
          <cell r="B1734" t="str">
            <v>Z</v>
          </cell>
          <cell r="C1734" t="str">
            <v>SIDE AIRDAM TECH SILVER U21 O/L 2014&lt;</v>
          </cell>
          <cell r="D1734">
            <v>553.16999999999996</v>
          </cell>
          <cell r="E1734">
            <v>921.95</v>
          </cell>
          <cell r="F1734">
            <v>0</v>
          </cell>
          <cell r="G1734">
            <v>0</v>
          </cell>
        </row>
        <row r="1735">
          <cell r="A1735" t="str">
            <v>MZ576464EX</v>
          </cell>
          <cell r="B1735" t="str">
            <v>S</v>
          </cell>
          <cell r="C1735" t="str">
            <v>SIDE AIRDAM TITAN GREY (M) U17 O/L 2014&lt;</v>
          </cell>
          <cell r="D1735">
            <v>594.57000000000005</v>
          </cell>
          <cell r="E1735">
            <v>990.95</v>
          </cell>
          <cell r="F1735">
            <v>0</v>
          </cell>
          <cell r="G1735">
            <v>0</v>
          </cell>
        </row>
        <row r="1736">
          <cell r="A1736" t="str">
            <v>MZ576465EX</v>
          </cell>
          <cell r="B1736" t="str">
            <v>S</v>
          </cell>
          <cell r="C1736" t="str">
            <v>SIDE AIRDAM BLACK (P) X42 O/L 2014&lt;</v>
          </cell>
          <cell r="D1736">
            <v>594.57000000000005</v>
          </cell>
          <cell r="E1736">
            <v>990.95</v>
          </cell>
          <cell r="F1736">
            <v>0</v>
          </cell>
          <cell r="G1736">
            <v>0</v>
          </cell>
        </row>
        <row r="1737">
          <cell r="A1737" t="str">
            <v>MZ576466EX</v>
          </cell>
          <cell r="B1737" t="str">
            <v>Z</v>
          </cell>
          <cell r="C1737" t="str">
            <v>SIDE AIRDAM COSMIC BLUE (M) D14 O/L 2014</v>
          </cell>
          <cell r="D1737">
            <v>594.57000000000005</v>
          </cell>
          <cell r="E1737">
            <v>990.95</v>
          </cell>
          <cell r="F1737">
            <v>0</v>
          </cell>
          <cell r="G1737">
            <v>0</v>
          </cell>
        </row>
        <row r="1738">
          <cell r="A1738" t="str">
            <v>MZ576467EX</v>
          </cell>
          <cell r="B1738" t="str">
            <v>S</v>
          </cell>
          <cell r="C1738" t="str">
            <v>SIDE AIRDAM COPPER MET (M) C07 O/L 2014&lt;</v>
          </cell>
          <cell r="D1738">
            <v>594.57000000000005</v>
          </cell>
          <cell r="E1738">
            <v>990.95</v>
          </cell>
          <cell r="F1738">
            <v>0</v>
          </cell>
          <cell r="G1738">
            <v>0</v>
          </cell>
        </row>
        <row r="1739">
          <cell r="A1739" t="str">
            <v>MZ576485EX</v>
          </cell>
          <cell r="B1739" t="str">
            <v>Q</v>
          </cell>
          <cell r="C1739" t="str">
            <v>SIDE PROTECTION FILM</v>
          </cell>
          <cell r="D1739">
            <v>89.96</v>
          </cell>
          <cell r="E1739">
            <v>149.94999999999999</v>
          </cell>
          <cell r="F1739">
            <v>16</v>
          </cell>
          <cell r="G1739">
            <v>0</v>
          </cell>
        </row>
        <row r="1740">
          <cell r="A1740" t="str">
            <v>MZ576486EX</v>
          </cell>
          <cell r="B1740" t="str">
            <v>C</v>
          </cell>
          <cell r="C1740" t="str">
            <v>TAILGATE GARNISH- CHROME</v>
          </cell>
          <cell r="D1740">
            <v>125.97</v>
          </cell>
          <cell r="E1740">
            <v>209.95</v>
          </cell>
          <cell r="F1740">
            <v>33</v>
          </cell>
          <cell r="G1740">
            <v>0</v>
          </cell>
        </row>
        <row r="1741">
          <cell r="A1741" t="str">
            <v>MZ576616EX</v>
          </cell>
          <cell r="B1741" t="str">
            <v>Q</v>
          </cell>
          <cell r="C1741" t="str">
            <v>FRONT AIR DAM- METALLIC GRAY</v>
          </cell>
          <cell r="D1741">
            <v>475.77</v>
          </cell>
          <cell r="E1741">
            <v>792.95</v>
          </cell>
          <cell r="F1741">
            <v>4</v>
          </cell>
          <cell r="G1741">
            <v>0</v>
          </cell>
        </row>
        <row r="1742">
          <cell r="A1742" t="str">
            <v>MZ576617EX</v>
          </cell>
          <cell r="B1742" t="str">
            <v>F</v>
          </cell>
          <cell r="C1742" t="str">
            <v>Front corner air dams - W37</v>
          </cell>
          <cell r="D1742">
            <v>0.01</v>
          </cell>
          <cell r="E1742">
            <v>0</v>
          </cell>
          <cell r="F1742">
            <v>0</v>
          </cell>
          <cell r="G1742">
            <v>0</v>
          </cell>
        </row>
        <row r="1743">
          <cell r="A1743" t="str">
            <v>MZ576618EX</v>
          </cell>
          <cell r="B1743" t="str">
            <v>D</v>
          </cell>
          <cell r="C1743" t="str">
            <v>BUMPER KIT,FRONT CORNER,W13</v>
          </cell>
          <cell r="D1743">
            <v>305.37</v>
          </cell>
          <cell r="E1743">
            <v>508.95</v>
          </cell>
          <cell r="F1743">
            <v>19</v>
          </cell>
          <cell r="G1743">
            <v>0</v>
          </cell>
        </row>
        <row r="1744">
          <cell r="A1744" t="str">
            <v>MZ576619EX</v>
          </cell>
          <cell r="B1744" t="str">
            <v>Z</v>
          </cell>
          <cell r="C1744" t="str">
            <v>BUMPER KIT,FRONT CORNER,A31</v>
          </cell>
          <cell r="D1744">
            <v>0.01</v>
          </cell>
          <cell r="E1744">
            <v>0</v>
          </cell>
          <cell r="F1744">
            <v>0</v>
          </cell>
          <cell r="G1744">
            <v>0</v>
          </cell>
        </row>
        <row r="1745">
          <cell r="A1745" t="str">
            <v>MZ576620EX</v>
          </cell>
          <cell r="B1745" t="str">
            <v>D</v>
          </cell>
          <cell r="C1745" t="str">
            <v>BUMPER KIT,FRONT CORNER,U17</v>
          </cell>
          <cell r="D1745">
            <v>305.37</v>
          </cell>
          <cell r="E1745">
            <v>508.95</v>
          </cell>
          <cell r="F1745">
            <v>2</v>
          </cell>
          <cell r="G1745">
            <v>0</v>
          </cell>
        </row>
        <row r="1746">
          <cell r="A1746" t="str">
            <v>MZ576621EX</v>
          </cell>
          <cell r="B1746" t="str">
            <v>S</v>
          </cell>
          <cell r="C1746" t="str">
            <v>FRONT CORNER AIR DAMS - X42</v>
          </cell>
          <cell r="D1746">
            <v>305.37</v>
          </cell>
          <cell r="E1746">
            <v>508.95</v>
          </cell>
          <cell r="F1746">
            <v>0</v>
          </cell>
          <cell r="G1746">
            <v>0</v>
          </cell>
        </row>
        <row r="1747">
          <cell r="A1747" t="str">
            <v>MZ576622EX</v>
          </cell>
          <cell r="B1747" t="str">
            <v>D</v>
          </cell>
          <cell r="C1747" t="str">
            <v>BUMPER KIT,FRONT CORNER,P26</v>
          </cell>
          <cell r="D1747">
            <v>305.37</v>
          </cell>
          <cell r="E1747">
            <v>508.95</v>
          </cell>
          <cell r="F1747">
            <v>4</v>
          </cell>
          <cell r="G1747">
            <v>0</v>
          </cell>
        </row>
        <row r="1748">
          <cell r="A1748" t="str">
            <v>MZ576623EX</v>
          </cell>
          <cell r="B1748" t="str">
            <v>D</v>
          </cell>
          <cell r="C1748" t="str">
            <v>BUMPER KIT,FRONT CORNER,C06</v>
          </cell>
          <cell r="D1748">
            <v>305.37</v>
          </cell>
          <cell r="E1748">
            <v>508.95</v>
          </cell>
          <cell r="F1748">
            <v>4</v>
          </cell>
          <cell r="G1748">
            <v>0</v>
          </cell>
        </row>
        <row r="1749">
          <cell r="A1749" t="str">
            <v>MZ576624EX</v>
          </cell>
          <cell r="B1749" t="str">
            <v>S</v>
          </cell>
          <cell r="C1749" t="str">
            <v>BUMPER KIT,FRONT CORNER,X40</v>
          </cell>
          <cell r="D1749">
            <v>305.37</v>
          </cell>
          <cell r="E1749">
            <v>508.95</v>
          </cell>
          <cell r="F1749">
            <v>5</v>
          </cell>
          <cell r="G1749">
            <v>0</v>
          </cell>
        </row>
        <row r="1750">
          <cell r="A1750" t="str">
            <v>MZ576626EX</v>
          </cell>
          <cell r="B1750" t="str">
            <v>Q</v>
          </cell>
          <cell r="C1750" t="str">
            <v>SIDE AIR DAM- METALLIC GRAY</v>
          </cell>
          <cell r="D1750">
            <v>413.37</v>
          </cell>
          <cell r="E1750">
            <v>688.95</v>
          </cell>
          <cell r="F1750">
            <v>8</v>
          </cell>
          <cell r="G1750">
            <v>0</v>
          </cell>
        </row>
        <row r="1751">
          <cell r="A1751" t="str">
            <v>MZ576627EX</v>
          </cell>
          <cell r="B1751" t="str">
            <v>Z</v>
          </cell>
          <cell r="C1751" t="str">
            <v>Side air dams - W37</v>
          </cell>
          <cell r="D1751">
            <v>0.01</v>
          </cell>
          <cell r="E1751">
            <v>0</v>
          </cell>
          <cell r="F1751">
            <v>0</v>
          </cell>
          <cell r="G1751">
            <v>0</v>
          </cell>
        </row>
        <row r="1752">
          <cell r="A1752" t="str">
            <v>MZ576628EX</v>
          </cell>
          <cell r="B1752" t="str">
            <v>D</v>
          </cell>
          <cell r="C1752" t="str">
            <v>SIDE AIR DAM KIT,W13</v>
          </cell>
          <cell r="D1752">
            <v>419.97</v>
          </cell>
          <cell r="E1752">
            <v>699.95</v>
          </cell>
          <cell r="F1752">
            <v>22</v>
          </cell>
          <cell r="G1752">
            <v>0</v>
          </cell>
        </row>
        <row r="1753">
          <cell r="A1753" t="str">
            <v>MZ576629EX</v>
          </cell>
          <cell r="B1753" t="str">
            <v>Z</v>
          </cell>
          <cell r="C1753" t="str">
            <v>SIDE AIR DAM KIT,A31</v>
          </cell>
          <cell r="D1753">
            <v>0.01</v>
          </cell>
          <cell r="E1753">
            <v>0</v>
          </cell>
          <cell r="F1753">
            <v>0</v>
          </cell>
          <cell r="G1753">
            <v>0</v>
          </cell>
        </row>
        <row r="1754">
          <cell r="A1754" t="str">
            <v>MZ576630EX</v>
          </cell>
          <cell r="B1754" t="str">
            <v>S</v>
          </cell>
          <cell r="C1754" t="str">
            <v>SIDE AIR DAM KIT,U17</v>
          </cell>
          <cell r="D1754">
            <v>419.97</v>
          </cell>
          <cell r="E1754">
            <v>699.95</v>
          </cell>
          <cell r="F1754">
            <v>0</v>
          </cell>
          <cell r="G1754">
            <v>0</v>
          </cell>
        </row>
        <row r="1755">
          <cell r="A1755" t="str">
            <v>MZ576631EX</v>
          </cell>
          <cell r="B1755" t="str">
            <v>S</v>
          </cell>
          <cell r="C1755" t="str">
            <v>SIDE AIR DAMS - X42</v>
          </cell>
          <cell r="D1755">
            <v>419.97</v>
          </cell>
          <cell r="E1755">
            <v>699.95</v>
          </cell>
          <cell r="F1755">
            <v>0</v>
          </cell>
          <cell r="G1755">
            <v>0</v>
          </cell>
        </row>
        <row r="1756">
          <cell r="A1756" t="str">
            <v>MZ576632EX</v>
          </cell>
          <cell r="B1756" t="str">
            <v>S</v>
          </cell>
          <cell r="C1756" t="str">
            <v>SIDE AIR DAM KIT,P26</v>
          </cell>
          <cell r="D1756">
            <v>419.97</v>
          </cell>
          <cell r="E1756">
            <v>699.95</v>
          </cell>
          <cell r="F1756">
            <v>0</v>
          </cell>
          <cell r="G1756">
            <v>0</v>
          </cell>
        </row>
        <row r="1757">
          <cell r="A1757" t="str">
            <v>MZ576633EX</v>
          </cell>
          <cell r="B1757" t="str">
            <v>S</v>
          </cell>
          <cell r="C1757" t="str">
            <v>SIDE AIR DAM KIT,C06</v>
          </cell>
          <cell r="D1757">
            <v>419.97</v>
          </cell>
          <cell r="E1757">
            <v>699.95</v>
          </cell>
          <cell r="F1757">
            <v>0</v>
          </cell>
          <cell r="G1757">
            <v>0</v>
          </cell>
        </row>
        <row r="1758">
          <cell r="A1758" t="str">
            <v>MZ576634EX</v>
          </cell>
          <cell r="B1758" t="str">
            <v>S</v>
          </cell>
          <cell r="C1758" t="str">
            <v>SIDE AIR DAM KIT,X40</v>
          </cell>
          <cell r="D1758">
            <v>419.97</v>
          </cell>
          <cell r="E1758">
            <v>699.95</v>
          </cell>
          <cell r="F1758">
            <v>5</v>
          </cell>
          <cell r="G1758">
            <v>0</v>
          </cell>
        </row>
        <row r="1759">
          <cell r="A1759" t="str">
            <v>MZ576636EX</v>
          </cell>
          <cell r="B1759" t="str">
            <v>Q</v>
          </cell>
          <cell r="C1759" t="str">
            <v>REAR AIR DAM- METALLIC GRAY</v>
          </cell>
          <cell r="D1759">
            <v>333.57</v>
          </cell>
          <cell r="E1759">
            <v>555.95000000000005</v>
          </cell>
          <cell r="F1759">
            <v>4</v>
          </cell>
          <cell r="G1759">
            <v>0</v>
          </cell>
        </row>
        <row r="1760">
          <cell r="A1760" t="str">
            <v>MZ576637EX</v>
          </cell>
          <cell r="B1760" t="str">
            <v>Z</v>
          </cell>
          <cell r="C1760" t="str">
            <v>Rear corner air dams - W37</v>
          </cell>
          <cell r="D1760">
            <v>0.01</v>
          </cell>
          <cell r="E1760">
            <v>0</v>
          </cell>
          <cell r="F1760">
            <v>0</v>
          </cell>
          <cell r="G1760">
            <v>0</v>
          </cell>
        </row>
        <row r="1761">
          <cell r="A1761" t="str">
            <v>MZ576638EX</v>
          </cell>
          <cell r="B1761" t="str">
            <v>D</v>
          </cell>
          <cell r="C1761" t="str">
            <v>REAR CORNER AIR DAMS,W13</v>
          </cell>
          <cell r="D1761">
            <v>337.17</v>
          </cell>
          <cell r="E1761">
            <v>561.95000000000005</v>
          </cell>
          <cell r="F1761">
            <v>21</v>
          </cell>
          <cell r="G1761">
            <v>0</v>
          </cell>
        </row>
        <row r="1762">
          <cell r="A1762" t="str">
            <v>MZ576639EX</v>
          </cell>
          <cell r="B1762" t="str">
            <v>Z</v>
          </cell>
          <cell r="C1762" t="str">
            <v>REAR CORNER AIR DAMS,A31</v>
          </cell>
          <cell r="D1762">
            <v>0.01</v>
          </cell>
          <cell r="E1762">
            <v>0</v>
          </cell>
          <cell r="F1762">
            <v>0</v>
          </cell>
          <cell r="G1762">
            <v>0</v>
          </cell>
        </row>
        <row r="1763">
          <cell r="A1763" t="str">
            <v>MZ576640EX</v>
          </cell>
          <cell r="B1763" t="str">
            <v>S</v>
          </cell>
          <cell r="C1763" t="str">
            <v>REAR CORNER AIR DAMS,U17</v>
          </cell>
          <cell r="D1763">
            <v>337.17</v>
          </cell>
          <cell r="E1763">
            <v>561.95000000000005</v>
          </cell>
          <cell r="F1763">
            <v>0</v>
          </cell>
          <cell r="G1763">
            <v>0</v>
          </cell>
        </row>
        <row r="1764">
          <cell r="A1764" t="str">
            <v>MZ576641EX</v>
          </cell>
          <cell r="B1764" t="str">
            <v>S</v>
          </cell>
          <cell r="C1764" t="str">
            <v>REAR CORNER AIR DAMS - X42</v>
          </cell>
          <cell r="D1764">
            <v>337.17</v>
          </cell>
          <cell r="E1764">
            <v>561.95000000000005</v>
          </cell>
          <cell r="F1764">
            <v>0</v>
          </cell>
          <cell r="G1764">
            <v>0</v>
          </cell>
        </row>
        <row r="1765">
          <cell r="A1765" t="str">
            <v>MZ576642EX</v>
          </cell>
          <cell r="B1765" t="str">
            <v>S</v>
          </cell>
          <cell r="C1765" t="str">
            <v>REAR CORNER AIR DAMS,P26</v>
          </cell>
          <cell r="D1765">
            <v>337.17</v>
          </cell>
          <cell r="E1765">
            <v>561.95000000000005</v>
          </cell>
          <cell r="F1765">
            <v>0</v>
          </cell>
          <cell r="G1765">
            <v>0</v>
          </cell>
        </row>
        <row r="1766">
          <cell r="A1766" t="str">
            <v>MZ576643EX</v>
          </cell>
          <cell r="B1766" t="str">
            <v>S</v>
          </cell>
          <cell r="C1766" t="str">
            <v>REAR CORNER AIR DAMS,C06</v>
          </cell>
          <cell r="D1766">
            <v>337.17</v>
          </cell>
          <cell r="E1766">
            <v>561.95000000000005</v>
          </cell>
          <cell r="F1766">
            <v>0</v>
          </cell>
          <cell r="G1766">
            <v>0</v>
          </cell>
        </row>
        <row r="1767">
          <cell r="A1767" t="str">
            <v>MZ576644EX</v>
          </cell>
          <cell r="B1767" t="str">
            <v>S</v>
          </cell>
          <cell r="C1767" t="str">
            <v>REAR CORNER AIR DAMS,X40</v>
          </cell>
          <cell r="D1767">
            <v>337.17</v>
          </cell>
          <cell r="E1767">
            <v>561.95000000000005</v>
          </cell>
          <cell r="F1767">
            <v>5</v>
          </cell>
          <cell r="G1767">
            <v>0</v>
          </cell>
        </row>
        <row r="1768">
          <cell r="A1768" t="str">
            <v>MZ576648EX</v>
          </cell>
          <cell r="B1768" t="str">
            <v>F</v>
          </cell>
          <cell r="C1768" t="str">
            <v>FRONT BUMPER EXTENSION (U17)</v>
          </cell>
          <cell r="D1768">
            <v>169.16</v>
          </cell>
          <cell r="E1768">
            <v>281.95</v>
          </cell>
          <cell r="F1768">
            <v>0</v>
          </cell>
          <cell r="G1768">
            <v>0</v>
          </cell>
        </row>
        <row r="1769">
          <cell r="A1769" t="str">
            <v>MZ576663EX</v>
          </cell>
          <cell r="B1769" t="str">
            <v>Q</v>
          </cell>
          <cell r="C1769" t="str">
            <v>MIRROR COVER CHROME</v>
          </cell>
          <cell r="D1769">
            <v>182.97</v>
          </cell>
          <cell r="E1769">
            <v>304.95</v>
          </cell>
          <cell r="F1769">
            <v>3</v>
          </cell>
          <cell r="G1769">
            <v>0</v>
          </cell>
        </row>
        <row r="1770">
          <cell r="A1770" t="str">
            <v>MZ576664EX</v>
          </cell>
          <cell r="B1770" t="str">
            <v>S</v>
          </cell>
          <cell r="C1770" t="str">
            <v>MIRROR COVER CHROME</v>
          </cell>
          <cell r="D1770">
            <v>182.97</v>
          </cell>
          <cell r="E1770">
            <v>304.95</v>
          </cell>
          <cell r="F1770">
            <v>0</v>
          </cell>
          <cell r="G1770">
            <v>0</v>
          </cell>
        </row>
        <row r="1771">
          <cell r="A1771" t="str">
            <v>MZ576666EX</v>
          </cell>
          <cell r="B1771" t="str">
            <v>F</v>
          </cell>
          <cell r="C1771" t="str">
            <v>SIDE SILL EXTENSION - P57</v>
          </cell>
          <cell r="D1771">
            <v>283.77</v>
          </cell>
          <cell r="E1771">
            <v>472.95</v>
          </cell>
          <cell r="F1771">
            <v>0</v>
          </cell>
          <cell r="G1771">
            <v>0</v>
          </cell>
        </row>
        <row r="1772">
          <cell r="A1772" t="str">
            <v>MZ576667EX</v>
          </cell>
          <cell r="B1772" t="str">
            <v>F</v>
          </cell>
          <cell r="C1772" t="str">
            <v>SIDE SILL EXTENSION - M09</v>
          </cell>
          <cell r="D1772">
            <v>283.77</v>
          </cell>
          <cell r="E1772">
            <v>472.95</v>
          </cell>
          <cell r="F1772">
            <v>0</v>
          </cell>
          <cell r="G1772">
            <v>0</v>
          </cell>
        </row>
        <row r="1773">
          <cell r="A1773" t="str">
            <v>MZ576672EX</v>
          </cell>
          <cell r="B1773" t="str">
            <v>F</v>
          </cell>
          <cell r="C1773" t="str">
            <v>Rear styling element</v>
          </cell>
          <cell r="D1773">
            <v>0.01</v>
          </cell>
          <cell r="E1773">
            <v>0</v>
          </cell>
          <cell r="F1773">
            <v>0</v>
          </cell>
          <cell r="G1773">
            <v>0</v>
          </cell>
        </row>
        <row r="1774">
          <cell r="A1774" t="str">
            <v>MZ576673EX</v>
          </cell>
          <cell r="B1774" t="str">
            <v>D</v>
          </cell>
          <cell r="C1774" t="str">
            <v>FRONT BUMPER GARNISH</v>
          </cell>
          <cell r="D1774">
            <v>296.37</v>
          </cell>
          <cell r="E1774">
            <v>493.95</v>
          </cell>
          <cell r="F1774">
            <v>7</v>
          </cell>
          <cell r="G1774">
            <v>0</v>
          </cell>
        </row>
        <row r="1775">
          <cell r="A1775" t="str">
            <v>MZ576674EX</v>
          </cell>
          <cell r="B1775" t="str">
            <v>D</v>
          </cell>
          <cell r="C1775" t="str">
            <v>FRONT CORNER EXTENSION</v>
          </cell>
          <cell r="D1775">
            <v>256.77</v>
          </cell>
          <cell r="E1775">
            <v>427.95</v>
          </cell>
          <cell r="F1775">
            <v>4</v>
          </cell>
          <cell r="G1775">
            <v>0</v>
          </cell>
        </row>
        <row r="1776">
          <cell r="A1776" t="str">
            <v>MZ576675EX</v>
          </cell>
          <cell r="B1776" t="str">
            <v>D</v>
          </cell>
          <cell r="C1776" t="str">
            <v>REAR BUMPER GARNISH</v>
          </cell>
          <cell r="D1776">
            <v>296.37</v>
          </cell>
          <cell r="E1776">
            <v>493.95</v>
          </cell>
          <cell r="F1776">
            <v>3</v>
          </cell>
          <cell r="G1776">
            <v>0</v>
          </cell>
        </row>
        <row r="1777">
          <cell r="A1777" t="str">
            <v>MZ576676EX</v>
          </cell>
          <cell r="B1777" t="str">
            <v>D</v>
          </cell>
          <cell r="C1777" t="str">
            <v>REAR CORNER EXTENSION</v>
          </cell>
          <cell r="D1777">
            <v>256.77</v>
          </cell>
          <cell r="E1777">
            <v>427.95</v>
          </cell>
          <cell r="F1777">
            <v>5</v>
          </cell>
          <cell r="G1777">
            <v>0</v>
          </cell>
        </row>
        <row r="1778">
          <cell r="A1778" t="str">
            <v>MZ576677EX</v>
          </cell>
          <cell r="B1778" t="str">
            <v>D</v>
          </cell>
          <cell r="C1778" t="str">
            <v>SIDE EXTENSION</v>
          </cell>
          <cell r="D1778">
            <v>414.57</v>
          </cell>
          <cell r="E1778">
            <v>690.95</v>
          </cell>
          <cell r="F1778">
            <v>1</v>
          </cell>
          <cell r="G1778">
            <v>0</v>
          </cell>
        </row>
        <row r="1779">
          <cell r="A1779" t="str">
            <v>MZ576678EX</v>
          </cell>
          <cell r="B1779" t="str">
            <v>D</v>
          </cell>
          <cell r="C1779" t="str">
            <v>TAIL GATE GARNISH</v>
          </cell>
          <cell r="D1779">
            <v>125.97</v>
          </cell>
          <cell r="E1779">
            <v>209.95</v>
          </cell>
          <cell r="F1779">
            <v>7</v>
          </cell>
          <cell r="G1779">
            <v>0</v>
          </cell>
        </row>
        <row r="1780">
          <cell r="A1780" t="str">
            <v>MZ576679EX</v>
          </cell>
          <cell r="B1780" t="str">
            <v>C</v>
          </cell>
          <cell r="C1780" t="str">
            <v>REAR BUMPER PROTECTOR</v>
          </cell>
          <cell r="D1780">
            <v>128.37</v>
          </cell>
          <cell r="E1780">
            <v>213.95</v>
          </cell>
          <cell r="F1780">
            <v>22</v>
          </cell>
          <cell r="G1780">
            <v>0</v>
          </cell>
        </row>
        <row r="1781">
          <cell r="A1781" t="str">
            <v>MZ576680EX</v>
          </cell>
          <cell r="B1781" t="str">
            <v>S</v>
          </cell>
          <cell r="C1781" t="str">
            <v>FRONT GRILL GARNISH</v>
          </cell>
          <cell r="D1781">
            <v>569.97</v>
          </cell>
          <cell r="E1781">
            <v>949.95</v>
          </cell>
          <cell r="F1781">
            <v>0</v>
          </cell>
          <cell r="G1781">
            <v>0</v>
          </cell>
        </row>
        <row r="1782">
          <cell r="A1782" t="str">
            <v>MZ576681EX</v>
          </cell>
          <cell r="B1782" t="str">
            <v>S</v>
          </cell>
          <cell r="C1782" t="str">
            <v>TAIL GATE SPOILER</v>
          </cell>
          <cell r="D1782">
            <v>455.37</v>
          </cell>
          <cell r="E1782">
            <v>758.95</v>
          </cell>
          <cell r="F1782">
            <v>0</v>
          </cell>
          <cell r="G1782">
            <v>0</v>
          </cell>
        </row>
        <row r="1783">
          <cell r="A1783" t="str">
            <v>MZ576682EX</v>
          </cell>
          <cell r="B1783" t="str">
            <v>S</v>
          </cell>
          <cell r="C1783" t="str">
            <v>TAIL GATE SPOILER</v>
          </cell>
          <cell r="D1783">
            <v>455.37</v>
          </cell>
          <cell r="E1783">
            <v>758.95</v>
          </cell>
          <cell r="F1783">
            <v>0</v>
          </cell>
          <cell r="G1783">
            <v>0</v>
          </cell>
        </row>
        <row r="1784">
          <cell r="A1784" t="str">
            <v>MZ576683EX</v>
          </cell>
          <cell r="B1784" t="str">
            <v>Z</v>
          </cell>
          <cell r="C1784" t="str">
            <v>TAIL GATE SPOILER(W37)</v>
          </cell>
          <cell r="D1784">
            <v>429.57</v>
          </cell>
          <cell r="E1784">
            <v>715.95</v>
          </cell>
          <cell r="F1784">
            <v>0</v>
          </cell>
          <cell r="G1784">
            <v>0</v>
          </cell>
        </row>
        <row r="1785">
          <cell r="A1785" t="str">
            <v>MZ576684EX</v>
          </cell>
          <cell r="B1785" t="str">
            <v>D</v>
          </cell>
          <cell r="C1785" t="str">
            <v>TAIL GATE SPOILER</v>
          </cell>
          <cell r="D1785">
            <v>455.37</v>
          </cell>
          <cell r="E1785">
            <v>758.95</v>
          </cell>
          <cell r="F1785">
            <v>13</v>
          </cell>
          <cell r="G1785">
            <v>0</v>
          </cell>
        </row>
        <row r="1786">
          <cell r="A1786" t="str">
            <v>MZ576685EX</v>
          </cell>
          <cell r="B1786" t="str">
            <v>S</v>
          </cell>
          <cell r="C1786" t="str">
            <v>TAIL GATE SPOILER</v>
          </cell>
          <cell r="D1786">
            <v>455.37</v>
          </cell>
          <cell r="E1786">
            <v>758.95</v>
          </cell>
          <cell r="F1786">
            <v>0</v>
          </cell>
          <cell r="G1786">
            <v>0</v>
          </cell>
        </row>
        <row r="1787">
          <cell r="A1787" t="str">
            <v>MZ576686EX</v>
          </cell>
          <cell r="B1787" t="str">
            <v>D</v>
          </cell>
          <cell r="C1787" t="str">
            <v>TAIL GATE SPOILER</v>
          </cell>
          <cell r="D1787">
            <v>455.37</v>
          </cell>
          <cell r="E1787">
            <v>758.95</v>
          </cell>
          <cell r="F1787">
            <v>15</v>
          </cell>
          <cell r="G1787">
            <v>0</v>
          </cell>
        </row>
        <row r="1788">
          <cell r="A1788" t="str">
            <v>MZ576687EX</v>
          </cell>
          <cell r="B1788" t="str">
            <v>S</v>
          </cell>
          <cell r="C1788" t="str">
            <v>TAIL GATE SPOILER</v>
          </cell>
          <cell r="D1788">
            <v>455.37</v>
          </cell>
          <cell r="E1788">
            <v>758.95</v>
          </cell>
          <cell r="F1788">
            <v>0</v>
          </cell>
          <cell r="G1788">
            <v>0</v>
          </cell>
        </row>
        <row r="1789">
          <cell r="A1789" t="str">
            <v>MZ576688EX</v>
          </cell>
          <cell r="B1789" t="str">
            <v>S</v>
          </cell>
          <cell r="C1789" t="str">
            <v>TAIL GATE SPOILER</v>
          </cell>
          <cell r="D1789">
            <v>455.37</v>
          </cell>
          <cell r="E1789">
            <v>758.95</v>
          </cell>
          <cell r="F1789">
            <v>0</v>
          </cell>
          <cell r="G1789">
            <v>0</v>
          </cell>
        </row>
        <row r="1790">
          <cell r="A1790" t="str">
            <v>MZ576689EX</v>
          </cell>
          <cell r="B1790" t="str">
            <v>D</v>
          </cell>
          <cell r="C1790" t="str">
            <v>MIRROR COVER -CHROME ECLIPSE</v>
          </cell>
          <cell r="D1790">
            <v>151.77000000000001</v>
          </cell>
          <cell r="E1790">
            <v>252.95</v>
          </cell>
          <cell r="F1790">
            <v>5</v>
          </cell>
          <cell r="G1790">
            <v>5</v>
          </cell>
        </row>
        <row r="1791">
          <cell r="A1791" t="str">
            <v>MZ576690EX</v>
          </cell>
          <cell r="B1791" t="str">
            <v>D</v>
          </cell>
          <cell r="C1791" t="str">
            <v>DOOR HANDLE COVER(CHROME)</v>
          </cell>
          <cell r="D1791">
            <v>141.57</v>
          </cell>
          <cell r="E1791">
            <v>235.95</v>
          </cell>
          <cell r="F1791">
            <v>4</v>
          </cell>
          <cell r="G1791">
            <v>10</v>
          </cell>
        </row>
        <row r="1792">
          <cell r="A1792" t="str">
            <v>MZ576692EX</v>
          </cell>
          <cell r="B1792" t="str">
            <v>Q</v>
          </cell>
          <cell r="C1792" t="str">
            <v>REAR BUMPER GARNISH</v>
          </cell>
          <cell r="D1792">
            <v>95.37</v>
          </cell>
          <cell r="E1792">
            <v>158.94999999999999</v>
          </cell>
          <cell r="F1792">
            <v>122</v>
          </cell>
          <cell r="G1792">
            <v>0</v>
          </cell>
        </row>
        <row r="1793">
          <cell r="A1793" t="str">
            <v>MZ576693EX</v>
          </cell>
          <cell r="B1793" t="str">
            <v>Q</v>
          </cell>
          <cell r="C1793" t="str">
            <v>REAR BUMPER GUARD</v>
          </cell>
          <cell r="D1793">
            <v>101.97</v>
          </cell>
          <cell r="E1793">
            <v>169.95</v>
          </cell>
          <cell r="F1793">
            <v>5</v>
          </cell>
          <cell r="G1793">
            <v>5</v>
          </cell>
        </row>
        <row r="1794">
          <cell r="A1794" t="str">
            <v>MZ576707EX</v>
          </cell>
          <cell r="B1794" t="str">
            <v>Z</v>
          </cell>
          <cell r="C1794" t="str">
            <v>ROOF RAIL</v>
          </cell>
          <cell r="D1794">
            <v>286.77</v>
          </cell>
          <cell r="E1794">
            <v>477.95</v>
          </cell>
          <cell r="F1794">
            <v>0</v>
          </cell>
          <cell r="G1794">
            <v>0</v>
          </cell>
        </row>
        <row r="1795">
          <cell r="A1795" t="str">
            <v>MZ576710EX</v>
          </cell>
          <cell r="B1795" t="str">
            <v>Z</v>
          </cell>
          <cell r="C1795" t="str">
            <v>TAIL GATE SPOILER (P26)</v>
          </cell>
          <cell r="D1795">
            <v>429.57</v>
          </cell>
          <cell r="E1795">
            <v>715.95</v>
          </cell>
          <cell r="F1795">
            <v>0</v>
          </cell>
          <cell r="G1795">
            <v>0</v>
          </cell>
        </row>
        <row r="1796">
          <cell r="A1796" t="str">
            <v>MZ576712EX</v>
          </cell>
          <cell r="B1796" t="str">
            <v>S</v>
          </cell>
          <cell r="C1796" t="str">
            <v>FRONT CORNER AIR DAMS - U25</v>
          </cell>
          <cell r="D1796">
            <v>305.37</v>
          </cell>
          <cell r="E1796">
            <v>508.95</v>
          </cell>
          <cell r="F1796">
            <v>0</v>
          </cell>
          <cell r="G1796">
            <v>0</v>
          </cell>
        </row>
        <row r="1797">
          <cell r="A1797" t="str">
            <v>MZ576713EX</v>
          </cell>
          <cell r="B1797" t="str">
            <v>S</v>
          </cell>
          <cell r="C1797" t="str">
            <v>SIDE AIR DAMS - U25</v>
          </cell>
          <cell r="D1797">
            <v>419.97</v>
          </cell>
          <cell r="E1797">
            <v>699.95</v>
          </cell>
          <cell r="F1797">
            <v>0</v>
          </cell>
          <cell r="G1797">
            <v>0</v>
          </cell>
        </row>
        <row r="1798">
          <cell r="A1798" t="str">
            <v>MZ576714EX</v>
          </cell>
          <cell r="B1798" t="str">
            <v>S</v>
          </cell>
          <cell r="C1798" t="str">
            <v>REAR CORNER AIR DAMS - U25</v>
          </cell>
          <cell r="D1798">
            <v>337.17</v>
          </cell>
          <cell r="E1798">
            <v>561.95000000000005</v>
          </cell>
          <cell r="F1798">
            <v>0</v>
          </cell>
          <cell r="G1798">
            <v>0</v>
          </cell>
        </row>
        <row r="1799">
          <cell r="A1799" t="str">
            <v>MZ576715EX</v>
          </cell>
          <cell r="B1799" t="str">
            <v>D</v>
          </cell>
          <cell r="C1799" t="str">
            <v>SPOILER,TAILGATE,U25</v>
          </cell>
          <cell r="D1799">
            <v>252.57</v>
          </cell>
          <cell r="E1799">
            <v>420.95</v>
          </cell>
          <cell r="F1799">
            <v>4</v>
          </cell>
          <cell r="G1799">
            <v>0</v>
          </cell>
        </row>
        <row r="1800">
          <cell r="A1800" t="str">
            <v>MZ576729EX</v>
          </cell>
          <cell r="B1800" t="str">
            <v>D</v>
          </cell>
          <cell r="C1800" t="str">
            <v>REAR CORNER AIR DAMS - P62</v>
          </cell>
          <cell r="D1800">
            <v>478.77</v>
          </cell>
          <cell r="E1800">
            <v>797.95</v>
          </cell>
          <cell r="F1800">
            <v>2</v>
          </cell>
          <cell r="G1800">
            <v>0</v>
          </cell>
        </row>
        <row r="1801">
          <cell r="A1801" t="str">
            <v>MZ576730EX</v>
          </cell>
          <cell r="B1801" t="str">
            <v>Z</v>
          </cell>
          <cell r="C1801" t="str">
            <v>FRONT AIR DAM DK MTLC GR (U19)</v>
          </cell>
          <cell r="D1801">
            <v>491.37</v>
          </cell>
          <cell r="E1801">
            <v>818.95</v>
          </cell>
          <cell r="F1801">
            <v>3</v>
          </cell>
          <cell r="G1801">
            <v>0</v>
          </cell>
        </row>
        <row r="1802">
          <cell r="A1802" t="str">
            <v>MZ576731EX</v>
          </cell>
          <cell r="B1802" t="str">
            <v>Z</v>
          </cell>
          <cell r="C1802" t="str">
            <v>FRONT AIR DAM WHITE SOLID (W37</v>
          </cell>
          <cell r="D1802">
            <v>463.17</v>
          </cell>
          <cell r="E1802">
            <v>771.95</v>
          </cell>
          <cell r="F1802">
            <v>0</v>
          </cell>
          <cell r="G1802">
            <v>0</v>
          </cell>
        </row>
        <row r="1803">
          <cell r="A1803" t="str">
            <v>MZ576732EX</v>
          </cell>
          <cell r="B1803" t="str">
            <v>D</v>
          </cell>
          <cell r="C1803" t="str">
            <v>FRONT AIR DAM WHITE PEARL (W13</v>
          </cell>
          <cell r="D1803">
            <v>491.37</v>
          </cell>
          <cell r="E1803">
            <v>818.95</v>
          </cell>
          <cell r="F1803">
            <v>2</v>
          </cell>
          <cell r="G1803">
            <v>0</v>
          </cell>
        </row>
        <row r="1804">
          <cell r="A1804" t="str">
            <v>MZ576733EX</v>
          </cell>
          <cell r="B1804" t="str">
            <v>F</v>
          </cell>
          <cell r="C1804" t="str">
            <v>FRONT AIR DAM TITANIUM GRAY ME</v>
          </cell>
          <cell r="D1804">
            <v>463.17</v>
          </cell>
          <cell r="E1804">
            <v>771.95</v>
          </cell>
          <cell r="F1804">
            <v>11</v>
          </cell>
          <cell r="G1804">
            <v>0</v>
          </cell>
        </row>
        <row r="1805">
          <cell r="A1805" t="str">
            <v>MZ576734EX</v>
          </cell>
          <cell r="B1805" t="str">
            <v>S</v>
          </cell>
          <cell r="C1805" t="str">
            <v>FRONT AIR DAM BLACK MICA (X42)</v>
          </cell>
          <cell r="D1805">
            <v>491.37</v>
          </cell>
          <cell r="E1805">
            <v>818.95</v>
          </cell>
          <cell r="F1805">
            <v>4</v>
          </cell>
          <cell r="G1805">
            <v>0</v>
          </cell>
        </row>
        <row r="1806">
          <cell r="A1806" t="str">
            <v>MZ576735EX</v>
          </cell>
          <cell r="B1806" t="str">
            <v>S</v>
          </cell>
          <cell r="C1806" t="str">
            <v>FRONT AIR DAM RED METALLIC (P2</v>
          </cell>
          <cell r="D1806">
            <v>463.17</v>
          </cell>
          <cell r="E1806">
            <v>771.95</v>
          </cell>
          <cell r="F1806">
            <v>5</v>
          </cell>
          <cell r="G1806">
            <v>0</v>
          </cell>
        </row>
        <row r="1807">
          <cell r="A1807" t="str">
            <v>MZ576736EX</v>
          </cell>
          <cell r="B1807" t="str">
            <v>S</v>
          </cell>
          <cell r="C1807" t="str">
            <v>FRONT AIR DAM QUARTZ BROWN MET</v>
          </cell>
          <cell r="D1807">
            <v>463.17</v>
          </cell>
          <cell r="E1807">
            <v>771.95</v>
          </cell>
          <cell r="F1807">
            <v>0</v>
          </cell>
          <cell r="G1807">
            <v>0</v>
          </cell>
        </row>
        <row r="1808">
          <cell r="A1808" t="str">
            <v>MZ576737EX</v>
          </cell>
          <cell r="B1808" t="str">
            <v>D</v>
          </cell>
          <cell r="C1808" t="str">
            <v>FRONT AIR DAM RUBY BLACK PEARL</v>
          </cell>
          <cell r="D1808">
            <v>491.37</v>
          </cell>
          <cell r="E1808">
            <v>818.95</v>
          </cell>
          <cell r="F1808">
            <v>4</v>
          </cell>
          <cell r="G1808">
            <v>0</v>
          </cell>
        </row>
        <row r="1809">
          <cell r="A1809" t="str">
            <v>MZ576738EX</v>
          </cell>
          <cell r="B1809" t="str">
            <v>F</v>
          </cell>
          <cell r="C1809" t="str">
            <v>FRONT AIR DAM STERLING SILVER</v>
          </cell>
          <cell r="D1809">
            <v>463.17</v>
          </cell>
          <cell r="E1809">
            <v>771.95</v>
          </cell>
          <cell r="F1809">
            <v>11</v>
          </cell>
          <cell r="G1809">
            <v>0</v>
          </cell>
        </row>
        <row r="1810">
          <cell r="A1810" t="str">
            <v>MZ576739EX</v>
          </cell>
          <cell r="B1810" t="str">
            <v>D</v>
          </cell>
          <cell r="C1810" t="str">
            <v>FRONT AIR DAMS - P62</v>
          </cell>
          <cell r="D1810">
            <v>491.37</v>
          </cell>
          <cell r="E1810">
            <v>818.95</v>
          </cell>
          <cell r="F1810">
            <v>2</v>
          </cell>
          <cell r="G1810">
            <v>0</v>
          </cell>
        </row>
        <row r="1811">
          <cell r="A1811" t="str">
            <v>MZ576740EX</v>
          </cell>
          <cell r="B1811" t="str">
            <v>S</v>
          </cell>
          <cell r="C1811" t="str">
            <v>SIDE AIR DAM  DK MTLC GR (U19)</v>
          </cell>
          <cell r="D1811">
            <v>613.16999999999996</v>
          </cell>
          <cell r="E1811">
            <v>1021.95</v>
          </cell>
          <cell r="F1811">
            <v>4</v>
          </cell>
          <cell r="G1811">
            <v>0</v>
          </cell>
        </row>
        <row r="1812">
          <cell r="A1812" t="str">
            <v>MZ576741EX</v>
          </cell>
          <cell r="B1812" t="str">
            <v>Z</v>
          </cell>
          <cell r="C1812" t="str">
            <v>SIDE AIR DAM WHITE SOLID (W37)</v>
          </cell>
          <cell r="D1812">
            <v>578.37</v>
          </cell>
          <cell r="E1812">
            <v>963.95</v>
          </cell>
          <cell r="F1812">
            <v>0</v>
          </cell>
          <cell r="G1812">
            <v>0</v>
          </cell>
        </row>
        <row r="1813">
          <cell r="A1813" t="str">
            <v>MZ576742EX</v>
          </cell>
          <cell r="B1813" t="str">
            <v>D</v>
          </cell>
          <cell r="C1813" t="str">
            <v>SIDE AIR DAM WHITE PEARL (W13)</v>
          </cell>
          <cell r="D1813">
            <v>613.16</v>
          </cell>
          <cell r="E1813">
            <v>1021.95</v>
          </cell>
          <cell r="F1813">
            <v>4</v>
          </cell>
          <cell r="G1813">
            <v>0</v>
          </cell>
        </row>
        <row r="1814">
          <cell r="A1814" t="str">
            <v>MZ576743EX</v>
          </cell>
          <cell r="B1814" t="str">
            <v>S</v>
          </cell>
          <cell r="C1814" t="str">
            <v>SIDE AIR DAM TITANIUM GRAY MET</v>
          </cell>
          <cell r="D1814">
            <v>578.37</v>
          </cell>
          <cell r="E1814">
            <v>963.95</v>
          </cell>
          <cell r="F1814">
            <v>0</v>
          </cell>
          <cell r="G1814">
            <v>0</v>
          </cell>
        </row>
        <row r="1815">
          <cell r="A1815" t="str">
            <v>MZ576744EX</v>
          </cell>
          <cell r="B1815" t="str">
            <v>S</v>
          </cell>
          <cell r="C1815" t="str">
            <v>SIDE AIR DAM BLACK MICA (X42)</v>
          </cell>
          <cell r="D1815">
            <v>613.16</v>
          </cell>
          <cell r="E1815">
            <v>1021.95</v>
          </cell>
          <cell r="F1815">
            <v>4</v>
          </cell>
          <cell r="G1815">
            <v>0</v>
          </cell>
        </row>
        <row r="1816">
          <cell r="A1816" t="str">
            <v>MZ576745EX</v>
          </cell>
          <cell r="B1816" t="str">
            <v>S</v>
          </cell>
          <cell r="C1816" t="str">
            <v>SIDE AIR DAM RED METALLIC (P26</v>
          </cell>
          <cell r="D1816">
            <v>578.37</v>
          </cell>
          <cell r="E1816">
            <v>963.95</v>
          </cell>
          <cell r="F1816">
            <v>5</v>
          </cell>
          <cell r="G1816">
            <v>0</v>
          </cell>
        </row>
        <row r="1817">
          <cell r="A1817" t="str">
            <v>MZ576746EX</v>
          </cell>
          <cell r="B1817" t="str">
            <v>S</v>
          </cell>
          <cell r="C1817" t="str">
            <v>SIDE AIR DAM QUARTZ BROWN META</v>
          </cell>
          <cell r="D1817">
            <v>578.37</v>
          </cell>
          <cell r="E1817">
            <v>963.95</v>
          </cell>
          <cell r="F1817">
            <v>0</v>
          </cell>
          <cell r="G1817">
            <v>0</v>
          </cell>
        </row>
        <row r="1818">
          <cell r="A1818" t="str">
            <v>MZ576747EX</v>
          </cell>
          <cell r="B1818" t="str">
            <v>S</v>
          </cell>
          <cell r="C1818" t="str">
            <v>SIDE AIR DAM RUBY BLACK PEARL</v>
          </cell>
          <cell r="D1818">
            <v>613.16</v>
          </cell>
          <cell r="E1818">
            <v>1021.95</v>
          </cell>
          <cell r="F1818">
            <v>4</v>
          </cell>
          <cell r="G1818">
            <v>0</v>
          </cell>
        </row>
        <row r="1819">
          <cell r="A1819" t="str">
            <v>MZ576748EX</v>
          </cell>
          <cell r="B1819" t="str">
            <v>S</v>
          </cell>
          <cell r="C1819" t="str">
            <v>SIDE AIR DAM STERLING SILVER M</v>
          </cell>
          <cell r="D1819">
            <v>578.37</v>
          </cell>
          <cell r="E1819">
            <v>963.95</v>
          </cell>
          <cell r="F1819">
            <v>0</v>
          </cell>
          <cell r="G1819">
            <v>0</v>
          </cell>
        </row>
        <row r="1820">
          <cell r="A1820" t="str">
            <v>MZ576749EX</v>
          </cell>
          <cell r="B1820" t="str">
            <v>D</v>
          </cell>
          <cell r="C1820" t="str">
            <v>SIDE AIR DAMS - P62</v>
          </cell>
          <cell r="D1820">
            <v>613.16</v>
          </cell>
          <cell r="E1820">
            <v>1021.95</v>
          </cell>
          <cell r="F1820">
            <v>2</v>
          </cell>
          <cell r="G1820">
            <v>0</v>
          </cell>
        </row>
        <row r="1821">
          <cell r="A1821" t="str">
            <v>MZ576750EX</v>
          </cell>
          <cell r="B1821" t="str">
            <v>S</v>
          </cell>
          <cell r="C1821" t="str">
            <v>REAR CORNER AIR DAM  DK MTLC G</v>
          </cell>
          <cell r="D1821">
            <v>478.77</v>
          </cell>
          <cell r="E1821">
            <v>797.95</v>
          </cell>
          <cell r="F1821">
            <v>4</v>
          </cell>
          <cell r="G1821">
            <v>0</v>
          </cell>
        </row>
        <row r="1822">
          <cell r="A1822" t="str">
            <v>MZ576751EX</v>
          </cell>
          <cell r="B1822" t="str">
            <v>Z</v>
          </cell>
          <cell r="C1822" t="str">
            <v>REAR CORNER AIR DAM WHITE SOLI</v>
          </cell>
          <cell r="D1822">
            <v>451.17</v>
          </cell>
          <cell r="E1822">
            <v>751.95</v>
          </cell>
          <cell r="F1822">
            <v>0</v>
          </cell>
          <cell r="G1822">
            <v>0</v>
          </cell>
        </row>
        <row r="1823">
          <cell r="A1823" t="str">
            <v>MZ576752EX</v>
          </cell>
          <cell r="B1823" t="str">
            <v>D</v>
          </cell>
          <cell r="C1823" t="str">
            <v>REAR CORNER AIR DAM WHITE PEAR</v>
          </cell>
          <cell r="D1823">
            <v>478.77</v>
          </cell>
          <cell r="E1823">
            <v>797.95</v>
          </cell>
          <cell r="F1823">
            <v>3</v>
          </cell>
          <cell r="G1823">
            <v>0</v>
          </cell>
        </row>
        <row r="1824">
          <cell r="A1824" t="str">
            <v>MZ576753EX</v>
          </cell>
          <cell r="B1824" t="str">
            <v>S</v>
          </cell>
          <cell r="C1824" t="str">
            <v>REAR CORNER AIR DAM TITANIUM G</v>
          </cell>
          <cell r="D1824">
            <v>451.17</v>
          </cell>
          <cell r="E1824">
            <v>751.95</v>
          </cell>
          <cell r="F1824">
            <v>0</v>
          </cell>
          <cell r="G1824">
            <v>0</v>
          </cell>
        </row>
        <row r="1825">
          <cell r="A1825" t="str">
            <v>MZ576754EX</v>
          </cell>
          <cell r="B1825" t="str">
            <v>S</v>
          </cell>
          <cell r="C1825" t="str">
            <v>REAR CORNER AIR DAM BLACK MICA</v>
          </cell>
          <cell r="D1825">
            <v>478.77</v>
          </cell>
          <cell r="E1825">
            <v>797.95</v>
          </cell>
          <cell r="F1825">
            <v>4</v>
          </cell>
          <cell r="G1825">
            <v>0</v>
          </cell>
        </row>
        <row r="1826">
          <cell r="A1826" t="str">
            <v>MZ576755EX</v>
          </cell>
          <cell r="B1826" t="str">
            <v>S</v>
          </cell>
          <cell r="C1826" t="str">
            <v>REAR CORNER AIR DAM RED METALL</v>
          </cell>
          <cell r="D1826">
            <v>451.17</v>
          </cell>
          <cell r="E1826">
            <v>751.95</v>
          </cell>
          <cell r="F1826">
            <v>5</v>
          </cell>
          <cell r="G1826">
            <v>0</v>
          </cell>
        </row>
        <row r="1827">
          <cell r="A1827" t="str">
            <v>MZ576756EX</v>
          </cell>
          <cell r="B1827" t="str">
            <v>S</v>
          </cell>
          <cell r="C1827" t="str">
            <v>REAR CORNER AIR DAM QUARTZ BRO</v>
          </cell>
          <cell r="D1827">
            <v>451.17</v>
          </cell>
          <cell r="E1827">
            <v>751.95</v>
          </cell>
          <cell r="F1827">
            <v>0</v>
          </cell>
          <cell r="G1827">
            <v>0</v>
          </cell>
        </row>
        <row r="1828">
          <cell r="A1828" t="str">
            <v>MZ576757EX</v>
          </cell>
          <cell r="B1828" t="str">
            <v>D</v>
          </cell>
          <cell r="C1828" t="str">
            <v>REAR CORNER AIR DAM RUBY BLACK</v>
          </cell>
          <cell r="D1828">
            <v>478.77</v>
          </cell>
          <cell r="E1828">
            <v>797.95</v>
          </cell>
          <cell r="F1828">
            <v>5</v>
          </cell>
          <cell r="G1828">
            <v>0</v>
          </cell>
        </row>
        <row r="1829">
          <cell r="A1829" t="str">
            <v>MZ576758EX</v>
          </cell>
          <cell r="B1829" t="str">
            <v>S</v>
          </cell>
          <cell r="C1829" t="str">
            <v>REAR CORNER AIR DAM STERLING S</v>
          </cell>
          <cell r="D1829">
            <v>451.17</v>
          </cell>
          <cell r="E1829">
            <v>751.95</v>
          </cell>
          <cell r="F1829">
            <v>0</v>
          </cell>
          <cell r="G1829">
            <v>0</v>
          </cell>
        </row>
        <row r="1830">
          <cell r="A1830" t="str">
            <v>MZ576761EX</v>
          </cell>
          <cell r="B1830" t="str">
            <v>D</v>
          </cell>
          <cell r="C1830" t="str">
            <v>DOOR HANDLE COVERS - PIANO BLA</v>
          </cell>
          <cell r="D1830">
            <v>186.57</v>
          </cell>
          <cell r="E1830">
            <v>310.95</v>
          </cell>
          <cell r="F1830">
            <v>9</v>
          </cell>
          <cell r="G1830">
            <v>0</v>
          </cell>
        </row>
        <row r="1831">
          <cell r="A1831" t="str">
            <v>MZ576764EX</v>
          </cell>
          <cell r="B1831" t="str">
            <v>O</v>
          </cell>
          <cell r="C1831" t="str">
            <v>FRONT STYLING ELEMENT SILVER</v>
          </cell>
          <cell r="D1831">
            <v>360.57</v>
          </cell>
          <cell r="E1831">
            <v>600.95000000000005</v>
          </cell>
          <cell r="F1831">
            <v>7</v>
          </cell>
          <cell r="G1831">
            <v>0</v>
          </cell>
        </row>
        <row r="1832">
          <cell r="A1832" t="str">
            <v>MZ576765EX</v>
          </cell>
          <cell r="B1832" t="str">
            <v>O</v>
          </cell>
          <cell r="C1832" t="str">
            <v>REAR STYLING ELEMENT SILVER</v>
          </cell>
          <cell r="D1832">
            <v>402.57</v>
          </cell>
          <cell r="E1832">
            <v>670.95</v>
          </cell>
          <cell r="F1832">
            <v>16</v>
          </cell>
          <cell r="G1832">
            <v>0</v>
          </cell>
        </row>
        <row r="1833">
          <cell r="A1833" t="str">
            <v>MZ576825EX</v>
          </cell>
          <cell r="B1833" t="str">
            <v>O</v>
          </cell>
          <cell r="C1833" t="str">
            <v>CARBON LOOK FR GRILLE</v>
          </cell>
          <cell r="D1833">
            <v>562.16</v>
          </cell>
          <cell r="E1833">
            <v>936.95</v>
          </cell>
          <cell r="F1833">
            <v>26</v>
          </cell>
          <cell r="G1833">
            <v>0</v>
          </cell>
        </row>
        <row r="1834">
          <cell r="A1834" t="str">
            <v>MZ576827EX</v>
          </cell>
          <cell r="B1834" t="str">
            <v>D</v>
          </cell>
          <cell r="C1834" t="str">
            <v>FRONT BUMPER GARNISH</v>
          </cell>
          <cell r="D1834">
            <v>134.97</v>
          </cell>
          <cell r="E1834">
            <v>224.95</v>
          </cell>
          <cell r="F1834">
            <v>10</v>
          </cell>
          <cell r="G1834">
            <v>0</v>
          </cell>
        </row>
        <row r="1835">
          <cell r="A1835" t="str">
            <v>MZ576828EX</v>
          </cell>
          <cell r="B1835" t="str">
            <v>S</v>
          </cell>
          <cell r="C1835" t="str">
            <v>REAR BUMPER GARNISH</v>
          </cell>
          <cell r="D1835">
            <v>167.37</v>
          </cell>
          <cell r="E1835">
            <v>278.95</v>
          </cell>
          <cell r="F1835">
            <v>0</v>
          </cell>
          <cell r="G1835">
            <v>0</v>
          </cell>
        </row>
        <row r="1836">
          <cell r="A1836" t="str">
            <v>MZ576829EX</v>
          </cell>
          <cell r="B1836" t="str">
            <v>C</v>
          </cell>
          <cell r="C1836" t="str">
            <v>DOOR HANDLE COVER BLACK</v>
          </cell>
          <cell r="D1836">
            <v>76.17</v>
          </cell>
          <cell r="E1836">
            <v>126.95</v>
          </cell>
          <cell r="F1836">
            <v>37</v>
          </cell>
          <cell r="G1836">
            <v>158</v>
          </cell>
        </row>
        <row r="1837">
          <cell r="A1837" t="str">
            <v>MZ576830EX</v>
          </cell>
          <cell r="B1837" t="str">
            <v>Z</v>
          </cell>
          <cell r="C1837" t="str">
            <v>MIRROR COVER-CARBON ECLIPSE</v>
          </cell>
          <cell r="D1837">
            <v>224.97</v>
          </cell>
          <cell r="E1837">
            <v>374.95</v>
          </cell>
          <cell r="F1837">
            <v>0</v>
          </cell>
          <cell r="G1837">
            <v>0</v>
          </cell>
        </row>
        <row r="1838">
          <cell r="A1838" t="str">
            <v>MZ576838EX</v>
          </cell>
          <cell r="B1838" t="str">
            <v>C</v>
          </cell>
          <cell r="C1838" t="str">
            <v>ENGINE HOOD EMBLEM SILVER ECLI</v>
          </cell>
          <cell r="D1838">
            <v>75.56</v>
          </cell>
          <cell r="E1838">
            <v>125.95</v>
          </cell>
          <cell r="F1838">
            <v>543</v>
          </cell>
          <cell r="G1838">
            <v>0</v>
          </cell>
        </row>
        <row r="1839">
          <cell r="A1839" t="str">
            <v>MZ576839EX</v>
          </cell>
          <cell r="B1839" t="str">
            <v>C</v>
          </cell>
          <cell r="C1839" t="str">
            <v>ENGINE HOOD EMBLEM BLACK ECLIP</v>
          </cell>
          <cell r="D1839">
            <v>75.56</v>
          </cell>
          <cell r="E1839">
            <v>125.95</v>
          </cell>
          <cell r="F1839">
            <v>82</v>
          </cell>
          <cell r="G1839">
            <v>0</v>
          </cell>
        </row>
        <row r="1840">
          <cell r="A1840" t="str">
            <v>MZ576845EX</v>
          </cell>
          <cell r="B1840" t="str">
            <v>B</v>
          </cell>
          <cell r="C1840" t="str">
            <v>SIDE PROTECTION GARNISH</v>
          </cell>
          <cell r="D1840">
            <v>160.16</v>
          </cell>
          <cell r="E1840">
            <v>266.95</v>
          </cell>
          <cell r="F1840">
            <v>70</v>
          </cell>
          <cell r="G1840">
            <v>40</v>
          </cell>
        </row>
        <row r="1841">
          <cell r="A1841" t="str">
            <v>MZ576847EX</v>
          </cell>
          <cell r="B1841" t="str">
            <v>D</v>
          </cell>
          <cell r="C1841" t="str">
            <v>FR UNDER  GARNISH SILVER</v>
          </cell>
          <cell r="D1841">
            <v>582.57000000000005</v>
          </cell>
          <cell r="E1841">
            <v>970.95</v>
          </cell>
          <cell r="F1841">
            <v>8</v>
          </cell>
          <cell r="G1841">
            <v>5</v>
          </cell>
        </row>
        <row r="1842">
          <cell r="A1842" t="str">
            <v>MZ576848EX</v>
          </cell>
          <cell r="B1842" t="str">
            <v>D</v>
          </cell>
          <cell r="C1842" t="str">
            <v>FR UNDER  GARNISH BLACK</v>
          </cell>
          <cell r="D1842">
            <v>618.57000000000005</v>
          </cell>
          <cell r="E1842">
            <v>1030.95</v>
          </cell>
          <cell r="F1842">
            <v>16</v>
          </cell>
          <cell r="G1842">
            <v>0</v>
          </cell>
        </row>
        <row r="1843">
          <cell r="A1843" t="str">
            <v>MZ576849EX</v>
          </cell>
          <cell r="B1843" t="str">
            <v>D</v>
          </cell>
          <cell r="C1843" t="str">
            <v>RR UNDER  GARNISH W/C EXT SILV</v>
          </cell>
          <cell r="D1843">
            <v>506.97</v>
          </cell>
          <cell r="E1843">
            <v>844.95</v>
          </cell>
          <cell r="F1843">
            <v>9</v>
          </cell>
          <cell r="G1843">
            <v>0</v>
          </cell>
        </row>
        <row r="1844">
          <cell r="A1844" t="str">
            <v>MZ576850EX</v>
          </cell>
          <cell r="B1844" t="str">
            <v>D</v>
          </cell>
          <cell r="C1844" t="str">
            <v>RR UNDER  GARNISH W/C EXT BLK</v>
          </cell>
          <cell r="D1844">
            <v>525.57000000000005</v>
          </cell>
          <cell r="E1844">
            <v>875.95</v>
          </cell>
          <cell r="F1844">
            <v>16</v>
          </cell>
          <cell r="G1844">
            <v>0</v>
          </cell>
        </row>
        <row r="1845">
          <cell r="A1845" t="str">
            <v>MZ576851EX</v>
          </cell>
          <cell r="B1845" t="str">
            <v>C</v>
          </cell>
          <cell r="C1845" t="str">
            <v>SIDE EXTENSION SILVER ECLIPSE</v>
          </cell>
          <cell r="D1845">
            <v>481.77</v>
          </cell>
          <cell r="E1845">
            <v>802.95</v>
          </cell>
          <cell r="F1845">
            <v>16</v>
          </cell>
          <cell r="G1845">
            <v>0</v>
          </cell>
        </row>
        <row r="1846">
          <cell r="A1846" t="str">
            <v>MZ576852EX</v>
          </cell>
          <cell r="B1846" t="str">
            <v>D</v>
          </cell>
          <cell r="C1846" t="str">
            <v>SIDE EXTENSION BLACK</v>
          </cell>
          <cell r="D1846">
            <v>457.17</v>
          </cell>
          <cell r="E1846">
            <v>761.95</v>
          </cell>
          <cell r="F1846">
            <v>3</v>
          </cell>
          <cell r="G1846">
            <v>4</v>
          </cell>
        </row>
        <row r="1847">
          <cell r="A1847" t="str">
            <v>MZ576853EX</v>
          </cell>
          <cell r="B1847" t="str">
            <v>C</v>
          </cell>
          <cell r="C1847" t="str">
            <v>RR BUMPER PROTECTOR</v>
          </cell>
          <cell r="D1847">
            <v>179.97</v>
          </cell>
          <cell r="E1847">
            <v>299.95</v>
          </cell>
          <cell r="F1847">
            <v>65</v>
          </cell>
          <cell r="G1847">
            <v>103</v>
          </cell>
        </row>
        <row r="1848">
          <cell r="A1848" t="str">
            <v>MZ576854EX</v>
          </cell>
          <cell r="B1848" t="str">
            <v>D</v>
          </cell>
          <cell r="C1848" t="str">
            <v>TAILGATE SPOILER P62</v>
          </cell>
          <cell r="D1848">
            <v>642.57000000000005</v>
          </cell>
          <cell r="E1848">
            <v>1070.95</v>
          </cell>
          <cell r="F1848">
            <v>3</v>
          </cell>
          <cell r="G1848">
            <v>2</v>
          </cell>
        </row>
        <row r="1849">
          <cell r="A1849" t="str">
            <v>MZ576855EX</v>
          </cell>
          <cell r="B1849" t="str">
            <v>X</v>
          </cell>
          <cell r="C1849" t="str">
            <v>TAILGATE SPOILER W37</v>
          </cell>
          <cell r="D1849">
            <v>605.97</v>
          </cell>
          <cell r="E1849">
            <v>1009.95</v>
          </cell>
          <cell r="F1849">
            <v>0</v>
          </cell>
          <cell r="G1849">
            <v>0</v>
          </cell>
        </row>
        <row r="1850">
          <cell r="A1850" t="str">
            <v>MZ576856EX</v>
          </cell>
          <cell r="B1850" t="str">
            <v>D</v>
          </cell>
          <cell r="C1850" t="str">
            <v>TAILGATE SPOILER X42</v>
          </cell>
          <cell r="D1850">
            <v>642.57000000000005</v>
          </cell>
          <cell r="E1850">
            <v>1070.95</v>
          </cell>
          <cell r="F1850">
            <v>5</v>
          </cell>
          <cell r="G1850">
            <v>0</v>
          </cell>
        </row>
        <row r="1851">
          <cell r="A1851" t="str">
            <v>MZ576857EX</v>
          </cell>
          <cell r="B1851" t="str">
            <v>S</v>
          </cell>
          <cell r="C1851" t="str">
            <v>TAILGATE SPOILER U25</v>
          </cell>
          <cell r="D1851">
            <v>642.57000000000005</v>
          </cell>
          <cell r="E1851">
            <v>1070.95</v>
          </cell>
          <cell r="F1851">
            <v>0</v>
          </cell>
          <cell r="G1851">
            <v>0</v>
          </cell>
        </row>
        <row r="1852">
          <cell r="A1852" t="str">
            <v>MZ576858EX</v>
          </cell>
          <cell r="B1852" t="str">
            <v>U</v>
          </cell>
          <cell r="C1852" t="str">
            <v>TAILGATE SPOILER U17</v>
          </cell>
          <cell r="D1852">
            <v>642.57000000000005</v>
          </cell>
          <cell r="E1852">
            <v>1070.95</v>
          </cell>
          <cell r="F1852">
            <v>0</v>
          </cell>
          <cell r="G1852">
            <v>0</v>
          </cell>
        </row>
        <row r="1853">
          <cell r="A1853" t="str">
            <v>MZ576859EX</v>
          </cell>
          <cell r="B1853" t="str">
            <v>D</v>
          </cell>
          <cell r="C1853" t="str">
            <v>TAILGATE SPOILER D06</v>
          </cell>
          <cell r="D1853">
            <v>642.57000000000005</v>
          </cell>
          <cell r="E1853">
            <v>1070.95</v>
          </cell>
          <cell r="F1853">
            <v>4</v>
          </cell>
          <cell r="G1853">
            <v>0</v>
          </cell>
        </row>
        <row r="1854">
          <cell r="A1854" t="str">
            <v>MZ576860EX</v>
          </cell>
          <cell r="B1854" t="str">
            <v>S</v>
          </cell>
          <cell r="C1854" t="str">
            <v>TAILGATE SPOILER C21</v>
          </cell>
          <cell r="D1854">
            <v>642.57000000000005</v>
          </cell>
          <cell r="E1854">
            <v>1070.95</v>
          </cell>
          <cell r="F1854">
            <v>0</v>
          </cell>
          <cell r="G1854">
            <v>0</v>
          </cell>
        </row>
        <row r="1855">
          <cell r="A1855" t="str">
            <v>MZ576861EX</v>
          </cell>
          <cell r="B1855" t="str">
            <v>D</v>
          </cell>
          <cell r="C1855" t="str">
            <v>TAILGATE SPOILER W85</v>
          </cell>
          <cell r="D1855">
            <v>642.57000000000005</v>
          </cell>
          <cell r="E1855">
            <v>1070.95</v>
          </cell>
          <cell r="F1855">
            <v>9</v>
          </cell>
          <cell r="G1855">
            <v>0</v>
          </cell>
        </row>
        <row r="1856">
          <cell r="A1856" t="str">
            <v>MZ576862EX</v>
          </cell>
          <cell r="B1856" t="str">
            <v>F</v>
          </cell>
          <cell r="C1856" t="str">
            <v>TAILGATE LIP SPOILER P62</v>
          </cell>
          <cell r="D1856">
            <v>149.37</v>
          </cell>
          <cell r="E1856">
            <v>248.95</v>
          </cell>
          <cell r="F1856">
            <v>1</v>
          </cell>
          <cell r="G1856">
            <v>0</v>
          </cell>
        </row>
        <row r="1857">
          <cell r="A1857" t="str">
            <v>MZ576863EX</v>
          </cell>
          <cell r="B1857" t="str">
            <v>X</v>
          </cell>
          <cell r="C1857" t="str">
            <v>TAILGATE LIP SPOILER W37</v>
          </cell>
          <cell r="D1857">
            <v>139.16999999999999</v>
          </cell>
          <cell r="E1857">
            <v>231.95</v>
          </cell>
          <cell r="F1857">
            <v>0</v>
          </cell>
          <cell r="G1857">
            <v>0</v>
          </cell>
        </row>
        <row r="1858">
          <cell r="A1858" t="str">
            <v>MZ576864EX</v>
          </cell>
          <cell r="B1858" t="str">
            <v>D</v>
          </cell>
          <cell r="C1858" t="str">
            <v>TAILGATE LIP SPOILER X42</v>
          </cell>
          <cell r="D1858">
            <v>149.37</v>
          </cell>
          <cell r="E1858">
            <v>248.95</v>
          </cell>
          <cell r="F1858">
            <v>7</v>
          </cell>
          <cell r="G1858">
            <v>0</v>
          </cell>
        </row>
        <row r="1859">
          <cell r="A1859" t="str">
            <v>MZ576865EX</v>
          </cell>
          <cell r="B1859" t="str">
            <v>D</v>
          </cell>
          <cell r="C1859" t="str">
            <v>TAILGATE LIP SPOILER U25</v>
          </cell>
          <cell r="D1859">
            <v>149.37</v>
          </cell>
          <cell r="E1859">
            <v>248.95</v>
          </cell>
          <cell r="F1859">
            <v>3</v>
          </cell>
          <cell r="G1859">
            <v>0</v>
          </cell>
        </row>
        <row r="1860">
          <cell r="A1860" t="str">
            <v>MZ576866EX</v>
          </cell>
          <cell r="B1860" t="str">
            <v>D</v>
          </cell>
          <cell r="C1860" t="str">
            <v>TAILGATE LIP SPOILER U17</v>
          </cell>
          <cell r="D1860">
            <v>149.37</v>
          </cell>
          <cell r="E1860">
            <v>248.95</v>
          </cell>
          <cell r="F1860">
            <v>4</v>
          </cell>
          <cell r="G1860">
            <v>0</v>
          </cell>
        </row>
        <row r="1861">
          <cell r="A1861" t="str">
            <v>MZ576867EX</v>
          </cell>
          <cell r="B1861" t="str">
            <v>F</v>
          </cell>
          <cell r="C1861" t="str">
            <v>TAILGATE LIP SPOILER D06</v>
          </cell>
          <cell r="D1861">
            <v>149.37</v>
          </cell>
          <cell r="E1861">
            <v>248.95</v>
          </cell>
          <cell r="F1861">
            <v>2</v>
          </cell>
          <cell r="G1861">
            <v>0</v>
          </cell>
        </row>
        <row r="1862">
          <cell r="A1862" t="str">
            <v>MZ576868EX</v>
          </cell>
          <cell r="B1862" t="str">
            <v>S</v>
          </cell>
          <cell r="C1862" t="str">
            <v>TAILGATE LIP SPOILER C21</v>
          </cell>
          <cell r="D1862">
            <v>149.37</v>
          </cell>
          <cell r="E1862">
            <v>248.95</v>
          </cell>
          <cell r="F1862">
            <v>0</v>
          </cell>
          <cell r="G1862">
            <v>0</v>
          </cell>
        </row>
        <row r="1863">
          <cell r="A1863" t="str">
            <v>MZ576869EX</v>
          </cell>
          <cell r="B1863" t="str">
            <v>D</v>
          </cell>
          <cell r="C1863" t="str">
            <v>TAILGATE LIP SPOILER W85</v>
          </cell>
          <cell r="D1863">
            <v>149.37</v>
          </cell>
          <cell r="E1863">
            <v>248.95</v>
          </cell>
          <cell r="F1863">
            <v>7</v>
          </cell>
          <cell r="G1863">
            <v>0</v>
          </cell>
        </row>
        <row r="1864">
          <cell r="A1864" t="str">
            <v>MZ576871EX</v>
          </cell>
          <cell r="B1864" t="str">
            <v>F</v>
          </cell>
          <cell r="C1864" t="str">
            <v>BODY COVER</v>
          </cell>
          <cell r="D1864">
            <v>436.17</v>
          </cell>
          <cell r="E1864">
            <v>726.95</v>
          </cell>
          <cell r="F1864">
            <v>0</v>
          </cell>
          <cell r="G1864">
            <v>0</v>
          </cell>
        </row>
        <row r="1865">
          <cell r="A1865" t="str">
            <v>MZ576872EX</v>
          </cell>
          <cell r="B1865" t="str">
            <v>B</v>
          </cell>
          <cell r="C1865" t="str">
            <v>ENGINE HOOD EMBLEM SILVER ECLI</v>
          </cell>
          <cell r="D1865">
            <v>85.77</v>
          </cell>
          <cell r="E1865">
            <v>142.94999999999999</v>
          </cell>
          <cell r="F1865">
            <v>181</v>
          </cell>
          <cell r="G1865">
            <v>110</v>
          </cell>
        </row>
        <row r="1866">
          <cell r="A1866" t="str">
            <v>MZ576873EX</v>
          </cell>
          <cell r="B1866" t="str">
            <v>B</v>
          </cell>
          <cell r="C1866" t="str">
            <v>ENGINE HOOD EMBLEM BLACK ECLIP</v>
          </cell>
          <cell r="D1866">
            <v>85.77</v>
          </cell>
          <cell r="E1866">
            <v>142.94999999999999</v>
          </cell>
          <cell r="F1866">
            <v>369</v>
          </cell>
          <cell r="G1866">
            <v>150</v>
          </cell>
        </row>
        <row r="1867">
          <cell r="A1867" t="str">
            <v>MZ576881EX</v>
          </cell>
          <cell r="B1867" t="str">
            <v>C</v>
          </cell>
          <cell r="C1867" t="str">
            <v>SIDE BAR SET (DECORATIVE)</v>
          </cell>
          <cell r="D1867">
            <v>578.37</v>
          </cell>
          <cell r="E1867">
            <v>963.95</v>
          </cell>
          <cell r="F1867">
            <v>89</v>
          </cell>
          <cell r="G1867">
            <v>0</v>
          </cell>
        </row>
        <row r="1868">
          <cell r="A1868" t="str">
            <v>MZ576890EX</v>
          </cell>
          <cell r="B1868" t="str">
            <v>D</v>
          </cell>
          <cell r="C1868" t="str">
            <v>TAILGATE SPOILER W85</v>
          </cell>
          <cell r="D1868">
            <v>275.97000000000003</v>
          </cell>
          <cell r="E1868">
            <v>459.95</v>
          </cell>
          <cell r="F1868">
            <v>10</v>
          </cell>
          <cell r="G1868">
            <v>0</v>
          </cell>
        </row>
        <row r="1869">
          <cell r="A1869" t="str">
            <v>MZ576891EX</v>
          </cell>
          <cell r="B1869" t="str">
            <v>D</v>
          </cell>
          <cell r="C1869" t="str">
            <v>TAILGATE SPOILER U25</v>
          </cell>
          <cell r="D1869">
            <v>275.97000000000003</v>
          </cell>
          <cell r="E1869">
            <v>459.95</v>
          </cell>
          <cell r="F1869">
            <v>7</v>
          </cell>
          <cell r="G1869">
            <v>0</v>
          </cell>
        </row>
        <row r="1870">
          <cell r="A1870" t="str">
            <v>MZ576892EX</v>
          </cell>
          <cell r="B1870" t="str">
            <v>D</v>
          </cell>
          <cell r="C1870" t="str">
            <v>TAILGATE SPOILER U17</v>
          </cell>
          <cell r="D1870">
            <v>275.97000000000003</v>
          </cell>
          <cell r="E1870">
            <v>459.95</v>
          </cell>
          <cell r="F1870">
            <v>6</v>
          </cell>
          <cell r="G1870">
            <v>0</v>
          </cell>
        </row>
        <row r="1871">
          <cell r="A1871" t="str">
            <v>MZ576893EX</v>
          </cell>
          <cell r="B1871" t="str">
            <v>D</v>
          </cell>
          <cell r="C1871" t="str">
            <v>TAILGATE SPOILER X42</v>
          </cell>
          <cell r="D1871">
            <v>275.97000000000003</v>
          </cell>
          <cell r="E1871">
            <v>459.95</v>
          </cell>
          <cell r="F1871">
            <v>7</v>
          </cell>
          <cell r="G1871">
            <v>0</v>
          </cell>
        </row>
        <row r="1872">
          <cell r="A1872" t="str">
            <v>MZ576894EX</v>
          </cell>
          <cell r="B1872" t="str">
            <v>D</v>
          </cell>
          <cell r="C1872" t="str">
            <v>TAILGATE SPOILER X47</v>
          </cell>
          <cell r="D1872">
            <v>275.97000000000003</v>
          </cell>
          <cell r="E1872">
            <v>459.95</v>
          </cell>
          <cell r="F1872">
            <v>9</v>
          </cell>
          <cell r="G1872">
            <v>0</v>
          </cell>
        </row>
        <row r="1873">
          <cell r="A1873" t="str">
            <v>MZ576895EX</v>
          </cell>
          <cell r="B1873" t="str">
            <v>D</v>
          </cell>
          <cell r="C1873" t="str">
            <v>TAILGATE SPOILER P62</v>
          </cell>
          <cell r="D1873">
            <v>275.97000000000003</v>
          </cell>
          <cell r="E1873">
            <v>459.95</v>
          </cell>
          <cell r="F1873">
            <v>8</v>
          </cell>
          <cell r="G1873">
            <v>0</v>
          </cell>
        </row>
        <row r="1874">
          <cell r="A1874" t="str">
            <v>MZ576896EX</v>
          </cell>
          <cell r="B1874" t="str">
            <v>D</v>
          </cell>
          <cell r="C1874" t="str">
            <v>TAILGATE SPOILER C17</v>
          </cell>
          <cell r="D1874">
            <v>275.97000000000003</v>
          </cell>
          <cell r="E1874">
            <v>459.95</v>
          </cell>
          <cell r="F1874">
            <v>4</v>
          </cell>
          <cell r="G1874">
            <v>0</v>
          </cell>
        </row>
        <row r="1875">
          <cell r="A1875" t="str">
            <v>MZ576897EX</v>
          </cell>
          <cell r="B1875" t="str">
            <v>F</v>
          </cell>
          <cell r="C1875" t="str">
            <v>TAILGATE SPOILER D14</v>
          </cell>
          <cell r="D1875">
            <v>275.97000000000003</v>
          </cell>
          <cell r="E1875">
            <v>459.95</v>
          </cell>
          <cell r="F1875">
            <v>4</v>
          </cell>
          <cell r="G1875">
            <v>0</v>
          </cell>
        </row>
        <row r="1876">
          <cell r="A1876" t="str">
            <v>MZ576899EX</v>
          </cell>
          <cell r="B1876" t="str">
            <v>C</v>
          </cell>
          <cell r="C1876" t="str">
            <v>FRONT CORNER GARNISH W85</v>
          </cell>
          <cell r="D1876">
            <v>218.13</v>
          </cell>
          <cell r="E1876">
            <v>349.95</v>
          </cell>
          <cell r="F1876">
            <v>14</v>
          </cell>
          <cell r="G1876">
            <v>0</v>
          </cell>
        </row>
        <row r="1877">
          <cell r="A1877" t="str">
            <v>MZ576900EX</v>
          </cell>
          <cell r="B1877" t="str">
            <v>D</v>
          </cell>
          <cell r="C1877" t="str">
            <v>FRONT CORNER GARNISH U25</v>
          </cell>
          <cell r="D1877">
            <v>218.13</v>
          </cell>
          <cell r="E1877">
            <v>349.95</v>
          </cell>
          <cell r="F1877">
            <v>7</v>
          </cell>
          <cell r="G1877">
            <v>0</v>
          </cell>
        </row>
        <row r="1878">
          <cell r="A1878" t="str">
            <v>MZ576901EX</v>
          </cell>
          <cell r="B1878" t="str">
            <v>D</v>
          </cell>
          <cell r="C1878" t="str">
            <v>FRONT CORNER GARNISH UI17</v>
          </cell>
          <cell r="D1878">
            <v>218.13</v>
          </cell>
          <cell r="E1878">
            <v>349.95</v>
          </cell>
          <cell r="F1878">
            <v>6</v>
          </cell>
          <cell r="G1878">
            <v>0</v>
          </cell>
        </row>
        <row r="1879">
          <cell r="A1879" t="str">
            <v>MZ576902EX</v>
          </cell>
          <cell r="B1879" t="str">
            <v>D</v>
          </cell>
          <cell r="C1879" t="str">
            <v>FRONT CORNER GARNISH X42</v>
          </cell>
          <cell r="D1879">
            <v>218.13</v>
          </cell>
          <cell r="E1879">
            <v>349.95</v>
          </cell>
          <cell r="F1879">
            <v>4</v>
          </cell>
          <cell r="G1879">
            <v>0</v>
          </cell>
        </row>
        <row r="1880">
          <cell r="A1880" t="str">
            <v>MZ576903EX</v>
          </cell>
          <cell r="B1880" t="str">
            <v>D</v>
          </cell>
          <cell r="C1880" t="str">
            <v>FRONT CORNER GARNISH X47</v>
          </cell>
          <cell r="D1880">
            <v>218.13</v>
          </cell>
          <cell r="E1880">
            <v>349.95</v>
          </cell>
          <cell r="F1880">
            <v>6</v>
          </cell>
          <cell r="G1880">
            <v>0</v>
          </cell>
        </row>
        <row r="1881">
          <cell r="A1881" t="str">
            <v>MZ576904EX</v>
          </cell>
          <cell r="B1881" t="str">
            <v>D</v>
          </cell>
          <cell r="C1881" t="str">
            <v>FRONT CORNER GARNISH P62</v>
          </cell>
          <cell r="D1881">
            <v>218.13</v>
          </cell>
          <cell r="E1881">
            <v>349.95</v>
          </cell>
          <cell r="F1881">
            <v>6</v>
          </cell>
          <cell r="G1881">
            <v>0</v>
          </cell>
        </row>
        <row r="1882">
          <cell r="A1882" t="str">
            <v>MZ576905EX</v>
          </cell>
          <cell r="B1882" t="str">
            <v>D</v>
          </cell>
          <cell r="C1882" t="str">
            <v>FRONT CORNER GARNISH C17</v>
          </cell>
          <cell r="D1882">
            <v>218.13</v>
          </cell>
          <cell r="E1882">
            <v>349.95</v>
          </cell>
          <cell r="F1882">
            <v>9</v>
          </cell>
          <cell r="G1882">
            <v>0</v>
          </cell>
        </row>
        <row r="1883">
          <cell r="A1883" t="str">
            <v>MZ576906EX</v>
          </cell>
          <cell r="B1883" t="str">
            <v>D</v>
          </cell>
          <cell r="C1883" t="str">
            <v>FRONT CORNER GARNISH D14</v>
          </cell>
          <cell r="D1883">
            <v>218.13</v>
          </cell>
          <cell r="E1883">
            <v>349.95</v>
          </cell>
          <cell r="F1883">
            <v>5</v>
          </cell>
          <cell r="G1883">
            <v>0</v>
          </cell>
        </row>
        <row r="1884">
          <cell r="A1884" t="str">
            <v>MZ576908EX</v>
          </cell>
          <cell r="B1884" t="str">
            <v>C</v>
          </cell>
          <cell r="C1884" t="str">
            <v>REAR CORNER GARNISH W85</v>
          </cell>
          <cell r="D1884">
            <v>212.67</v>
          </cell>
          <cell r="E1884">
            <v>349.95</v>
          </cell>
          <cell r="F1884">
            <v>22</v>
          </cell>
          <cell r="G1884">
            <v>0</v>
          </cell>
        </row>
        <row r="1885">
          <cell r="A1885" t="str">
            <v>MZ576909EX</v>
          </cell>
          <cell r="B1885" t="str">
            <v>D</v>
          </cell>
          <cell r="C1885" t="str">
            <v>REAR CORNER GARNISH U25</v>
          </cell>
          <cell r="D1885">
            <v>212.67</v>
          </cell>
          <cell r="E1885">
            <v>349.95</v>
          </cell>
          <cell r="F1885">
            <v>11</v>
          </cell>
          <cell r="G1885">
            <v>0</v>
          </cell>
        </row>
        <row r="1886">
          <cell r="A1886" t="str">
            <v>MZ576910EX</v>
          </cell>
          <cell r="B1886" t="str">
            <v>D</v>
          </cell>
          <cell r="C1886" t="str">
            <v>REAR CORNER GARNISH U17</v>
          </cell>
          <cell r="D1886">
            <v>212.67</v>
          </cell>
          <cell r="E1886">
            <v>349.95</v>
          </cell>
          <cell r="F1886">
            <v>8</v>
          </cell>
          <cell r="G1886">
            <v>0</v>
          </cell>
        </row>
        <row r="1887">
          <cell r="A1887" t="str">
            <v>MZ576911EX</v>
          </cell>
          <cell r="B1887" t="str">
            <v>D</v>
          </cell>
          <cell r="C1887" t="str">
            <v>REAR CORNER GARNISH X42</v>
          </cell>
          <cell r="D1887">
            <v>212.67</v>
          </cell>
          <cell r="E1887">
            <v>349.95</v>
          </cell>
          <cell r="F1887">
            <v>3</v>
          </cell>
          <cell r="G1887">
            <v>0</v>
          </cell>
        </row>
        <row r="1888">
          <cell r="A1888" t="str">
            <v>MZ576912EX</v>
          </cell>
          <cell r="B1888" t="str">
            <v>D</v>
          </cell>
          <cell r="C1888" t="str">
            <v>REAR CORNER GARNISH X47</v>
          </cell>
          <cell r="D1888">
            <v>212.67</v>
          </cell>
          <cell r="E1888">
            <v>349.95</v>
          </cell>
          <cell r="F1888">
            <v>9</v>
          </cell>
          <cell r="G1888">
            <v>0</v>
          </cell>
        </row>
        <row r="1889">
          <cell r="A1889" t="str">
            <v>MZ576913EX</v>
          </cell>
          <cell r="B1889" t="str">
            <v>D</v>
          </cell>
          <cell r="C1889" t="str">
            <v>REAR CORNER GARNISH P62</v>
          </cell>
          <cell r="D1889">
            <v>212.67</v>
          </cell>
          <cell r="E1889">
            <v>349.95</v>
          </cell>
          <cell r="F1889">
            <v>4</v>
          </cell>
          <cell r="G1889">
            <v>0</v>
          </cell>
        </row>
        <row r="1890">
          <cell r="A1890" t="str">
            <v>MZ576914EX</v>
          </cell>
          <cell r="B1890" t="str">
            <v>D</v>
          </cell>
          <cell r="C1890" t="str">
            <v>REAR CORNER GARNISH C17</v>
          </cell>
          <cell r="D1890">
            <v>212.67</v>
          </cell>
          <cell r="E1890">
            <v>349.95</v>
          </cell>
          <cell r="F1890">
            <v>10</v>
          </cell>
          <cell r="G1890">
            <v>0</v>
          </cell>
        </row>
        <row r="1891">
          <cell r="A1891" t="str">
            <v>MZ576915EX</v>
          </cell>
          <cell r="B1891" t="str">
            <v>D</v>
          </cell>
          <cell r="C1891" t="str">
            <v>REAR CORNER GARNISH D14</v>
          </cell>
          <cell r="D1891">
            <v>212.67</v>
          </cell>
          <cell r="E1891">
            <v>349.95</v>
          </cell>
          <cell r="F1891">
            <v>5</v>
          </cell>
          <cell r="G1891">
            <v>0</v>
          </cell>
        </row>
        <row r="1892">
          <cell r="A1892" t="str">
            <v>MZ576917EX</v>
          </cell>
          <cell r="B1892" t="str">
            <v>C</v>
          </cell>
          <cell r="C1892" t="str">
            <v>SIDE UNDER GARNISH W85</v>
          </cell>
          <cell r="D1892">
            <v>719.37</v>
          </cell>
          <cell r="E1892">
            <v>1198.95</v>
          </cell>
          <cell r="F1892">
            <v>10</v>
          </cell>
          <cell r="G1892">
            <v>0</v>
          </cell>
        </row>
        <row r="1893">
          <cell r="A1893" t="str">
            <v>MZ576918EX</v>
          </cell>
          <cell r="B1893" t="str">
            <v>D</v>
          </cell>
          <cell r="C1893" t="str">
            <v>SIDE UNDER GARNISH U25</v>
          </cell>
          <cell r="D1893">
            <v>719.37</v>
          </cell>
          <cell r="E1893">
            <v>1198.95</v>
          </cell>
          <cell r="F1893">
            <v>5</v>
          </cell>
          <cell r="G1893">
            <v>0</v>
          </cell>
        </row>
        <row r="1894">
          <cell r="A1894" t="str">
            <v>MZ576919EX</v>
          </cell>
          <cell r="B1894" t="str">
            <v>D</v>
          </cell>
          <cell r="C1894" t="str">
            <v>SIDE UNDER GARNISH U17</v>
          </cell>
          <cell r="D1894">
            <v>719.37</v>
          </cell>
          <cell r="E1894">
            <v>1198.95</v>
          </cell>
          <cell r="F1894">
            <v>7</v>
          </cell>
          <cell r="G1894">
            <v>0</v>
          </cell>
        </row>
        <row r="1895">
          <cell r="A1895" t="str">
            <v>MZ576920EX</v>
          </cell>
          <cell r="B1895" t="str">
            <v>D</v>
          </cell>
          <cell r="C1895" t="str">
            <v>SIDE UNDER GARNISH X42</v>
          </cell>
          <cell r="D1895">
            <v>719.37</v>
          </cell>
          <cell r="E1895">
            <v>1198.95</v>
          </cell>
          <cell r="F1895">
            <v>3</v>
          </cell>
          <cell r="G1895">
            <v>0</v>
          </cell>
        </row>
        <row r="1896">
          <cell r="A1896" t="str">
            <v>MZ576921EX</v>
          </cell>
          <cell r="B1896" t="str">
            <v>D</v>
          </cell>
          <cell r="C1896" t="str">
            <v>SIDE UNDER GARNISH X47</v>
          </cell>
          <cell r="D1896">
            <v>719.37</v>
          </cell>
          <cell r="E1896">
            <v>1198.95</v>
          </cell>
          <cell r="F1896">
            <v>5</v>
          </cell>
          <cell r="G1896">
            <v>0</v>
          </cell>
        </row>
        <row r="1897">
          <cell r="A1897" t="str">
            <v>MZ576922EX</v>
          </cell>
          <cell r="B1897" t="str">
            <v>D</v>
          </cell>
          <cell r="C1897" t="str">
            <v>SIDE UNDER GARNISH P62</v>
          </cell>
          <cell r="D1897">
            <v>719.37</v>
          </cell>
          <cell r="E1897">
            <v>1198.95</v>
          </cell>
          <cell r="F1897">
            <v>4</v>
          </cell>
          <cell r="G1897">
            <v>0</v>
          </cell>
        </row>
        <row r="1898">
          <cell r="A1898" t="str">
            <v>MZ576923EX</v>
          </cell>
          <cell r="B1898" t="str">
            <v>D</v>
          </cell>
          <cell r="C1898" t="str">
            <v>SIDE UNDER GARNISH C17</v>
          </cell>
          <cell r="D1898">
            <v>719.37</v>
          </cell>
          <cell r="E1898">
            <v>1198.95</v>
          </cell>
          <cell r="F1898">
            <v>10</v>
          </cell>
          <cell r="G1898">
            <v>0</v>
          </cell>
        </row>
        <row r="1899">
          <cell r="A1899" t="str">
            <v>MZ576924EX</v>
          </cell>
          <cell r="B1899" t="str">
            <v>D</v>
          </cell>
          <cell r="C1899" t="str">
            <v>SIDE UNDER GARNISH D14</v>
          </cell>
          <cell r="D1899">
            <v>719.37</v>
          </cell>
          <cell r="E1899">
            <v>1198.95</v>
          </cell>
          <cell r="F1899">
            <v>7</v>
          </cell>
          <cell r="G1899">
            <v>0</v>
          </cell>
        </row>
        <row r="1900">
          <cell r="A1900" t="str">
            <v>MZ576929EX</v>
          </cell>
          <cell r="B1900" t="str">
            <v>C</v>
          </cell>
          <cell r="C1900" t="str">
            <v>ROOFRAIL</v>
          </cell>
          <cell r="D1900">
            <v>463.77</v>
          </cell>
          <cell r="E1900">
            <v>772.95</v>
          </cell>
          <cell r="F1900">
            <v>74</v>
          </cell>
          <cell r="G1900">
            <v>0</v>
          </cell>
        </row>
        <row r="1901">
          <cell r="A1901" t="str">
            <v>MZ577004EX</v>
          </cell>
          <cell r="B1901" t="str">
            <v>Q</v>
          </cell>
          <cell r="C1901" t="str">
            <v>SIDE EXTENSION - NS RALLIART</v>
          </cell>
          <cell r="D1901">
            <v>546.6</v>
          </cell>
          <cell r="E1901">
            <v>911.95</v>
          </cell>
          <cell r="F1901">
            <v>3</v>
          </cell>
          <cell r="G1901">
            <v>0</v>
          </cell>
        </row>
        <row r="1902">
          <cell r="A1902" t="str">
            <v>MZ577007EX</v>
          </cell>
          <cell r="B1902" t="str">
            <v>Q</v>
          </cell>
          <cell r="C1902" t="str">
            <v>TAILGATE SPOILER - DG RALLIART</v>
          </cell>
          <cell r="D1902">
            <v>319.24</v>
          </cell>
          <cell r="E1902">
            <v>532.95000000000005</v>
          </cell>
          <cell r="F1902">
            <v>1</v>
          </cell>
          <cell r="G1902">
            <v>0</v>
          </cell>
        </row>
        <row r="1903">
          <cell r="A1903" t="str">
            <v>MZ577008EX</v>
          </cell>
          <cell r="B1903" t="str">
            <v>Q</v>
          </cell>
          <cell r="C1903" t="str">
            <v>FRONT SKID GARNISH - DG RALLIART</v>
          </cell>
          <cell r="D1903">
            <v>366.52</v>
          </cell>
          <cell r="E1903">
            <v>610.95000000000005</v>
          </cell>
          <cell r="F1903">
            <v>1</v>
          </cell>
          <cell r="G1903">
            <v>0</v>
          </cell>
        </row>
        <row r="1904">
          <cell r="A1904" t="str">
            <v>MZ577009EX</v>
          </cell>
          <cell r="B1904" t="str">
            <v>Q</v>
          </cell>
          <cell r="C1904" t="str">
            <v>REAR BUMPER GARNISH - DG RALLIART</v>
          </cell>
          <cell r="D1904">
            <v>212.82</v>
          </cell>
          <cell r="E1904">
            <v>354.95</v>
          </cell>
          <cell r="F1904">
            <v>1</v>
          </cell>
          <cell r="G1904">
            <v>0</v>
          </cell>
        </row>
        <row r="1905">
          <cell r="A1905" t="str">
            <v>MZ577011EX</v>
          </cell>
          <cell r="B1905" t="str">
            <v>Q</v>
          </cell>
          <cell r="C1905" t="str">
            <v>FRONT SKID PLATE - ZC RALLIART</v>
          </cell>
          <cell r="D1905">
            <v>449.29</v>
          </cell>
          <cell r="E1905">
            <v>748.95</v>
          </cell>
          <cell r="F1905">
            <v>4</v>
          </cell>
          <cell r="G1905">
            <v>0</v>
          </cell>
        </row>
        <row r="1906">
          <cell r="A1906" t="str">
            <v>MZ577012EX</v>
          </cell>
          <cell r="B1906" t="str">
            <v>Q</v>
          </cell>
          <cell r="C1906" t="str">
            <v>REAR SKID PLATE - ZC RALLIART</v>
          </cell>
          <cell r="D1906">
            <v>472.9</v>
          </cell>
          <cell r="E1906">
            <v>788.95</v>
          </cell>
          <cell r="F1906">
            <v>4</v>
          </cell>
          <cell r="G1906">
            <v>0</v>
          </cell>
        </row>
        <row r="1907">
          <cell r="A1907" t="str">
            <v>MZ577013EX</v>
          </cell>
          <cell r="B1907" t="str">
            <v>N</v>
          </cell>
          <cell r="C1907" t="str">
            <v>TAILGATE SPOILER - ZC RALLIART</v>
          </cell>
          <cell r="D1907">
            <v>390.17</v>
          </cell>
          <cell r="E1907">
            <v>650.95000000000005</v>
          </cell>
          <cell r="F1907">
            <v>1</v>
          </cell>
          <cell r="G1907">
            <v>0</v>
          </cell>
        </row>
        <row r="1908">
          <cell r="A1908" t="str">
            <v>MZ577014EX</v>
          </cell>
          <cell r="B1908" t="str">
            <v>Q</v>
          </cell>
          <cell r="C1908" t="str">
            <v>FRONT UNDER GARNISH - NS RALLIART</v>
          </cell>
          <cell r="D1908">
            <v>747.1</v>
          </cell>
          <cell r="E1908">
            <v>1245.95</v>
          </cell>
          <cell r="F1908">
            <v>3</v>
          </cell>
          <cell r="G1908">
            <v>0</v>
          </cell>
        </row>
        <row r="1909">
          <cell r="A1909" t="str">
            <v>MZ577015EX</v>
          </cell>
          <cell r="B1909" t="str">
            <v>Q</v>
          </cell>
          <cell r="C1909" t="str">
            <v>REAR UNDER GARNISH  - NS RALLIART</v>
          </cell>
          <cell r="D1909">
            <v>644.5</v>
          </cell>
          <cell r="E1909">
            <v>1074.95</v>
          </cell>
          <cell r="F1909">
            <v>3</v>
          </cell>
          <cell r="G1909">
            <v>0</v>
          </cell>
        </row>
        <row r="1910">
          <cell r="A1910" t="str">
            <v>MZ577016EX</v>
          </cell>
          <cell r="B1910" t="str">
            <v>Q</v>
          </cell>
          <cell r="C1910" t="str">
            <v>TAILGATE SPOILER - NS RALLIART</v>
          </cell>
          <cell r="D1910">
            <v>759.13</v>
          </cell>
          <cell r="E1910">
            <v>1265.95</v>
          </cell>
          <cell r="F1910">
            <v>3</v>
          </cell>
          <cell r="G1910">
            <v>0</v>
          </cell>
        </row>
        <row r="1911">
          <cell r="A1911" t="str">
            <v>MZ577019EX</v>
          </cell>
          <cell r="B1911" t="str">
            <v>Z</v>
          </cell>
          <cell r="C1911" t="str">
            <v>SIDE UNDER GARNISH WD - DG RALLIART</v>
          </cell>
          <cell r="D1911">
            <v>650.26</v>
          </cell>
          <cell r="E1911">
            <v>1083.95</v>
          </cell>
          <cell r="F1911">
            <v>0</v>
          </cell>
          <cell r="G1911">
            <v>0</v>
          </cell>
        </row>
        <row r="1912">
          <cell r="A1912" t="str">
            <v>MZ577020EX</v>
          </cell>
          <cell r="B1912" t="str">
            <v>Q</v>
          </cell>
          <cell r="C1912" t="str">
            <v>SIDE UNDER GARNISH SSM - DG RALLIART</v>
          </cell>
          <cell r="D1912">
            <v>650.26</v>
          </cell>
          <cell r="E1912">
            <v>1083.76</v>
          </cell>
          <cell r="F1912">
            <v>0</v>
          </cell>
          <cell r="G1912">
            <v>0</v>
          </cell>
        </row>
        <row r="1913">
          <cell r="A1913" t="str">
            <v>MZ577021EX</v>
          </cell>
          <cell r="B1913" t="str">
            <v>Q</v>
          </cell>
          <cell r="C1913" t="str">
            <v>SIDE UNDER GARNISH TGM - DG RALLIART</v>
          </cell>
          <cell r="D1913">
            <v>650.26</v>
          </cell>
          <cell r="E1913">
            <v>1083.76</v>
          </cell>
          <cell r="F1913">
            <v>0</v>
          </cell>
          <cell r="G1913">
            <v>0</v>
          </cell>
        </row>
        <row r="1914">
          <cell r="A1914" t="str">
            <v>MZ577022EX</v>
          </cell>
          <cell r="B1914" t="str">
            <v>Q</v>
          </cell>
          <cell r="C1914" t="str">
            <v>SIDE UNDER GARNISH BM - DG RALLIART</v>
          </cell>
          <cell r="D1914">
            <v>650.26</v>
          </cell>
          <cell r="E1914">
            <v>1083.95</v>
          </cell>
          <cell r="F1914">
            <v>0</v>
          </cell>
          <cell r="G1914">
            <v>0</v>
          </cell>
        </row>
        <row r="1915">
          <cell r="A1915" t="str">
            <v>MZ577023EX</v>
          </cell>
          <cell r="B1915" t="str">
            <v>Q</v>
          </cell>
          <cell r="C1915" t="str">
            <v>SIDE UNDER GARNISH BD - DG RALLIART</v>
          </cell>
          <cell r="D1915">
            <v>650.26</v>
          </cell>
          <cell r="E1915">
            <v>1083.76</v>
          </cell>
          <cell r="F1915">
            <v>0</v>
          </cell>
          <cell r="G1915">
            <v>0</v>
          </cell>
        </row>
        <row r="1916">
          <cell r="A1916" t="str">
            <v>MZ577024EX</v>
          </cell>
          <cell r="B1916" t="str">
            <v>Q</v>
          </cell>
          <cell r="C1916" t="str">
            <v>SIDE UNDER GARNISH RD - DG RALLIART</v>
          </cell>
          <cell r="D1916">
            <v>650.26</v>
          </cell>
          <cell r="E1916">
            <v>1083.76</v>
          </cell>
          <cell r="F1916">
            <v>0</v>
          </cell>
          <cell r="G1916">
            <v>0</v>
          </cell>
        </row>
        <row r="1917">
          <cell r="A1917" t="str">
            <v>MZ577025EX</v>
          </cell>
          <cell r="B1917" t="str">
            <v>Q</v>
          </cell>
          <cell r="C1917" t="str">
            <v>SIDE UNDER GARNISH DB - DG RALLIART</v>
          </cell>
          <cell r="D1917">
            <v>650.26</v>
          </cell>
          <cell r="E1917">
            <v>1083.76</v>
          </cell>
          <cell r="F1917">
            <v>0</v>
          </cell>
          <cell r="G1917">
            <v>0</v>
          </cell>
        </row>
        <row r="1918">
          <cell r="A1918" t="str">
            <v>MZ577026EX</v>
          </cell>
          <cell r="B1918" t="str">
            <v>Q</v>
          </cell>
          <cell r="C1918" t="str">
            <v>SIDE UNDER GARNISH CB - DG RALLIART</v>
          </cell>
          <cell r="D1918">
            <v>650.26</v>
          </cell>
          <cell r="E1918">
            <v>1083.76</v>
          </cell>
          <cell r="F1918">
            <v>0</v>
          </cell>
          <cell r="G1918">
            <v>0</v>
          </cell>
        </row>
        <row r="1919">
          <cell r="A1919" t="str">
            <v>MZ577040EX</v>
          </cell>
          <cell r="B1919" t="str">
            <v>D</v>
          </cell>
          <cell r="C1919" t="str">
            <v>TAILGATE SPOILER U17</v>
          </cell>
          <cell r="D1919">
            <v>642.57000000000005</v>
          </cell>
          <cell r="E1919">
            <v>1070.95</v>
          </cell>
          <cell r="F1919">
            <v>2</v>
          </cell>
          <cell r="G1919">
            <v>0</v>
          </cell>
        </row>
        <row r="1920">
          <cell r="A1920" t="str">
            <v>MZ577079EX</v>
          </cell>
          <cell r="B1920" t="str">
            <v>D</v>
          </cell>
          <cell r="C1920" t="str">
            <v>FRONT CORNER GARNISH</v>
          </cell>
          <cell r="D1920">
            <v>218.13</v>
          </cell>
          <cell r="E1920">
            <v>349.95</v>
          </cell>
          <cell r="F1920">
            <v>19</v>
          </cell>
          <cell r="G1920">
            <v>0</v>
          </cell>
        </row>
        <row r="1921">
          <cell r="A1921" t="str">
            <v>MZ577080EX</v>
          </cell>
          <cell r="B1921" t="str">
            <v>N</v>
          </cell>
          <cell r="C1921" t="str">
            <v>SIDE UNDER GARNISH</v>
          </cell>
          <cell r="D1921">
            <v>719.37</v>
          </cell>
          <cell r="E1921">
            <v>1198.95</v>
          </cell>
          <cell r="F1921">
            <v>25</v>
          </cell>
          <cell r="G1921">
            <v>0</v>
          </cell>
        </row>
        <row r="1922">
          <cell r="A1922" t="str">
            <v>MZ577081EX</v>
          </cell>
          <cell r="B1922" t="str">
            <v>D</v>
          </cell>
          <cell r="C1922" t="str">
            <v>REAR CORNER GARNISH</v>
          </cell>
          <cell r="D1922">
            <v>212.67</v>
          </cell>
          <cell r="E1922">
            <v>349.95</v>
          </cell>
          <cell r="F1922">
            <v>19</v>
          </cell>
          <cell r="G1922">
            <v>0</v>
          </cell>
        </row>
        <row r="1923">
          <cell r="A1923" t="str">
            <v>MZ577082EX</v>
          </cell>
          <cell r="B1923" t="str">
            <v>D</v>
          </cell>
          <cell r="C1923" t="str">
            <v>TAILGATE SPOILER</v>
          </cell>
          <cell r="D1923">
            <v>275.97000000000003</v>
          </cell>
          <cell r="E1923">
            <v>459.95</v>
          </cell>
          <cell r="F1923">
            <v>2</v>
          </cell>
          <cell r="G1923">
            <v>0</v>
          </cell>
        </row>
        <row r="1924">
          <cell r="A1924" t="str">
            <v>MZ577087EX</v>
          </cell>
          <cell r="B1924" t="str">
            <v>D</v>
          </cell>
          <cell r="C1924" t="str">
            <v>FRONT CORNER PROTECTOR</v>
          </cell>
          <cell r="D1924">
            <v>271.82</v>
          </cell>
          <cell r="E1924">
            <v>452.95</v>
          </cell>
          <cell r="F1924">
            <v>16</v>
          </cell>
          <cell r="G1924">
            <v>0</v>
          </cell>
        </row>
        <row r="1925">
          <cell r="A1925" t="str">
            <v>MZ577088EX</v>
          </cell>
          <cell r="B1925" t="str">
            <v>C</v>
          </cell>
          <cell r="C1925" t="str">
            <v>REAR PROTECTOR</v>
          </cell>
          <cell r="D1925">
            <v>398.6</v>
          </cell>
          <cell r="E1925">
            <v>663.95</v>
          </cell>
          <cell r="F1925">
            <v>39</v>
          </cell>
          <cell r="G1925">
            <v>0</v>
          </cell>
        </row>
        <row r="1926">
          <cell r="A1926" t="str">
            <v>MZ577089EX</v>
          </cell>
          <cell r="B1926" t="str">
            <v>C</v>
          </cell>
          <cell r="C1926" t="str">
            <v>SIDE PROTECTOR</v>
          </cell>
          <cell r="D1926">
            <v>424.29</v>
          </cell>
          <cell r="E1926">
            <v>699.95</v>
          </cell>
          <cell r="F1926">
            <v>12</v>
          </cell>
          <cell r="G1926">
            <v>0</v>
          </cell>
        </row>
        <row r="1927">
          <cell r="A1927" t="str">
            <v>MZ577093EX</v>
          </cell>
          <cell r="B1927" t="str">
            <v>N</v>
          </cell>
          <cell r="C1927" t="str">
            <v>FRONT SKID GARNISH</v>
          </cell>
          <cell r="D1927">
            <v>401.35</v>
          </cell>
          <cell r="E1927">
            <v>659.95</v>
          </cell>
          <cell r="F1927">
            <v>0</v>
          </cell>
          <cell r="G1927">
            <v>0</v>
          </cell>
        </row>
        <row r="1928">
          <cell r="A1928" t="str">
            <v>MZ577094EX</v>
          </cell>
          <cell r="B1928" t="str">
            <v>D</v>
          </cell>
          <cell r="C1928" t="str">
            <v>REAR BUMPER GARNISH CHROME ELE</v>
          </cell>
          <cell r="D1928">
            <v>276.57</v>
          </cell>
          <cell r="E1928">
            <v>460.95</v>
          </cell>
          <cell r="F1928">
            <v>9</v>
          </cell>
          <cell r="G1928">
            <v>10</v>
          </cell>
        </row>
        <row r="1929">
          <cell r="A1929" t="str">
            <v>MZ577099EX</v>
          </cell>
          <cell r="B1929" t="str">
            <v>D</v>
          </cell>
          <cell r="C1929" t="str">
            <v>LARGE TAILGATE SPOILER</v>
          </cell>
          <cell r="D1929">
            <v>447.57</v>
          </cell>
          <cell r="E1929">
            <v>745.95</v>
          </cell>
          <cell r="F1929">
            <v>5</v>
          </cell>
          <cell r="G1929">
            <v>0</v>
          </cell>
        </row>
        <row r="1930">
          <cell r="A1930" t="str">
            <v>MZ577100EX</v>
          </cell>
          <cell r="B1930" t="str">
            <v>D</v>
          </cell>
          <cell r="C1930" t="str">
            <v>LARGE TAILGATE SPOILER</v>
          </cell>
          <cell r="D1930">
            <v>447.57</v>
          </cell>
          <cell r="E1930">
            <v>745.95</v>
          </cell>
          <cell r="F1930">
            <v>0</v>
          </cell>
          <cell r="G1930">
            <v>5</v>
          </cell>
        </row>
        <row r="1931">
          <cell r="A1931" t="str">
            <v>MZ577101EX</v>
          </cell>
          <cell r="B1931" t="str">
            <v>N</v>
          </cell>
          <cell r="C1931" t="str">
            <v>LARGE TAILGATE SPOILER</v>
          </cell>
          <cell r="D1931">
            <v>447.57</v>
          </cell>
          <cell r="E1931">
            <v>745.95</v>
          </cell>
          <cell r="F1931">
            <v>2</v>
          </cell>
          <cell r="G1931">
            <v>0</v>
          </cell>
        </row>
        <row r="1932">
          <cell r="A1932" t="str">
            <v>MZ577102EX</v>
          </cell>
          <cell r="B1932" t="str">
            <v>N</v>
          </cell>
          <cell r="C1932" t="str">
            <v>LARGE TAILGATE SPOILER</v>
          </cell>
          <cell r="D1932">
            <v>447.57</v>
          </cell>
          <cell r="E1932">
            <v>745.95</v>
          </cell>
          <cell r="F1932">
            <v>5</v>
          </cell>
          <cell r="G1932">
            <v>0</v>
          </cell>
        </row>
        <row r="1933">
          <cell r="A1933" t="str">
            <v>MZ577103EX</v>
          </cell>
          <cell r="B1933" t="str">
            <v>N</v>
          </cell>
          <cell r="C1933" t="str">
            <v>LARGE TAILGATE SPOILER</v>
          </cell>
          <cell r="D1933">
            <v>447.57</v>
          </cell>
          <cell r="E1933">
            <v>745.95</v>
          </cell>
          <cell r="F1933">
            <v>4</v>
          </cell>
          <cell r="G1933">
            <v>0</v>
          </cell>
        </row>
        <row r="1934">
          <cell r="A1934" t="str">
            <v>MZ577104EX</v>
          </cell>
          <cell r="B1934" t="str">
            <v>N</v>
          </cell>
          <cell r="C1934" t="str">
            <v>LARGE TAILGATE SPOILER</v>
          </cell>
          <cell r="D1934">
            <v>447.57</v>
          </cell>
          <cell r="E1934">
            <v>745.95</v>
          </cell>
          <cell r="F1934">
            <v>3</v>
          </cell>
          <cell r="G1934">
            <v>0</v>
          </cell>
        </row>
        <row r="1935">
          <cell r="A1935" t="str">
            <v>MZ577105EX</v>
          </cell>
          <cell r="B1935" t="str">
            <v>N</v>
          </cell>
          <cell r="C1935" t="str">
            <v>LARGE TAILGATE SPOILER</v>
          </cell>
          <cell r="D1935">
            <v>447.57</v>
          </cell>
          <cell r="E1935">
            <v>745.95</v>
          </cell>
          <cell r="F1935">
            <v>3</v>
          </cell>
          <cell r="G1935">
            <v>0</v>
          </cell>
        </row>
        <row r="1936">
          <cell r="A1936" t="str">
            <v>MZ577106EX</v>
          </cell>
          <cell r="B1936" t="str">
            <v>D</v>
          </cell>
          <cell r="C1936" t="str">
            <v>LARGE TAILGATE SPOILER</v>
          </cell>
          <cell r="D1936">
            <v>447.57</v>
          </cell>
          <cell r="E1936">
            <v>745.95</v>
          </cell>
          <cell r="F1936">
            <v>1</v>
          </cell>
          <cell r="G1936">
            <v>3</v>
          </cell>
        </row>
        <row r="1937">
          <cell r="A1937" t="str">
            <v>MZ577107EX</v>
          </cell>
          <cell r="B1937" t="str">
            <v>C</v>
          </cell>
          <cell r="C1937" t="str">
            <v>HOOD GARNISH</v>
          </cell>
          <cell r="D1937">
            <v>358.17</v>
          </cell>
          <cell r="E1937">
            <v>596.95000000000005</v>
          </cell>
          <cell r="F1937">
            <v>34</v>
          </cell>
          <cell r="G1937">
            <v>0</v>
          </cell>
        </row>
        <row r="1938">
          <cell r="A1938" t="str">
            <v>MZ577108EX</v>
          </cell>
          <cell r="B1938" t="str">
            <v>C</v>
          </cell>
          <cell r="C1938" t="str">
            <v>HOOD GARNISH</v>
          </cell>
          <cell r="D1938">
            <v>379.77</v>
          </cell>
          <cell r="E1938">
            <v>632.95000000000005</v>
          </cell>
          <cell r="F1938">
            <v>33</v>
          </cell>
          <cell r="G1938">
            <v>0</v>
          </cell>
        </row>
        <row r="1939">
          <cell r="A1939" t="str">
            <v>MZ577109EX</v>
          </cell>
          <cell r="B1939" t="str">
            <v>D</v>
          </cell>
          <cell r="C1939" t="str">
            <v>FRONT SKID GARNISH</v>
          </cell>
          <cell r="D1939">
            <v>451.17</v>
          </cell>
          <cell r="E1939">
            <v>751.95</v>
          </cell>
          <cell r="F1939">
            <v>15</v>
          </cell>
          <cell r="G1939">
            <v>0</v>
          </cell>
        </row>
        <row r="1940">
          <cell r="A1940" t="str">
            <v>MZ577110EX</v>
          </cell>
          <cell r="B1940" t="str">
            <v>D</v>
          </cell>
          <cell r="C1940" t="str">
            <v>FRONT SKID GARNISH</v>
          </cell>
          <cell r="D1940">
            <v>422.97</v>
          </cell>
          <cell r="E1940">
            <v>704.95</v>
          </cell>
          <cell r="F1940">
            <v>10</v>
          </cell>
          <cell r="G1940">
            <v>0</v>
          </cell>
        </row>
        <row r="1941">
          <cell r="A1941" t="str">
            <v>MZ577127EX</v>
          </cell>
          <cell r="B1941" t="str">
            <v>C</v>
          </cell>
          <cell r="C1941" t="str">
            <v>REAR BUMPER GARNISH</v>
          </cell>
          <cell r="D1941">
            <v>263.97000000000003</v>
          </cell>
          <cell r="E1941">
            <v>439.95</v>
          </cell>
          <cell r="F1941">
            <v>21</v>
          </cell>
          <cell r="G1941">
            <v>0</v>
          </cell>
        </row>
        <row r="1942">
          <cell r="A1942" t="str">
            <v>MZ577180EX</v>
          </cell>
          <cell r="B1942" t="str">
            <v>N</v>
          </cell>
          <cell r="C1942" t="str">
            <v>ROOFRAIL</v>
          </cell>
          <cell r="D1942">
            <v>552.85</v>
          </cell>
          <cell r="E1942">
            <v>898.95</v>
          </cell>
          <cell r="F1942">
            <v>0</v>
          </cell>
          <cell r="G1942">
            <v>15</v>
          </cell>
        </row>
        <row r="1943">
          <cell r="A1943" t="str">
            <v>MZ581800EX</v>
          </cell>
          <cell r="B1943" t="str">
            <v>Q</v>
          </cell>
          <cell r="C1943" t="str">
            <v>LED FOG LAMP</v>
          </cell>
          <cell r="D1943">
            <v>352.17</v>
          </cell>
          <cell r="E1943">
            <v>586.95000000000005</v>
          </cell>
          <cell r="F1943">
            <v>3</v>
          </cell>
          <cell r="G1943">
            <v>0</v>
          </cell>
        </row>
        <row r="1944">
          <cell r="A1944" t="str">
            <v>MZ581985EX</v>
          </cell>
          <cell r="B1944" t="str">
            <v>F</v>
          </cell>
          <cell r="C1944" t="str">
            <v>FOG LAMPS- LED</v>
          </cell>
          <cell r="D1944">
            <v>313.17</v>
          </cell>
          <cell r="E1944">
            <v>521.95000000000005</v>
          </cell>
          <cell r="F1944">
            <v>20</v>
          </cell>
          <cell r="G1944">
            <v>0</v>
          </cell>
        </row>
        <row r="1945">
          <cell r="A1945" t="str">
            <v>MZ582007EX</v>
          </cell>
          <cell r="B1945" t="str">
            <v>D</v>
          </cell>
          <cell r="C1945" t="str">
            <v>LED FOG LAMPS</v>
          </cell>
          <cell r="D1945">
            <v>310.17</v>
          </cell>
          <cell r="E1945">
            <v>516.95000000000005</v>
          </cell>
          <cell r="F1945">
            <v>6</v>
          </cell>
          <cell r="G1945">
            <v>0</v>
          </cell>
        </row>
        <row r="1946">
          <cell r="A1946" t="str">
            <v>MZ582008EX</v>
          </cell>
          <cell r="B1946" t="str">
            <v>S</v>
          </cell>
          <cell r="C1946" t="str">
            <v>BLUEISH LED FOG LAMPS</v>
          </cell>
          <cell r="D1946">
            <v>337.77</v>
          </cell>
          <cell r="E1946">
            <v>562.95000000000005</v>
          </cell>
          <cell r="F1946">
            <v>0</v>
          </cell>
          <cell r="G1946">
            <v>0</v>
          </cell>
        </row>
        <row r="1947">
          <cell r="A1947" t="str">
            <v>MZ582011EX</v>
          </cell>
          <cell r="B1947" t="str">
            <v>S</v>
          </cell>
          <cell r="C1947" t="str">
            <v>LED FOG LAMP UPGRADE KIT</v>
          </cell>
          <cell r="D1947">
            <v>448.77</v>
          </cell>
          <cell r="E1947">
            <v>747.95</v>
          </cell>
          <cell r="F1947">
            <v>0</v>
          </cell>
          <cell r="G1947">
            <v>0</v>
          </cell>
        </row>
        <row r="1948">
          <cell r="A1948" t="str">
            <v>MZ582012EX</v>
          </cell>
          <cell r="B1948" t="str">
            <v>S</v>
          </cell>
          <cell r="C1948" t="str">
            <v>LED FOG LAMP KIT</v>
          </cell>
          <cell r="D1948">
            <v>381.57</v>
          </cell>
          <cell r="E1948">
            <v>635.95000000000005</v>
          </cell>
          <cell r="F1948">
            <v>0</v>
          </cell>
          <cell r="G1948">
            <v>0</v>
          </cell>
        </row>
        <row r="1949">
          <cell r="A1949" t="str">
            <v>MZ583015EX</v>
          </cell>
          <cell r="B1949" t="str">
            <v>S</v>
          </cell>
          <cell r="C1949" t="str">
            <v>DAYTIME RUNNING LIGHTS- LED</v>
          </cell>
          <cell r="D1949">
            <v>518.37</v>
          </cell>
          <cell r="E1949">
            <v>863.95</v>
          </cell>
          <cell r="F1949">
            <v>0</v>
          </cell>
          <cell r="G1949">
            <v>0</v>
          </cell>
        </row>
        <row r="1950">
          <cell r="A1950" t="str">
            <v>MZ590699EX</v>
          </cell>
          <cell r="B1950" t="str">
            <v>N</v>
          </cell>
          <cell r="C1950" t="str">
            <v>DYNAMIC SHIELD ILLUMINATION</v>
          </cell>
          <cell r="D1950">
            <v>358.77</v>
          </cell>
          <cell r="E1950">
            <v>599.95000000000005</v>
          </cell>
          <cell r="F1950">
            <v>0</v>
          </cell>
          <cell r="G1950">
            <v>5</v>
          </cell>
        </row>
        <row r="1951">
          <cell r="A1951" t="str">
            <v>MZ590803EX</v>
          </cell>
          <cell r="B1951" t="str">
            <v>D</v>
          </cell>
          <cell r="C1951" t="str">
            <v>TAILGATE LIGHT  BLUE LED</v>
          </cell>
          <cell r="D1951">
            <v>77.37</v>
          </cell>
          <cell r="E1951">
            <v>128.94999999999999</v>
          </cell>
          <cell r="F1951">
            <v>1</v>
          </cell>
          <cell r="G1951">
            <v>2</v>
          </cell>
        </row>
        <row r="1952">
          <cell r="A1952" t="str">
            <v>MZ590819EX</v>
          </cell>
          <cell r="B1952" t="str">
            <v>S</v>
          </cell>
          <cell r="C1952" t="str">
            <v>LED ILLUMIN-TAILGATE-BLUE O/L &lt;2013</v>
          </cell>
          <cell r="D1952">
            <v>115.77</v>
          </cell>
          <cell r="E1952">
            <v>192.95</v>
          </cell>
          <cell r="F1952">
            <v>0</v>
          </cell>
          <cell r="G1952">
            <v>0</v>
          </cell>
        </row>
        <row r="1953">
          <cell r="A1953" t="str">
            <v>MZ590828EX</v>
          </cell>
          <cell r="B1953" t="str">
            <v>S</v>
          </cell>
          <cell r="C1953" t="str">
            <v>FLOOR ILLUMINATION- BLUE</v>
          </cell>
          <cell r="D1953">
            <v>88.77</v>
          </cell>
          <cell r="E1953">
            <v>147.94999999999999</v>
          </cell>
          <cell r="F1953">
            <v>0</v>
          </cell>
          <cell r="G1953">
            <v>0</v>
          </cell>
        </row>
        <row r="1954">
          <cell r="A1954" t="str">
            <v>MZ590837EX</v>
          </cell>
          <cell r="B1954" t="str">
            <v>Z</v>
          </cell>
          <cell r="C1954" t="str">
            <v>LED DOME LIGHT BULB MIRAGE</v>
          </cell>
          <cell r="D1954">
            <v>71.97</v>
          </cell>
          <cell r="E1954">
            <v>119.95</v>
          </cell>
          <cell r="F1954">
            <v>4</v>
          </cell>
          <cell r="G1954">
            <v>0</v>
          </cell>
        </row>
        <row r="1955">
          <cell r="A1955" t="str">
            <v>MZ590838EX</v>
          </cell>
          <cell r="B1955" t="str">
            <v>E</v>
          </cell>
          <cell r="C1955" t="str">
            <v>CENTER CONSOLE ILLUMINATION- BLUE</v>
          </cell>
          <cell r="D1955">
            <v>52.17</v>
          </cell>
          <cell r="E1955">
            <v>86.95</v>
          </cell>
          <cell r="F1955">
            <v>20</v>
          </cell>
          <cell r="G1955">
            <v>0</v>
          </cell>
        </row>
        <row r="1956">
          <cell r="A1956" t="str">
            <v>MZ590865EX</v>
          </cell>
          <cell r="B1956" t="str">
            <v>F</v>
          </cell>
          <cell r="C1956" t="str">
            <v>LED Map Lamp Bulb - 2 Piece</v>
          </cell>
          <cell r="D1956">
            <v>0.01</v>
          </cell>
          <cell r="E1956">
            <v>0</v>
          </cell>
          <cell r="F1956">
            <v>0</v>
          </cell>
          <cell r="G1956">
            <v>0</v>
          </cell>
        </row>
        <row r="1957">
          <cell r="A1957" t="str">
            <v>MZ590866EX</v>
          </cell>
          <cell r="B1957" t="str">
            <v>F</v>
          </cell>
          <cell r="C1957" t="str">
            <v>LED Map Lamp Bulb - 1 Piece</v>
          </cell>
          <cell r="D1957">
            <v>0.01</v>
          </cell>
          <cell r="E1957">
            <v>0</v>
          </cell>
          <cell r="F1957">
            <v>0</v>
          </cell>
          <cell r="G1957">
            <v>0</v>
          </cell>
        </row>
        <row r="1958">
          <cell r="A1958" t="str">
            <v>MZ590869EX</v>
          </cell>
          <cell r="B1958" t="str">
            <v>S</v>
          </cell>
          <cell r="C1958" t="str">
            <v>UNDER SEAT ILLUMINATION KIT</v>
          </cell>
          <cell r="D1958">
            <v>178.68</v>
          </cell>
          <cell r="E1958">
            <v>297.95</v>
          </cell>
          <cell r="F1958">
            <v>0</v>
          </cell>
          <cell r="G1958">
            <v>0</v>
          </cell>
        </row>
        <row r="1959">
          <cell r="A1959" t="str">
            <v>MZ590870EX</v>
          </cell>
          <cell r="B1959" t="str">
            <v>D</v>
          </cell>
          <cell r="C1959" t="str">
            <v>SHIFT GATE ILLUMINATION KIT</v>
          </cell>
          <cell r="D1959">
            <v>94.17</v>
          </cell>
          <cell r="E1959">
            <v>156.94999999999999</v>
          </cell>
          <cell r="F1959">
            <v>5</v>
          </cell>
          <cell r="G1959">
            <v>0</v>
          </cell>
        </row>
        <row r="1960">
          <cell r="A1960" t="str">
            <v>MZ590877EX</v>
          </cell>
          <cell r="B1960" t="str">
            <v>D</v>
          </cell>
          <cell r="C1960" t="str">
            <v>SCUFF PLATE(LED ILLUMINATION)</v>
          </cell>
          <cell r="D1960">
            <v>239.97</v>
          </cell>
          <cell r="E1960">
            <v>399.95</v>
          </cell>
          <cell r="F1960">
            <v>8</v>
          </cell>
          <cell r="G1960">
            <v>0</v>
          </cell>
        </row>
        <row r="1961">
          <cell r="A1961" t="str">
            <v>MZ590878EX</v>
          </cell>
          <cell r="B1961" t="str">
            <v>D</v>
          </cell>
          <cell r="C1961" t="str">
            <v>INTERIOR FLOOR ILLUMINATION(BLUE)</v>
          </cell>
          <cell r="D1961">
            <v>109.77</v>
          </cell>
          <cell r="E1961">
            <v>182.95</v>
          </cell>
          <cell r="F1961">
            <v>6</v>
          </cell>
          <cell r="G1961">
            <v>0</v>
          </cell>
        </row>
        <row r="1962">
          <cell r="A1962" t="str">
            <v>MZ590879EX</v>
          </cell>
          <cell r="B1962" t="str">
            <v>E</v>
          </cell>
          <cell r="C1962" t="str">
            <v>INTERIOR FLOOR ILLUMINATIO</v>
          </cell>
          <cell r="D1962">
            <v>106.77</v>
          </cell>
          <cell r="E1962">
            <v>177.95</v>
          </cell>
          <cell r="F1962">
            <v>0</v>
          </cell>
          <cell r="G1962">
            <v>0</v>
          </cell>
        </row>
        <row r="1963">
          <cell r="A1963" t="str">
            <v>MZ590880EX</v>
          </cell>
          <cell r="B1963" t="str">
            <v>S</v>
          </cell>
          <cell r="C1963" t="str">
            <v>TAILGATE LAMP, WHITE</v>
          </cell>
          <cell r="D1963">
            <v>96.57</v>
          </cell>
          <cell r="E1963">
            <v>160.94999999999999</v>
          </cell>
          <cell r="F1963">
            <v>0</v>
          </cell>
          <cell r="G1963">
            <v>0</v>
          </cell>
        </row>
        <row r="1964">
          <cell r="A1964" t="str">
            <v>MZ590886EX</v>
          </cell>
          <cell r="B1964" t="str">
            <v>D</v>
          </cell>
          <cell r="C1964" t="str">
            <v>SCUFF PLATE AND FLOOR ILLUMI SET(BLUE)</v>
          </cell>
          <cell r="D1964">
            <v>296.37</v>
          </cell>
          <cell r="E1964">
            <v>493.95</v>
          </cell>
          <cell r="F1964">
            <v>17</v>
          </cell>
          <cell r="G1964">
            <v>0</v>
          </cell>
        </row>
        <row r="1965">
          <cell r="A1965" t="str">
            <v>MZ590887EX</v>
          </cell>
          <cell r="B1965" t="str">
            <v>D</v>
          </cell>
          <cell r="C1965" t="str">
            <v>SCUFFPLATE FLOORILLUMI SET</v>
          </cell>
          <cell r="D1965">
            <v>307.77</v>
          </cell>
          <cell r="E1965">
            <v>512.95000000000005</v>
          </cell>
          <cell r="F1965">
            <v>4</v>
          </cell>
          <cell r="G1965">
            <v>0</v>
          </cell>
        </row>
        <row r="1966">
          <cell r="A1966" t="str">
            <v>MZ590889EX</v>
          </cell>
          <cell r="B1966" t="str">
            <v>F</v>
          </cell>
          <cell r="C1966" t="str">
            <v>LED BULB</v>
          </cell>
          <cell r="D1966">
            <v>55.24</v>
          </cell>
          <cell r="E1966">
            <v>92.07</v>
          </cell>
          <cell r="F1966">
            <v>0</v>
          </cell>
          <cell r="G1966">
            <v>0</v>
          </cell>
        </row>
        <row r="1967">
          <cell r="A1967" t="str">
            <v>MZ590890EX</v>
          </cell>
          <cell r="B1967" t="str">
            <v>F</v>
          </cell>
          <cell r="C1967" t="str">
            <v>LED BULB</v>
          </cell>
          <cell r="D1967">
            <v>42.78</v>
          </cell>
          <cell r="E1967">
            <v>71.3</v>
          </cell>
          <cell r="F1967">
            <v>0</v>
          </cell>
          <cell r="G1967">
            <v>0</v>
          </cell>
        </row>
        <row r="1968">
          <cell r="A1968" t="str">
            <v>MZ590912EX</v>
          </cell>
          <cell r="B1968" t="str">
            <v>Q</v>
          </cell>
          <cell r="C1968" t="str">
            <v>PROJECTION ILLUMINATION</v>
          </cell>
          <cell r="D1968">
            <v>407.37</v>
          </cell>
          <cell r="E1968">
            <v>678.95</v>
          </cell>
          <cell r="F1968">
            <v>5</v>
          </cell>
          <cell r="G1968">
            <v>0</v>
          </cell>
        </row>
        <row r="1969">
          <cell r="A1969" t="str">
            <v>MZ590913EX</v>
          </cell>
          <cell r="B1969" t="str">
            <v>Q</v>
          </cell>
          <cell r="C1969" t="str">
            <v>CONSOLE ILLUMINATION</v>
          </cell>
          <cell r="D1969">
            <v>265.77</v>
          </cell>
          <cell r="E1969">
            <v>442.95</v>
          </cell>
          <cell r="F1969">
            <v>19</v>
          </cell>
          <cell r="G1969">
            <v>0</v>
          </cell>
        </row>
        <row r="1970">
          <cell r="A1970" t="str">
            <v>MZ590914EX</v>
          </cell>
          <cell r="B1970" t="str">
            <v>C</v>
          </cell>
          <cell r="C1970" t="str">
            <v>DYNAMIC SHIELD ILLUMINATION</v>
          </cell>
          <cell r="D1970">
            <v>450</v>
          </cell>
          <cell r="E1970">
            <v>749.95</v>
          </cell>
          <cell r="F1970">
            <v>52</v>
          </cell>
          <cell r="G1970">
            <v>0</v>
          </cell>
        </row>
        <row r="1971">
          <cell r="A1971" t="str">
            <v>MZ590921EX</v>
          </cell>
          <cell r="B1971" t="str">
            <v>B</v>
          </cell>
          <cell r="C1971" t="str">
            <v>FLOOR ILLUMINATION</v>
          </cell>
          <cell r="D1971">
            <v>160.77000000000001</v>
          </cell>
          <cell r="E1971">
            <v>267.95</v>
          </cell>
          <cell r="F1971">
            <v>28</v>
          </cell>
          <cell r="G1971">
            <v>0</v>
          </cell>
        </row>
        <row r="1972">
          <cell r="A1972" t="str">
            <v>MZ590922EX</v>
          </cell>
          <cell r="B1972" t="str">
            <v>D</v>
          </cell>
          <cell r="C1972" t="str">
            <v>TG LAMP</v>
          </cell>
          <cell r="D1972">
            <v>112.77</v>
          </cell>
          <cell r="E1972">
            <v>187.95</v>
          </cell>
          <cell r="F1972">
            <v>4</v>
          </cell>
          <cell r="G1972">
            <v>0</v>
          </cell>
        </row>
        <row r="1973">
          <cell r="A1973" t="str">
            <v>MZ590923EX</v>
          </cell>
          <cell r="B1973" t="str">
            <v>D</v>
          </cell>
          <cell r="C1973" t="str">
            <v>LED ILLUMI</v>
          </cell>
          <cell r="D1973">
            <v>312.57</v>
          </cell>
          <cell r="E1973">
            <v>520.95000000000005</v>
          </cell>
          <cell r="F1973">
            <v>2</v>
          </cell>
          <cell r="G1973">
            <v>0</v>
          </cell>
        </row>
        <row r="1974">
          <cell r="A1974" t="str">
            <v>MZ590929EX</v>
          </cell>
          <cell r="B1974" t="str">
            <v>Z</v>
          </cell>
          <cell r="C1974" t="str">
            <v>SCUFF PLATE - WITH ILLUM</v>
          </cell>
          <cell r="D1974">
            <v>244.17</v>
          </cell>
          <cell r="E1974">
            <v>406.95</v>
          </cell>
          <cell r="F1974">
            <v>0</v>
          </cell>
          <cell r="G1974">
            <v>0</v>
          </cell>
        </row>
        <row r="1975">
          <cell r="A1975" t="str">
            <v>MZ590930EX</v>
          </cell>
          <cell r="B1975" t="str">
            <v>D</v>
          </cell>
          <cell r="C1975" t="str">
            <v>LED ILLUMI</v>
          </cell>
          <cell r="D1975">
            <v>155.37</v>
          </cell>
          <cell r="E1975">
            <v>258.95</v>
          </cell>
          <cell r="F1975">
            <v>10</v>
          </cell>
          <cell r="G1975">
            <v>0</v>
          </cell>
        </row>
        <row r="1976">
          <cell r="A1976" t="str">
            <v>MZ590931EX</v>
          </cell>
          <cell r="B1976" t="str">
            <v>D</v>
          </cell>
          <cell r="C1976" t="str">
            <v>CENTRE CONSOLE TRAY MAT</v>
          </cell>
          <cell r="D1976">
            <v>56.69</v>
          </cell>
          <cell r="E1976">
            <v>94.95</v>
          </cell>
          <cell r="F1976">
            <v>15</v>
          </cell>
          <cell r="G1976">
            <v>0</v>
          </cell>
        </row>
        <row r="1977">
          <cell r="A1977" t="str">
            <v>MZ590938EX</v>
          </cell>
          <cell r="B1977" t="str">
            <v>N</v>
          </cell>
          <cell r="C1977" t="str">
            <v>IND ILL MAT</v>
          </cell>
          <cell r="D1977">
            <v>122.97</v>
          </cell>
          <cell r="E1977">
            <v>204.95</v>
          </cell>
          <cell r="F1977">
            <v>3</v>
          </cell>
          <cell r="G1977">
            <v>0</v>
          </cell>
        </row>
        <row r="1978">
          <cell r="A1978" t="str">
            <v>MZ590976EX</v>
          </cell>
          <cell r="B1978" t="str">
            <v>D</v>
          </cell>
          <cell r="C1978" t="str">
            <v>DYNAMIC SHIELD ILLUMINATION</v>
          </cell>
          <cell r="D1978">
            <v>450</v>
          </cell>
          <cell r="E1978">
            <v>749.95</v>
          </cell>
          <cell r="F1978">
            <v>350</v>
          </cell>
          <cell r="G1978">
            <v>0</v>
          </cell>
        </row>
        <row r="1979">
          <cell r="A1979" t="str">
            <v>MZ590981EX</v>
          </cell>
          <cell r="B1979" t="str">
            <v>N</v>
          </cell>
          <cell r="C1979" t="str">
            <v>TAILGATE LAMP (WHITE)</v>
          </cell>
          <cell r="D1979">
            <v>103.77</v>
          </cell>
          <cell r="E1979">
            <v>172.95</v>
          </cell>
          <cell r="F1979">
            <v>0</v>
          </cell>
          <cell r="G1979">
            <v>0</v>
          </cell>
        </row>
        <row r="1980">
          <cell r="A1980" t="str">
            <v>MZ590992EX</v>
          </cell>
          <cell r="B1980" t="str">
            <v>N</v>
          </cell>
          <cell r="C1980" t="str">
            <v>PROJECTION ILLUMINATION</v>
          </cell>
          <cell r="D1980">
            <v>319.17</v>
          </cell>
          <cell r="E1980">
            <v>529.95000000000005</v>
          </cell>
          <cell r="F1980">
            <v>0</v>
          </cell>
          <cell r="G1980">
            <v>5</v>
          </cell>
        </row>
        <row r="1981">
          <cell r="A1981" t="str">
            <v>MZ590999EX</v>
          </cell>
          <cell r="B1981" t="str">
            <v>C</v>
          </cell>
          <cell r="C1981" t="str">
            <v>DYNAMIC SHIELD ILLUMINATION</v>
          </cell>
          <cell r="D1981">
            <v>454.17</v>
          </cell>
          <cell r="E1981">
            <v>756.95</v>
          </cell>
          <cell r="F1981">
            <v>14</v>
          </cell>
          <cell r="G1981">
            <v>0</v>
          </cell>
        </row>
        <row r="1982">
          <cell r="A1982" t="str">
            <v>MZ598118EX</v>
          </cell>
          <cell r="B1982" t="str">
            <v>S</v>
          </cell>
          <cell r="C1982" t="str">
            <v>HARNESS- IPOD</v>
          </cell>
          <cell r="D1982">
            <v>45.57</v>
          </cell>
          <cell r="E1982">
            <v>75.95</v>
          </cell>
          <cell r="F1982">
            <v>0</v>
          </cell>
          <cell r="G1982">
            <v>0</v>
          </cell>
        </row>
        <row r="1983">
          <cell r="A1983" t="str">
            <v>MZ598263EX</v>
          </cell>
          <cell r="B1983" t="str">
            <v>F</v>
          </cell>
          <cell r="C1983" t="str">
            <v>INSTALL KIT- CD CHANGER- BLACK</v>
          </cell>
          <cell r="D1983">
            <v>62.97</v>
          </cell>
          <cell r="E1983">
            <v>104.95</v>
          </cell>
          <cell r="F1983">
            <v>0</v>
          </cell>
          <cell r="G1983">
            <v>0</v>
          </cell>
        </row>
        <row r="1984">
          <cell r="A1984" t="str">
            <v>MZ606680EX</v>
          </cell>
          <cell r="B1984" t="str">
            <v>Q</v>
          </cell>
          <cell r="C1984" t="str">
            <v>ENGINE SWITCH - NS RALLIART</v>
          </cell>
          <cell r="D1984">
            <v>108.47</v>
          </cell>
          <cell r="E1984">
            <v>180.95</v>
          </cell>
          <cell r="F1984">
            <v>3</v>
          </cell>
          <cell r="G1984">
            <v>0</v>
          </cell>
        </row>
        <row r="1985">
          <cell r="A1985" t="str">
            <v>MZ606681EX</v>
          </cell>
          <cell r="B1985" t="str">
            <v>Q</v>
          </cell>
          <cell r="C1985" t="str">
            <v>ENGINE SWITCH - DG/DGE RALLIAR</v>
          </cell>
          <cell r="D1985">
            <v>123.23</v>
          </cell>
          <cell r="E1985">
            <v>205.95</v>
          </cell>
          <cell r="F1985">
            <v>4</v>
          </cell>
          <cell r="G1985">
            <v>0</v>
          </cell>
        </row>
        <row r="1986">
          <cell r="A1986" t="str">
            <v>MZ606682EX</v>
          </cell>
          <cell r="B1986" t="str">
            <v>Q</v>
          </cell>
          <cell r="C1986" t="str">
            <v>ENGINE SWITCH - ZC/EL RALLIART</v>
          </cell>
          <cell r="D1986">
            <v>52.82</v>
          </cell>
          <cell r="E1986">
            <v>88.95</v>
          </cell>
          <cell r="F1986">
            <v>4</v>
          </cell>
          <cell r="G1986">
            <v>0</v>
          </cell>
        </row>
        <row r="1987">
          <cell r="A1987" t="str">
            <v>MZ607348EX</v>
          </cell>
          <cell r="B1987" t="str">
            <v>Z</v>
          </cell>
          <cell r="C1987" t="str">
            <v>LIGHTS- UNDERDASH</v>
          </cell>
          <cell r="D1987">
            <v>62.97</v>
          </cell>
          <cell r="E1987">
            <v>104.95</v>
          </cell>
          <cell r="F1987">
            <v>0</v>
          </cell>
          <cell r="G1987">
            <v>0</v>
          </cell>
        </row>
        <row r="1988">
          <cell r="A1988" t="str">
            <v>MZ607384EX</v>
          </cell>
          <cell r="B1988" t="str">
            <v>D</v>
          </cell>
          <cell r="C1988" t="str">
            <v>HARNESS-REAR VIEW CAMERA</v>
          </cell>
          <cell r="D1988">
            <v>57.57</v>
          </cell>
          <cell r="E1988">
            <v>95.95</v>
          </cell>
          <cell r="F1988">
            <v>4</v>
          </cell>
          <cell r="G1988">
            <v>0</v>
          </cell>
        </row>
        <row r="1989">
          <cell r="A1989" t="str">
            <v>MZ607411EX</v>
          </cell>
          <cell r="B1989" t="str">
            <v>S</v>
          </cell>
          <cell r="C1989" t="str">
            <v>ADAPTER- IPOD</v>
          </cell>
          <cell r="D1989">
            <v>195.57</v>
          </cell>
          <cell r="E1989">
            <v>325.95</v>
          </cell>
          <cell r="F1989">
            <v>0</v>
          </cell>
          <cell r="G1989">
            <v>0</v>
          </cell>
        </row>
        <row r="1990">
          <cell r="A1990" t="str">
            <v>MZ607432EX</v>
          </cell>
          <cell r="B1990" t="str">
            <v>Z</v>
          </cell>
          <cell r="C1990" t="str">
            <v>COVER- REARVIEW CAMERA- X42</v>
          </cell>
          <cell r="D1990">
            <v>22.77</v>
          </cell>
          <cell r="E1990">
            <v>37.950000000000003</v>
          </cell>
          <cell r="F1990">
            <v>0</v>
          </cell>
          <cell r="G1990">
            <v>0</v>
          </cell>
        </row>
        <row r="1991">
          <cell r="A1991" t="str">
            <v>MZ607433EX</v>
          </cell>
          <cell r="B1991" t="str">
            <v>F</v>
          </cell>
          <cell r="C1991" t="str">
            <v>COVER- REARVIEW CAMERA A31</v>
          </cell>
          <cell r="D1991">
            <v>22.77</v>
          </cell>
          <cell r="E1991">
            <v>37.950000000000003</v>
          </cell>
          <cell r="F1991">
            <v>0</v>
          </cell>
          <cell r="G1991">
            <v>0</v>
          </cell>
        </row>
        <row r="1992">
          <cell r="A1992" t="str">
            <v>MZ607436EX</v>
          </cell>
          <cell r="B1992" t="str">
            <v>S</v>
          </cell>
          <cell r="C1992" t="str">
            <v>COVER- REARVIEW CAMERA D06</v>
          </cell>
          <cell r="D1992">
            <v>22.77</v>
          </cell>
          <cell r="E1992">
            <v>37.950000000000003</v>
          </cell>
          <cell r="F1992">
            <v>9</v>
          </cell>
          <cell r="G1992">
            <v>0</v>
          </cell>
        </row>
        <row r="1993">
          <cell r="A1993" t="str">
            <v>MZ607437EX</v>
          </cell>
          <cell r="B1993" t="str">
            <v>S</v>
          </cell>
          <cell r="C1993" t="str">
            <v>COVER- REARVIEW CAMERA A39</v>
          </cell>
          <cell r="D1993">
            <v>22.78</v>
          </cell>
          <cell r="E1993">
            <v>37.950000000000003</v>
          </cell>
          <cell r="F1993">
            <v>0</v>
          </cell>
          <cell r="G1993">
            <v>0</v>
          </cell>
        </row>
        <row r="1994">
          <cell r="A1994" t="str">
            <v>MZ607438EX</v>
          </cell>
          <cell r="B1994" t="str">
            <v>F</v>
          </cell>
          <cell r="C1994" t="str">
            <v>COVER- REARVIEW CAMERA A86</v>
          </cell>
          <cell r="D1994">
            <v>22.77</v>
          </cell>
          <cell r="E1994">
            <v>37.950000000000003</v>
          </cell>
          <cell r="F1994">
            <v>0</v>
          </cell>
          <cell r="G1994">
            <v>0</v>
          </cell>
        </row>
        <row r="1995">
          <cell r="A1995" t="str">
            <v>MZ607439EX</v>
          </cell>
          <cell r="B1995" t="str">
            <v>S</v>
          </cell>
          <cell r="C1995" t="str">
            <v>COVER- REARVIEW CAMERA P26</v>
          </cell>
          <cell r="D1995">
            <v>22.77</v>
          </cell>
          <cell r="E1995">
            <v>37.950000000000003</v>
          </cell>
          <cell r="F1995">
            <v>0</v>
          </cell>
          <cell r="G1995">
            <v>0</v>
          </cell>
        </row>
        <row r="1996">
          <cell r="A1996" t="str">
            <v>MZ607441EX</v>
          </cell>
          <cell r="B1996" t="str">
            <v>S</v>
          </cell>
          <cell r="C1996" t="str">
            <v>COVER- REARVIEW CAMERA W37</v>
          </cell>
          <cell r="D1996">
            <v>22.77</v>
          </cell>
          <cell r="E1996">
            <v>37.950000000000003</v>
          </cell>
          <cell r="F1996">
            <v>9</v>
          </cell>
          <cell r="G1996">
            <v>0</v>
          </cell>
        </row>
        <row r="1997">
          <cell r="A1997" t="str">
            <v>MZ607442EX</v>
          </cell>
          <cell r="B1997" t="str">
            <v>F</v>
          </cell>
          <cell r="C1997" t="str">
            <v>COVER- REARVIEW CAMERA M08</v>
          </cell>
          <cell r="D1997">
            <v>22.78</v>
          </cell>
          <cell r="E1997">
            <v>37.950000000000003</v>
          </cell>
          <cell r="F1997">
            <v>0</v>
          </cell>
          <cell r="G1997">
            <v>0</v>
          </cell>
        </row>
        <row r="1998">
          <cell r="A1998" t="str">
            <v>MZ607443EX</v>
          </cell>
          <cell r="B1998" t="str">
            <v>S</v>
          </cell>
          <cell r="C1998" t="str">
            <v>COVER- REARVIEW CAMERA U02</v>
          </cell>
          <cell r="D1998">
            <v>22.77</v>
          </cell>
          <cell r="E1998">
            <v>37.950000000000003</v>
          </cell>
          <cell r="F1998">
            <v>0</v>
          </cell>
          <cell r="G1998">
            <v>0</v>
          </cell>
        </row>
        <row r="1999">
          <cell r="A1999" t="str">
            <v>MZ607475EX</v>
          </cell>
          <cell r="B1999" t="str">
            <v>Q</v>
          </cell>
          <cell r="C1999" t="str">
            <v>CIGAR LIGHTER</v>
          </cell>
          <cell r="D1999">
            <v>32.97</v>
          </cell>
          <cell r="E1999">
            <v>54.95</v>
          </cell>
          <cell r="F1999">
            <v>14</v>
          </cell>
          <cell r="G1999">
            <v>0</v>
          </cell>
        </row>
        <row r="2000">
          <cell r="A2000" t="str">
            <v>MZ607609EX</v>
          </cell>
          <cell r="B2000" t="str">
            <v>U</v>
          </cell>
          <cell r="C2000" t="str">
            <v>PARK ASSIST- ECU</v>
          </cell>
          <cell r="D2000">
            <v>203.97</v>
          </cell>
          <cell r="E2000">
            <v>339.95</v>
          </cell>
          <cell r="F2000">
            <v>0</v>
          </cell>
          <cell r="G2000">
            <v>0</v>
          </cell>
        </row>
        <row r="2001">
          <cell r="A2001" t="str">
            <v>MZ607610EX</v>
          </cell>
          <cell r="B2001" t="str">
            <v>F</v>
          </cell>
          <cell r="C2001" t="str">
            <v>PARKING SENSOR FRONT SENSOR KIT</v>
          </cell>
          <cell r="D2001">
            <v>117.51</v>
          </cell>
          <cell r="E2001">
            <v>195.95</v>
          </cell>
          <cell r="F2001">
            <v>0</v>
          </cell>
          <cell r="G2001">
            <v>0</v>
          </cell>
        </row>
        <row r="2002">
          <cell r="A2002" t="str">
            <v>MZ607611EX</v>
          </cell>
          <cell r="B2002" t="str">
            <v>Q</v>
          </cell>
          <cell r="C2002" t="str">
            <v>SENSORS- PARK ASSIST- FRONT- W13 PW</v>
          </cell>
          <cell r="D2002">
            <v>125.97</v>
          </cell>
          <cell r="E2002">
            <v>209.95</v>
          </cell>
          <cell r="F2002">
            <v>3</v>
          </cell>
          <cell r="G2002">
            <v>0</v>
          </cell>
        </row>
        <row r="2003">
          <cell r="A2003" t="str">
            <v>MZ607612EX</v>
          </cell>
          <cell r="B2003" t="str">
            <v>S</v>
          </cell>
          <cell r="C2003" t="str">
            <v>SENSORS- PARK ASSIST- FRONT- A31 SILVER</v>
          </cell>
          <cell r="D2003">
            <v>125.97</v>
          </cell>
          <cell r="E2003">
            <v>209.95</v>
          </cell>
          <cell r="F2003">
            <v>0</v>
          </cell>
          <cell r="G2003">
            <v>0</v>
          </cell>
        </row>
        <row r="2004">
          <cell r="A2004" t="str">
            <v>MZ607613EX</v>
          </cell>
          <cell r="B2004" t="str">
            <v>Q</v>
          </cell>
          <cell r="C2004" t="str">
            <v>SENSORS- PARK ASSIST- FRONT- U17 GRAY</v>
          </cell>
          <cell r="D2004">
            <v>125.97</v>
          </cell>
          <cell r="E2004">
            <v>209.95</v>
          </cell>
          <cell r="F2004">
            <v>3</v>
          </cell>
          <cell r="G2004">
            <v>0</v>
          </cell>
        </row>
        <row r="2005">
          <cell r="A2005" t="str">
            <v>MZ607614EX</v>
          </cell>
          <cell r="B2005" t="str">
            <v>Q</v>
          </cell>
          <cell r="C2005" t="str">
            <v>SENSORS- PARK ASSIST- FRONT- X42 BLACK</v>
          </cell>
          <cell r="D2005">
            <v>125.97</v>
          </cell>
          <cell r="E2005">
            <v>209.95</v>
          </cell>
          <cell r="F2005">
            <v>1</v>
          </cell>
          <cell r="G2005">
            <v>0</v>
          </cell>
        </row>
        <row r="2006">
          <cell r="A2006" t="str">
            <v>MZ607615EX</v>
          </cell>
          <cell r="B2006" t="str">
            <v>S</v>
          </cell>
          <cell r="C2006" t="str">
            <v>SENSORS- PARK ASSIST- FRONT- D14 BLUE</v>
          </cell>
          <cell r="D2006">
            <v>125.97</v>
          </cell>
          <cell r="E2006">
            <v>209.95</v>
          </cell>
          <cell r="F2006">
            <v>0</v>
          </cell>
          <cell r="G2006">
            <v>0</v>
          </cell>
        </row>
        <row r="2007">
          <cell r="A2007" t="str">
            <v>MZ607616EX</v>
          </cell>
          <cell r="B2007" t="str">
            <v>S</v>
          </cell>
          <cell r="C2007" t="str">
            <v>SENSORS- PARK ASSIST- FRONT- P26 RED</v>
          </cell>
          <cell r="D2007">
            <v>117.57</v>
          </cell>
          <cell r="E2007">
            <v>195.95</v>
          </cell>
          <cell r="F2007">
            <v>2</v>
          </cell>
          <cell r="G2007">
            <v>0</v>
          </cell>
        </row>
        <row r="2008">
          <cell r="A2008" t="str">
            <v>MZ607617EX</v>
          </cell>
          <cell r="B2008" t="str">
            <v>Q</v>
          </cell>
          <cell r="C2008" t="str">
            <v>SENSORS- PARK ASSIST- FRONT- C06 BROWN</v>
          </cell>
          <cell r="D2008">
            <v>125.97</v>
          </cell>
          <cell r="E2008">
            <v>209.95</v>
          </cell>
          <cell r="F2008">
            <v>3</v>
          </cell>
          <cell r="G2008">
            <v>0</v>
          </cell>
        </row>
        <row r="2009">
          <cell r="A2009" t="str">
            <v>MZ607619EX</v>
          </cell>
          <cell r="B2009" t="str">
            <v>S</v>
          </cell>
          <cell r="C2009" t="str">
            <v>SENSORS- PARK ASSIST- REAR- W13 PW</v>
          </cell>
          <cell r="D2009">
            <v>260.37</v>
          </cell>
          <cell r="E2009">
            <v>433.95</v>
          </cell>
          <cell r="F2009">
            <v>0</v>
          </cell>
          <cell r="G2009">
            <v>0</v>
          </cell>
        </row>
        <row r="2010">
          <cell r="A2010" t="str">
            <v>MZ607620EX</v>
          </cell>
          <cell r="B2010" t="str">
            <v>Q</v>
          </cell>
          <cell r="C2010" t="str">
            <v>SENSORS- PARK ASSIST- REAR- A31 SILVER</v>
          </cell>
          <cell r="D2010">
            <v>260.37</v>
          </cell>
          <cell r="E2010">
            <v>433.95</v>
          </cell>
          <cell r="F2010">
            <v>4</v>
          </cell>
          <cell r="G2010">
            <v>0</v>
          </cell>
        </row>
        <row r="2011">
          <cell r="A2011" t="str">
            <v>MZ607621EX</v>
          </cell>
          <cell r="B2011" t="str">
            <v>S</v>
          </cell>
          <cell r="C2011" t="str">
            <v>SENSORS- PARK ASSIST- REAR- U17 GRAY</v>
          </cell>
          <cell r="D2011">
            <v>260.37</v>
          </cell>
          <cell r="E2011">
            <v>433.95</v>
          </cell>
          <cell r="F2011">
            <v>0</v>
          </cell>
          <cell r="G2011">
            <v>0</v>
          </cell>
        </row>
        <row r="2012">
          <cell r="A2012" t="str">
            <v>MZ607622EX</v>
          </cell>
          <cell r="B2012" t="str">
            <v>S</v>
          </cell>
          <cell r="C2012" t="str">
            <v>SENSORS- PARK ASSIST- REAR- X42 BLACK</v>
          </cell>
          <cell r="D2012">
            <v>260.37</v>
          </cell>
          <cell r="E2012">
            <v>433.95</v>
          </cell>
          <cell r="F2012">
            <v>0</v>
          </cell>
          <cell r="G2012">
            <v>0</v>
          </cell>
        </row>
        <row r="2013">
          <cell r="A2013" t="str">
            <v>MZ607623EX</v>
          </cell>
          <cell r="B2013" t="str">
            <v>S</v>
          </cell>
          <cell r="C2013" t="str">
            <v>SENSORS- PARK ASSIST- REAR- D14 BLUE</v>
          </cell>
          <cell r="D2013">
            <v>260.37</v>
          </cell>
          <cell r="E2013">
            <v>433.95</v>
          </cell>
          <cell r="F2013">
            <v>0</v>
          </cell>
          <cell r="G2013">
            <v>0</v>
          </cell>
        </row>
        <row r="2014">
          <cell r="A2014" t="str">
            <v>MZ607624EX</v>
          </cell>
          <cell r="B2014" t="str">
            <v>Q</v>
          </cell>
          <cell r="C2014" t="str">
            <v>SENSORS- PARK ASSIST- REAR- P26 RED</v>
          </cell>
          <cell r="D2014">
            <v>260.37</v>
          </cell>
          <cell r="E2014">
            <v>433.95</v>
          </cell>
          <cell r="F2014">
            <v>2</v>
          </cell>
          <cell r="G2014">
            <v>0</v>
          </cell>
        </row>
        <row r="2015">
          <cell r="A2015" t="str">
            <v>MZ607625EX</v>
          </cell>
          <cell r="B2015" t="str">
            <v>S</v>
          </cell>
          <cell r="C2015" t="str">
            <v>SENSORS- PARK ASSIST- REAR- C06 BROWN</v>
          </cell>
          <cell r="D2015">
            <v>260.37</v>
          </cell>
          <cell r="E2015">
            <v>433.95</v>
          </cell>
          <cell r="F2015">
            <v>0</v>
          </cell>
          <cell r="G2015">
            <v>0</v>
          </cell>
        </row>
        <row r="2016">
          <cell r="A2016" t="str">
            <v>MZ607626EX</v>
          </cell>
          <cell r="B2016" t="str">
            <v>F</v>
          </cell>
          <cell r="C2016" t="str">
            <v>FR PARK ASSIST SENSOR KIT,A31</v>
          </cell>
          <cell r="D2016">
            <v>0.01</v>
          </cell>
          <cell r="E2016">
            <v>0</v>
          </cell>
          <cell r="F2016">
            <v>0</v>
          </cell>
          <cell r="G2016">
            <v>0</v>
          </cell>
        </row>
        <row r="2017">
          <cell r="A2017" t="str">
            <v>MZ607627EX</v>
          </cell>
          <cell r="B2017" t="str">
            <v>D</v>
          </cell>
          <cell r="C2017" t="str">
            <v>FR PARK ASSIST SENSOR KIT,X40</v>
          </cell>
          <cell r="D2017">
            <v>125.97</v>
          </cell>
          <cell r="E2017">
            <v>209.95</v>
          </cell>
          <cell r="F2017">
            <v>10</v>
          </cell>
          <cell r="G2017">
            <v>0</v>
          </cell>
        </row>
        <row r="2018">
          <cell r="A2018" t="str">
            <v>MZ607643EX</v>
          </cell>
          <cell r="B2018" t="str">
            <v>D</v>
          </cell>
          <cell r="C2018" t="str">
            <v>FRONT PARK ASSIST SENSORS,U25</v>
          </cell>
          <cell r="D2018">
            <v>125.97</v>
          </cell>
          <cell r="E2018">
            <v>209.95</v>
          </cell>
          <cell r="F2018">
            <v>5</v>
          </cell>
          <cell r="G2018">
            <v>0</v>
          </cell>
        </row>
        <row r="2019">
          <cell r="A2019" t="str">
            <v>MZ607644EX</v>
          </cell>
          <cell r="B2019" t="str">
            <v>D</v>
          </cell>
          <cell r="C2019" t="str">
            <v>REAR PARK ASSIST SENSORS,U25</v>
          </cell>
          <cell r="D2019">
            <v>260.37</v>
          </cell>
          <cell r="E2019">
            <v>433.95</v>
          </cell>
          <cell r="F2019">
            <v>4</v>
          </cell>
          <cell r="G2019">
            <v>0</v>
          </cell>
        </row>
        <row r="2020">
          <cell r="A2020" t="str">
            <v>MZ607645EX</v>
          </cell>
          <cell r="B2020" t="str">
            <v>U</v>
          </cell>
          <cell r="C2020" t="str">
            <v>PARK ASSIST- ECU</v>
          </cell>
          <cell r="D2020">
            <v>203.97</v>
          </cell>
          <cell r="E2020">
            <v>339.95</v>
          </cell>
          <cell r="F2020">
            <v>0</v>
          </cell>
          <cell r="G2020">
            <v>0</v>
          </cell>
        </row>
        <row r="2021">
          <cell r="A2021" t="str">
            <v>MZ607646EX</v>
          </cell>
          <cell r="B2021" t="str">
            <v>Q</v>
          </cell>
          <cell r="C2021" t="str">
            <v>PARKING SENSOR ECU KIT</v>
          </cell>
          <cell r="D2021">
            <v>203.97</v>
          </cell>
          <cell r="E2021">
            <v>339.95</v>
          </cell>
          <cell r="F2021">
            <v>8</v>
          </cell>
          <cell r="G2021">
            <v>0</v>
          </cell>
        </row>
        <row r="2022">
          <cell r="A2022" t="str">
            <v>MZ607650EX</v>
          </cell>
          <cell r="B2022" t="str">
            <v>F</v>
          </cell>
          <cell r="C2022" t="str">
            <v>PARK SENSOR REAR KIT WHITE SOLID (W37)</v>
          </cell>
          <cell r="D2022">
            <v>242.97</v>
          </cell>
          <cell r="E2022">
            <v>404.95</v>
          </cell>
          <cell r="F2022">
            <v>0</v>
          </cell>
          <cell r="G2022">
            <v>0</v>
          </cell>
        </row>
        <row r="2023">
          <cell r="A2023" t="str">
            <v>MZ607651EX</v>
          </cell>
          <cell r="B2023" t="str">
            <v>F</v>
          </cell>
          <cell r="C2023" t="str">
            <v>PARK SENSOR REAR KIT WHITE PEARL (W13)</v>
          </cell>
          <cell r="D2023">
            <v>242.97</v>
          </cell>
          <cell r="E2023">
            <v>404.95</v>
          </cell>
          <cell r="F2023">
            <v>0</v>
          </cell>
          <cell r="G2023">
            <v>0</v>
          </cell>
        </row>
        <row r="2024">
          <cell r="A2024" t="str">
            <v>MZ607652EX</v>
          </cell>
          <cell r="B2024" t="str">
            <v>F</v>
          </cell>
          <cell r="C2024" t="str">
            <v>PARK SENSOR REAR KIT COOL SILVER METARIC (A31)</v>
          </cell>
          <cell r="D2024">
            <v>242.97</v>
          </cell>
          <cell r="E2024">
            <v>404.95</v>
          </cell>
          <cell r="F2024">
            <v>0</v>
          </cell>
          <cell r="G2024">
            <v>0</v>
          </cell>
        </row>
        <row r="2025">
          <cell r="A2025" t="str">
            <v>MZ607653EX</v>
          </cell>
          <cell r="B2025" t="str">
            <v>S</v>
          </cell>
          <cell r="C2025" t="str">
            <v>PARK SENSOR REAR KIT TITANIUM GRAY METARIC (U17)</v>
          </cell>
          <cell r="D2025">
            <v>260.37</v>
          </cell>
          <cell r="E2025">
            <v>433.95</v>
          </cell>
          <cell r="F2025">
            <v>1</v>
          </cell>
          <cell r="G2025">
            <v>0</v>
          </cell>
        </row>
        <row r="2026">
          <cell r="A2026" t="str">
            <v>MZ607654EX</v>
          </cell>
          <cell r="B2026" t="str">
            <v>S</v>
          </cell>
          <cell r="C2026" t="str">
            <v>PARK SENSOR REAR KIT BLACK MICA (X42)</v>
          </cell>
          <cell r="D2026">
            <v>242.97</v>
          </cell>
          <cell r="E2026">
            <v>404.95</v>
          </cell>
          <cell r="F2026">
            <v>0</v>
          </cell>
          <cell r="G2026">
            <v>0</v>
          </cell>
        </row>
        <row r="2027">
          <cell r="A2027" t="str">
            <v>MZ607663EX</v>
          </cell>
          <cell r="B2027" t="str">
            <v>F</v>
          </cell>
          <cell r="C2027" t="str">
            <v>PARK SENSOR REAR KIT COSMIC BLUE MICA (D14)</v>
          </cell>
          <cell r="D2027">
            <v>242.97</v>
          </cell>
          <cell r="E2027">
            <v>404.95</v>
          </cell>
          <cell r="F2027">
            <v>0</v>
          </cell>
          <cell r="G2027">
            <v>0</v>
          </cell>
        </row>
        <row r="2028">
          <cell r="A2028" t="str">
            <v>MZ607664EX</v>
          </cell>
          <cell r="B2028" t="str">
            <v>F</v>
          </cell>
          <cell r="C2028" t="str">
            <v>PARK SENSOR REAR KIT RED METARIC (P26)</v>
          </cell>
          <cell r="D2028">
            <v>242.97</v>
          </cell>
          <cell r="E2028">
            <v>404.95</v>
          </cell>
          <cell r="F2028">
            <v>0</v>
          </cell>
          <cell r="G2028">
            <v>0</v>
          </cell>
        </row>
        <row r="2029">
          <cell r="A2029" t="str">
            <v>MZ607665EX</v>
          </cell>
          <cell r="B2029" t="str">
            <v>U</v>
          </cell>
          <cell r="C2029" t="str">
            <v>PARK SENSOR REAR KIT QUARTZ BROWN METARIC (C06)</v>
          </cell>
          <cell r="D2029">
            <v>260.37</v>
          </cell>
          <cell r="E2029">
            <v>433.95</v>
          </cell>
          <cell r="F2029">
            <v>0</v>
          </cell>
          <cell r="G2029">
            <v>0</v>
          </cell>
        </row>
        <row r="2030">
          <cell r="A2030" t="str">
            <v>MZ607666EX</v>
          </cell>
          <cell r="B2030" t="str">
            <v>F</v>
          </cell>
          <cell r="C2030" t="str">
            <v>PARK ASSIST SENSORS,A31</v>
          </cell>
          <cell r="D2030">
            <v>0.01</v>
          </cell>
          <cell r="E2030">
            <v>0</v>
          </cell>
          <cell r="F2030">
            <v>0</v>
          </cell>
          <cell r="G2030">
            <v>0</v>
          </cell>
        </row>
        <row r="2031">
          <cell r="A2031" t="str">
            <v>MZ607667EX</v>
          </cell>
          <cell r="B2031" t="str">
            <v>F</v>
          </cell>
          <cell r="C2031" t="str">
            <v>PARK ASSIST SENSORS,X40</v>
          </cell>
          <cell r="D2031">
            <v>0.01</v>
          </cell>
          <cell r="E2031">
            <v>0</v>
          </cell>
          <cell r="F2031">
            <v>0</v>
          </cell>
          <cell r="G2031">
            <v>0</v>
          </cell>
        </row>
        <row r="2032">
          <cell r="A2032" t="str">
            <v>MZ607686EX</v>
          </cell>
          <cell r="B2032" t="str">
            <v>F</v>
          </cell>
          <cell r="C2032" t="str">
            <v>PARK SENSOR REAR KIT WHITE SOLID (W37)</v>
          </cell>
          <cell r="D2032">
            <v>242.97</v>
          </cell>
          <cell r="E2032">
            <v>404.95</v>
          </cell>
          <cell r="F2032">
            <v>0</v>
          </cell>
          <cell r="G2032">
            <v>0</v>
          </cell>
        </row>
        <row r="2033">
          <cell r="A2033" t="str">
            <v>MZ607687EX</v>
          </cell>
          <cell r="B2033" t="str">
            <v>Q</v>
          </cell>
          <cell r="C2033" t="str">
            <v>PARK SENSOR REAR KIT WHITE PEARL (W13)</v>
          </cell>
          <cell r="D2033">
            <v>260.37</v>
          </cell>
          <cell r="E2033">
            <v>433.95</v>
          </cell>
          <cell r="F2033">
            <v>6</v>
          </cell>
          <cell r="G2033">
            <v>0</v>
          </cell>
        </row>
        <row r="2034">
          <cell r="A2034" t="str">
            <v>MZ607688EX</v>
          </cell>
          <cell r="B2034" t="str">
            <v>S</v>
          </cell>
          <cell r="C2034" t="str">
            <v>PARK SENSOR REAR KIT COOL SILVER METARIC (A31)</v>
          </cell>
          <cell r="D2034">
            <v>242.97</v>
          </cell>
          <cell r="E2034">
            <v>404.95</v>
          </cell>
          <cell r="F2034">
            <v>0</v>
          </cell>
          <cell r="G2034">
            <v>0</v>
          </cell>
        </row>
        <row r="2035">
          <cell r="A2035" t="str">
            <v>MZ607689EX</v>
          </cell>
          <cell r="B2035" t="str">
            <v>Q</v>
          </cell>
          <cell r="C2035" t="str">
            <v>PARK SENSOR REAR KIT TITANIUM GRAY METARIC (U17)</v>
          </cell>
          <cell r="D2035">
            <v>260.37</v>
          </cell>
          <cell r="E2035">
            <v>433.95</v>
          </cell>
          <cell r="F2035">
            <v>3</v>
          </cell>
          <cell r="G2035">
            <v>0</v>
          </cell>
        </row>
        <row r="2036">
          <cell r="A2036" t="str">
            <v>MZ607690EX</v>
          </cell>
          <cell r="B2036" t="str">
            <v>Q</v>
          </cell>
          <cell r="C2036" t="str">
            <v>PARK SENSOR REAR KIT BLACK MICA (X42)</v>
          </cell>
          <cell r="D2036">
            <v>260.37</v>
          </cell>
          <cell r="E2036">
            <v>433.95</v>
          </cell>
          <cell r="F2036">
            <v>5</v>
          </cell>
          <cell r="G2036">
            <v>0</v>
          </cell>
        </row>
        <row r="2037">
          <cell r="A2037" t="str">
            <v>MZ607691EX</v>
          </cell>
          <cell r="B2037" t="str">
            <v>S</v>
          </cell>
          <cell r="C2037" t="str">
            <v>PARK SENSOR REAR KIT COSMIC BLUE MICA (D14)</v>
          </cell>
          <cell r="D2037">
            <v>242.97</v>
          </cell>
          <cell r="E2037">
            <v>404.95</v>
          </cell>
          <cell r="F2037">
            <v>0</v>
          </cell>
          <cell r="G2037">
            <v>0</v>
          </cell>
        </row>
        <row r="2038">
          <cell r="A2038" t="str">
            <v>MZ607692EX</v>
          </cell>
          <cell r="B2038" t="str">
            <v>Q</v>
          </cell>
          <cell r="C2038" t="str">
            <v>PARK SENSOR REAR KIT RED METARIC (P26)</v>
          </cell>
          <cell r="D2038">
            <v>242.97</v>
          </cell>
          <cell r="E2038">
            <v>404.95</v>
          </cell>
          <cell r="F2038">
            <v>3</v>
          </cell>
          <cell r="G2038">
            <v>0</v>
          </cell>
        </row>
        <row r="2039">
          <cell r="A2039" t="str">
            <v>MZ607693EX</v>
          </cell>
          <cell r="B2039" t="str">
            <v>Q</v>
          </cell>
          <cell r="C2039" t="str">
            <v>PARK SENSOR REAR KIT QUARTZ BROWN METARIC (C06)</v>
          </cell>
          <cell r="D2039">
            <v>260.37</v>
          </cell>
          <cell r="E2039">
            <v>433.95</v>
          </cell>
          <cell r="F2039">
            <v>5</v>
          </cell>
          <cell r="G2039">
            <v>0</v>
          </cell>
        </row>
        <row r="2040">
          <cell r="A2040" t="str">
            <v>MZ607694EX</v>
          </cell>
          <cell r="B2040" t="str">
            <v>D</v>
          </cell>
          <cell r="C2040" t="str">
            <v>PARKING SENSOR REAR SENSOR KIT</v>
          </cell>
          <cell r="D2040">
            <v>260.37</v>
          </cell>
          <cell r="E2040">
            <v>433.95</v>
          </cell>
          <cell r="F2040">
            <v>10</v>
          </cell>
          <cell r="G2040">
            <v>0</v>
          </cell>
        </row>
        <row r="2041">
          <cell r="A2041" t="str">
            <v>MZ607700EX</v>
          </cell>
          <cell r="B2041" t="str">
            <v>F</v>
          </cell>
          <cell r="C2041" t="str">
            <v>PARK ASSIST SENSORS,W13</v>
          </cell>
          <cell r="D2041">
            <v>358.45</v>
          </cell>
          <cell r="E2041">
            <v>597.41999999999996</v>
          </cell>
          <cell r="F2041">
            <v>0</v>
          </cell>
          <cell r="G2041">
            <v>0</v>
          </cell>
        </row>
        <row r="2042">
          <cell r="A2042" t="str">
            <v>MZ607701EX</v>
          </cell>
          <cell r="B2042" t="str">
            <v>F</v>
          </cell>
          <cell r="C2042" t="str">
            <v>PARK ASSIST SENSORS,U25</v>
          </cell>
          <cell r="D2042">
            <v>322.77</v>
          </cell>
          <cell r="E2042">
            <v>537.95000000000005</v>
          </cell>
          <cell r="F2042">
            <v>0</v>
          </cell>
          <cell r="G2042">
            <v>0</v>
          </cell>
        </row>
        <row r="2043">
          <cell r="A2043" t="str">
            <v>MZ607702EX</v>
          </cell>
          <cell r="B2043" t="str">
            <v>S</v>
          </cell>
          <cell r="C2043" t="str">
            <v>PARK ASSIST SENSORS,X42</v>
          </cell>
          <cell r="D2043">
            <v>358.45</v>
          </cell>
          <cell r="E2043">
            <v>597.95000000000005</v>
          </cell>
          <cell r="F2043">
            <v>0</v>
          </cell>
          <cell r="G2043">
            <v>0</v>
          </cell>
        </row>
        <row r="2044">
          <cell r="A2044" t="str">
            <v>MZ607703EX</v>
          </cell>
          <cell r="B2044" t="str">
            <v>F</v>
          </cell>
          <cell r="C2044" t="str">
            <v>PARK ASSIST SENSORS,P26</v>
          </cell>
          <cell r="D2044">
            <v>322.77</v>
          </cell>
          <cell r="E2044">
            <v>537.95000000000005</v>
          </cell>
          <cell r="F2044">
            <v>0</v>
          </cell>
          <cell r="G2044">
            <v>0</v>
          </cell>
        </row>
        <row r="2045">
          <cell r="A2045" t="str">
            <v>MZ607704EX</v>
          </cell>
          <cell r="B2045" t="str">
            <v>F</v>
          </cell>
          <cell r="C2045" t="str">
            <v>PARK ASSIST SENSORS,U17</v>
          </cell>
          <cell r="D2045">
            <v>322.77</v>
          </cell>
          <cell r="E2045">
            <v>537.95000000000005</v>
          </cell>
          <cell r="F2045">
            <v>0</v>
          </cell>
          <cell r="G2045">
            <v>0</v>
          </cell>
        </row>
        <row r="2046">
          <cell r="A2046" t="str">
            <v>MZ607705EX</v>
          </cell>
          <cell r="B2046" t="str">
            <v>F</v>
          </cell>
          <cell r="C2046" t="str">
            <v>PARK ASSIST SENSORS,D06</v>
          </cell>
          <cell r="D2046">
            <v>322.77</v>
          </cell>
          <cell r="E2046">
            <v>537.95000000000005</v>
          </cell>
          <cell r="F2046">
            <v>0</v>
          </cell>
          <cell r="G2046">
            <v>0</v>
          </cell>
        </row>
        <row r="2047">
          <cell r="A2047" t="str">
            <v>MZ607706EX</v>
          </cell>
          <cell r="B2047" t="str">
            <v>S</v>
          </cell>
          <cell r="C2047" t="str">
            <v>PARK ASSIST SENSORS,C06</v>
          </cell>
          <cell r="D2047">
            <v>352.06</v>
          </cell>
          <cell r="E2047">
            <v>586.95000000000005</v>
          </cell>
          <cell r="F2047">
            <v>0</v>
          </cell>
          <cell r="G2047">
            <v>0</v>
          </cell>
        </row>
        <row r="2048">
          <cell r="A2048" t="str">
            <v>MZ607718EX</v>
          </cell>
          <cell r="B2048" t="str">
            <v>D</v>
          </cell>
          <cell r="C2048" t="str">
            <v>PARKING SENSOR FRONT KIT DIAMO</v>
          </cell>
          <cell r="D2048">
            <v>125.97</v>
          </cell>
          <cell r="E2048">
            <v>209.95</v>
          </cell>
          <cell r="F2048">
            <v>3</v>
          </cell>
          <cell r="G2048">
            <v>0</v>
          </cell>
        </row>
        <row r="2049">
          <cell r="A2049" t="str">
            <v>MZ607719EX</v>
          </cell>
          <cell r="B2049" t="str">
            <v>S</v>
          </cell>
          <cell r="C2049" t="str">
            <v>PARK SENSOR REAR KIT DIAMOND R</v>
          </cell>
          <cell r="D2049">
            <v>260.37</v>
          </cell>
          <cell r="E2049">
            <v>433.95</v>
          </cell>
          <cell r="F2049">
            <v>0</v>
          </cell>
          <cell r="G2049">
            <v>0</v>
          </cell>
        </row>
        <row r="2050">
          <cell r="A2050" t="str">
            <v>MZ607749EX</v>
          </cell>
          <cell r="B2050" t="str">
            <v>S</v>
          </cell>
          <cell r="C2050" t="str">
            <v>FRONT AND REAR PARK SENSOR</v>
          </cell>
          <cell r="D2050">
            <v>478.17</v>
          </cell>
          <cell r="E2050">
            <v>796.95</v>
          </cell>
          <cell r="F2050">
            <v>0</v>
          </cell>
          <cell r="G2050">
            <v>0</v>
          </cell>
        </row>
        <row r="2051">
          <cell r="A2051" t="str">
            <v>MZ607750EX</v>
          </cell>
          <cell r="B2051" t="str">
            <v>S</v>
          </cell>
          <cell r="C2051" t="str">
            <v>FRONT AND REAR PARK SENSOR</v>
          </cell>
          <cell r="D2051">
            <v>478.17</v>
          </cell>
          <cell r="E2051">
            <v>796.95</v>
          </cell>
          <cell r="F2051">
            <v>0</v>
          </cell>
          <cell r="G2051">
            <v>0</v>
          </cell>
        </row>
        <row r="2052">
          <cell r="A2052" t="str">
            <v>MZ607751EX</v>
          </cell>
          <cell r="B2052" t="str">
            <v>S</v>
          </cell>
          <cell r="C2052" t="str">
            <v>FRONT AND REAR PARK SENSOR</v>
          </cell>
          <cell r="D2052">
            <v>478.17</v>
          </cell>
          <cell r="E2052">
            <v>796.95</v>
          </cell>
          <cell r="F2052">
            <v>0</v>
          </cell>
          <cell r="G2052">
            <v>0</v>
          </cell>
        </row>
        <row r="2053">
          <cell r="A2053" t="str">
            <v>MZ607752EX</v>
          </cell>
          <cell r="B2053" t="str">
            <v>S</v>
          </cell>
          <cell r="C2053" t="str">
            <v>FRONT AND REAR PARK SENSOR</v>
          </cell>
          <cell r="D2053">
            <v>478.17</v>
          </cell>
          <cell r="E2053">
            <v>796.95</v>
          </cell>
          <cell r="F2053">
            <v>0</v>
          </cell>
          <cell r="G2053">
            <v>0</v>
          </cell>
        </row>
        <row r="2054">
          <cell r="A2054" t="str">
            <v>MZ607753EX</v>
          </cell>
          <cell r="B2054" t="str">
            <v>F</v>
          </cell>
          <cell r="C2054" t="str">
            <v>FRONT AND REAR PARK SENSOR</v>
          </cell>
          <cell r="D2054">
            <v>478.17</v>
          </cell>
          <cell r="E2054">
            <v>796.95</v>
          </cell>
          <cell r="F2054">
            <v>0</v>
          </cell>
          <cell r="G2054">
            <v>0</v>
          </cell>
        </row>
        <row r="2055">
          <cell r="A2055" t="str">
            <v>MZ607754EX</v>
          </cell>
          <cell r="B2055" t="str">
            <v>F</v>
          </cell>
          <cell r="C2055" t="str">
            <v>FRONT AND REAR PARK SENSOR</v>
          </cell>
          <cell r="D2055">
            <v>478.17</v>
          </cell>
          <cell r="E2055">
            <v>796.95</v>
          </cell>
          <cell r="F2055">
            <v>0</v>
          </cell>
          <cell r="G2055">
            <v>0</v>
          </cell>
        </row>
        <row r="2056">
          <cell r="A2056" t="str">
            <v>MZ607755EX</v>
          </cell>
          <cell r="B2056" t="str">
            <v>S</v>
          </cell>
          <cell r="C2056" t="str">
            <v>FRONT AND REAR PARK SENSOR</v>
          </cell>
          <cell r="D2056">
            <v>478.17</v>
          </cell>
          <cell r="E2056">
            <v>796.95</v>
          </cell>
          <cell r="F2056">
            <v>0</v>
          </cell>
          <cell r="G2056">
            <v>0</v>
          </cell>
        </row>
        <row r="2057">
          <cell r="A2057" t="str">
            <v>MZ607756EX</v>
          </cell>
          <cell r="B2057" t="str">
            <v>S</v>
          </cell>
          <cell r="C2057" t="str">
            <v>FRONT AND REAR PARK SENSOR</v>
          </cell>
          <cell r="D2057">
            <v>478.17</v>
          </cell>
          <cell r="E2057">
            <v>796.95</v>
          </cell>
          <cell r="F2057">
            <v>0</v>
          </cell>
          <cell r="G2057">
            <v>0</v>
          </cell>
        </row>
        <row r="2058">
          <cell r="A2058" t="str">
            <v>MZ607757EX</v>
          </cell>
          <cell r="B2058" t="str">
            <v>F</v>
          </cell>
          <cell r="C2058" t="str">
            <v>FRONT AND REAR PARK SENSOR</v>
          </cell>
          <cell r="D2058">
            <v>478.17</v>
          </cell>
          <cell r="E2058">
            <v>796.95</v>
          </cell>
          <cell r="F2058">
            <v>1</v>
          </cell>
          <cell r="G2058">
            <v>0</v>
          </cell>
        </row>
        <row r="2059">
          <cell r="A2059" t="str">
            <v>MZ607758EX</v>
          </cell>
          <cell r="B2059" t="str">
            <v>Q</v>
          </cell>
          <cell r="C2059" t="str">
            <v>PARK SENSOR SW KIT</v>
          </cell>
          <cell r="D2059">
            <v>301.77</v>
          </cell>
          <cell r="E2059">
            <v>502.95</v>
          </cell>
          <cell r="F2059">
            <v>5</v>
          </cell>
          <cell r="G2059">
            <v>0</v>
          </cell>
        </row>
        <row r="2060">
          <cell r="A2060" t="str">
            <v>MZ607759EX</v>
          </cell>
          <cell r="B2060" t="str">
            <v>Q</v>
          </cell>
          <cell r="C2060" t="str">
            <v>REAR PARKING ASSISTANCE WHITE</v>
          </cell>
          <cell r="D2060">
            <v>303.39999999999998</v>
          </cell>
          <cell r="E2060">
            <v>505.95</v>
          </cell>
          <cell r="F2060">
            <v>1</v>
          </cell>
          <cell r="G2060">
            <v>0</v>
          </cell>
        </row>
        <row r="2061">
          <cell r="A2061" t="str">
            <v>MZ607760EX</v>
          </cell>
          <cell r="B2061" t="str">
            <v>S</v>
          </cell>
          <cell r="C2061" t="str">
            <v>REAR PARKING ASSISTANCE STERLI</v>
          </cell>
          <cell r="D2061">
            <v>321.60000000000002</v>
          </cell>
          <cell r="E2061">
            <v>536.95000000000005</v>
          </cell>
          <cell r="F2061">
            <v>0</v>
          </cell>
          <cell r="G2061">
            <v>0</v>
          </cell>
        </row>
        <row r="2062">
          <cell r="A2062" t="str">
            <v>MZ607761EX</v>
          </cell>
          <cell r="B2062" t="str">
            <v>S</v>
          </cell>
          <cell r="C2062" t="str">
            <v>REAR PARKING ASSISTANCE BLACK</v>
          </cell>
          <cell r="D2062">
            <v>303.39</v>
          </cell>
          <cell r="E2062">
            <v>505.95</v>
          </cell>
          <cell r="F2062">
            <v>0</v>
          </cell>
          <cell r="G2062">
            <v>0</v>
          </cell>
        </row>
        <row r="2063">
          <cell r="A2063" t="str">
            <v>MZ607762EX</v>
          </cell>
          <cell r="B2063" t="str">
            <v>S</v>
          </cell>
          <cell r="C2063" t="str">
            <v>REAR PARKING ASSISTANCE TITANI</v>
          </cell>
          <cell r="D2063">
            <v>321.60000000000002</v>
          </cell>
          <cell r="E2063">
            <v>536.95000000000005</v>
          </cell>
          <cell r="F2063">
            <v>0</v>
          </cell>
          <cell r="G2063">
            <v>0</v>
          </cell>
        </row>
        <row r="2064">
          <cell r="A2064" t="str">
            <v>MZ607763EX</v>
          </cell>
          <cell r="B2064" t="str">
            <v>F</v>
          </cell>
          <cell r="C2064" t="str">
            <v>REAR PARKING ASSISTANCE SPORTY</v>
          </cell>
          <cell r="D2064">
            <v>303.39999999999998</v>
          </cell>
          <cell r="E2064">
            <v>505.67</v>
          </cell>
          <cell r="F2064">
            <v>0</v>
          </cell>
          <cell r="G2064">
            <v>0</v>
          </cell>
        </row>
        <row r="2065">
          <cell r="A2065" t="str">
            <v>MZ607764EX</v>
          </cell>
          <cell r="B2065" t="str">
            <v>F</v>
          </cell>
          <cell r="C2065" t="str">
            <v>REAR PARKING ASSISTANCE RED DI</v>
          </cell>
          <cell r="D2065">
            <v>303.39999999999998</v>
          </cell>
          <cell r="E2065">
            <v>505.67</v>
          </cell>
          <cell r="F2065">
            <v>0</v>
          </cell>
          <cell r="G2065">
            <v>0</v>
          </cell>
        </row>
        <row r="2066">
          <cell r="A2066" t="str">
            <v>MZ607765EX</v>
          </cell>
          <cell r="B2066" t="str">
            <v>S</v>
          </cell>
          <cell r="C2066" t="str">
            <v>REAR PARKING ASSISTANCE BRIGHT</v>
          </cell>
          <cell r="D2066">
            <v>321.60000000000002</v>
          </cell>
          <cell r="E2066">
            <v>536.95000000000005</v>
          </cell>
          <cell r="F2066">
            <v>0</v>
          </cell>
          <cell r="G2066">
            <v>0</v>
          </cell>
        </row>
        <row r="2067">
          <cell r="A2067" t="str">
            <v>MZ607766EX</v>
          </cell>
          <cell r="B2067" t="str">
            <v>S</v>
          </cell>
          <cell r="C2067" t="str">
            <v>REAR PARKING ASSISTANCE OAK BR</v>
          </cell>
          <cell r="D2067">
            <v>321.60000000000002</v>
          </cell>
          <cell r="E2067">
            <v>536.95000000000005</v>
          </cell>
          <cell r="F2067">
            <v>0</v>
          </cell>
          <cell r="G2067">
            <v>0</v>
          </cell>
        </row>
        <row r="2068">
          <cell r="A2068" t="str">
            <v>MZ607776EX</v>
          </cell>
          <cell r="B2068" t="str">
            <v>F</v>
          </cell>
          <cell r="C2068" t="str">
            <v>REAR PARKING ASSISTANCE</v>
          </cell>
          <cell r="D2068">
            <v>343.77</v>
          </cell>
          <cell r="E2068">
            <v>572.95000000000005</v>
          </cell>
          <cell r="F2068">
            <v>2</v>
          </cell>
          <cell r="G2068">
            <v>0</v>
          </cell>
        </row>
        <row r="2069">
          <cell r="A2069" t="str">
            <v>MZ607779EX</v>
          </cell>
          <cell r="B2069" t="str">
            <v>Q</v>
          </cell>
          <cell r="C2069" t="str">
            <v>PARK SENSOR KIT, JET BLACK X37</v>
          </cell>
          <cell r="D2069">
            <v>455.97</v>
          </cell>
          <cell r="E2069">
            <v>759.95</v>
          </cell>
          <cell r="F2069">
            <v>0</v>
          </cell>
          <cell r="G2069">
            <v>0</v>
          </cell>
        </row>
        <row r="2070">
          <cell r="A2070" t="str">
            <v>MZ607780EX</v>
          </cell>
          <cell r="B2070" t="str">
            <v>Q</v>
          </cell>
          <cell r="C2070" t="str">
            <v>PARK SENSOR KIT, GRAPHIE GREY</v>
          </cell>
          <cell r="D2070">
            <v>475.77</v>
          </cell>
          <cell r="E2070">
            <v>792.95</v>
          </cell>
          <cell r="F2070">
            <v>0</v>
          </cell>
          <cell r="G2070">
            <v>0</v>
          </cell>
        </row>
        <row r="2071">
          <cell r="A2071" t="str">
            <v>MZ690193</v>
          </cell>
          <cell r="B2071" t="str">
            <v>U</v>
          </cell>
          <cell r="C2071" t="str">
            <v>ELEMENT-AIR CLEANER</v>
          </cell>
          <cell r="D2071">
            <v>33.880000000000003</v>
          </cell>
          <cell r="E2071">
            <v>48.4</v>
          </cell>
          <cell r="F2071">
            <v>0</v>
          </cell>
          <cell r="G2071">
            <v>0</v>
          </cell>
        </row>
        <row r="2072">
          <cell r="A2072" t="str">
            <v>MZ690194</v>
          </cell>
          <cell r="B2072" t="str">
            <v>E</v>
          </cell>
          <cell r="C2072" t="str">
            <v>ELEMENT-AIR CLEANER</v>
          </cell>
          <cell r="D2072">
            <v>36.69</v>
          </cell>
          <cell r="E2072">
            <v>52.95</v>
          </cell>
          <cell r="F2072">
            <v>1</v>
          </cell>
          <cell r="G2072">
            <v>0</v>
          </cell>
        </row>
        <row r="2073">
          <cell r="A2073" t="str">
            <v>MZ690196</v>
          </cell>
          <cell r="B2073" t="str">
            <v>D</v>
          </cell>
          <cell r="C2073" t="str">
            <v>ELEMENT-AIR CLEANER</v>
          </cell>
          <cell r="D2073">
            <v>38.36</v>
          </cell>
          <cell r="E2073">
            <v>54.95</v>
          </cell>
          <cell r="F2073">
            <v>6</v>
          </cell>
          <cell r="G2073">
            <v>0</v>
          </cell>
        </row>
        <row r="2074">
          <cell r="A2074" t="str">
            <v>MZ690198</v>
          </cell>
          <cell r="B2074" t="str">
            <v>Z</v>
          </cell>
          <cell r="C2074" t="str">
            <v>ELEMENT-AIR CLEANER</v>
          </cell>
          <cell r="D2074">
            <v>25.66</v>
          </cell>
          <cell r="E2074">
            <v>42.95</v>
          </cell>
          <cell r="F2074">
            <v>1</v>
          </cell>
          <cell r="G2074">
            <v>0</v>
          </cell>
        </row>
        <row r="2075">
          <cell r="A2075" t="str">
            <v>MZ690201</v>
          </cell>
          <cell r="B2075" t="str">
            <v>Z</v>
          </cell>
          <cell r="C2075" t="str">
            <v>SIDE SCREW CLIP</v>
          </cell>
          <cell r="D2075">
            <v>2.37</v>
          </cell>
          <cell r="E2075">
            <v>3.95</v>
          </cell>
          <cell r="F2075">
            <v>0</v>
          </cell>
          <cell r="G2075">
            <v>0</v>
          </cell>
        </row>
        <row r="2076">
          <cell r="A2076" t="str">
            <v>MZ690202</v>
          </cell>
          <cell r="B2076" t="str">
            <v>Z</v>
          </cell>
          <cell r="C2076" t="str">
            <v>SIDE SCREW CLIP</v>
          </cell>
          <cell r="D2076">
            <v>3.57</v>
          </cell>
          <cell r="E2076">
            <v>5.95</v>
          </cell>
          <cell r="F2076">
            <v>0</v>
          </cell>
          <cell r="G2076">
            <v>0</v>
          </cell>
        </row>
        <row r="2077">
          <cell r="A2077" t="str">
            <v>MZ690203</v>
          </cell>
          <cell r="B2077" t="str">
            <v>Z</v>
          </cell>
          <cell r="C2077" t="str">
            <v>U-CLIP ADAPTER</v>
          </cell>
          <cell r="D2077">
            <v>1.78</v>
          </cell>
          <cell r="E2077">
            <v>2.95</v>
          </cell>
          <cell r="F2077">
            <v>0</v>
          </cell>
          <cell r="G2077">
            <v>0</v>
          </cell>
        </row>
        <row r="2078">
          <cell r="A2078" t="str">
            <v>MZ690445</v>
          </cell>
          <cell r="B2078" t="str">
            <v>U</v>
          </cell>
          <cell r="C2078" t="str">
            <v>ELEMENT- AIR CLEANER</v>
          </cell>
          <cell r="D2078">
            <v>23.97</v>
          </cell>
          <cell r="E2078">
            <v>39.950000000000003</v>
          </cell>
          <cell r="F2078">
            <v>0</v>
          </cell>
          <cell r="G2078">
            <v>0</v>
          </cell>
        </row>
        <row r="2079">
          <cell r="A2079" t="str">
            <v>MZ690940</v>
          </cell>
          <cell r="B2079" t="str">
            <v>U</v>
          </cell>
          <cell r="C2079" t="str">
            <v>ASP-WIPER BLADE-10 IN</v>
          </cell>
          <cell r="D2079">
            <v>12.83</v>
          </cell>
          <cell r="E2079">
            <v>19.95</v>
          </cell>
          <cell r="F2079">
            <v>0</v>
          </cell>
          <cell r="G2079">
            <v>0</v>
          </cell>
        </row>
        <row r="2080">
          <cell r="A2080" t="str">
            <v>MZ690941</v>
          </cell>
          <cell r="B2080" t="str">
            <v>U</v>
          </cell>
          <cell r="C2080" t="str">
            <v>ASP-WIPER BLADE-12 IN</v>
          </cell>
          <cell r="D2080">
            <v>12.83</v>
          </cell>
          <cell r="E2080">
            <v>19.95</v>
          </cell>
          <cell r="F2080">
            <v>0</v>
          </cell>
          <cell r="G2080">
            <v>0</v>
          </cell>
        </row>
        <row r="2081">
          <cell r="A2081" t="str">
            <v>MZ690942</v>
          </cell>
          <cell r="B2081" t="str">
            <v>D</v>
          </cell>
          <cell r="C2081" t="str">
            <v>REAR WIPER BLADE ASSY (ASP)</v>
          </cell>
          <cell r="D2081">
            <v>11.54</v>
          </cell>
          <cell r="E2081">
            <v>17.95</v>
          </cell>
          <cell r="F2081">
            <v>71</v>
          </cell>
          <cell r="G2081">
            <v>0</v>
          </cell>
        </row>
        <row r="2082">
          <cell r="A2082" t="str">
            <v>MZ690943</v>
          </cell>
          <cell r="B2082" t="str">
            <v>U</v>
          </cell>
          <cell r="C2082" t="str">
            <v>ASP-WIPER BLADE-16 IN</v>
          </cell>
          <cell r="D2082">
            <v>16.39</v>
          </cell>
          <cell r="E2082">
            <v>24.95</v>
          </cell>
          <cell r="F2082">
            <v>0</v>
          </cell>
          <cell r="G2082">
            <v>0</v>
          </cell>
        </row>
        <row r="2083">
          <cell r="A2083" t="str">
            <v>MZ690944</v>
          </cell>
          <cell r="B2083" t="str">
            <v>C</v>
          </cell>
          <cell r="C2083" t="str">
            <v>REAR WIPER BLADE ASSY (ASP)</v>
          </cell>
          <cell r="D2083">
            <v>13.34</v>
          </cell>
          <cell r="E2083">
            <v>20.95</v>
          </cell>
          <cell r="F2083">
            <v>144</v>
          </cell>
          <cell r="G2083">
            <v>0</v>
          </cell>
        </row>
        <row r="2084">
          <cell r="A2084" t="str">
            <v>MZ690945</v>
          </cell>
          <cell r="B2084" t="str">
            <v>U</v>
          </cell>
          <cell r="C2084" t="str">
            <v>ASP-WIPER BLADE-18 IN</v>
          </cell>
          <cell r="D2084">
            <v>17.2</v>
          </cell>
          <cell r="E2084">
            <v>24.95</v>
          </cell>
          <cell r="F2084">
            <v>0</v>
          </cell>
          <cell r="G2084">
            <v>0</v>
          </cell>
        </row>
        <row r="2085">
          <cell r="A2085" t="str">
            <v>MZ690946</v>
          </cell>
          <cell r="B2085" t="str">
            <v>D</v>
          </cell>
          <cell r="C2085" t="str">
            <v>ASP-WIPER BLADE-19 IN</v>
          </cell>
          <cell r="D2085">
            <v>14.37</v>
          </cell>
          <cell r="E2085">
            <v>20.95</v>
          </cell>
          <cell r="F2085">
            <v>11</v>
          </cell>
          <cell r="G2085">
            <v>0</v>
          </cell>
        </row>
        <row r="2086">
          <cell r="A2086" t="str">
            <v>MZ690947</v>
          </cell>
          <cell r="B2086" t="str">
            <v>U</v>
          </cell>
          <cell r="C2086" t="str">
            <v>ASP-WIPER BLADE-20 IN</v>
          </cell>
          <cell r="D2086">
            <v>17.2</v>
          </cell>
          <cell r="E2086">
            <v>24.95</v>
          </cell>
          <cell r="F2086">
            <v>0</v>
          </cell>
          <cell r="G2086">
            <v>0</v>
          </cell>
        </row>
        <row r="2087">
          <cell r="A2087" t="str">
            <v>MZ690948</v>
          </cell>
          <cell r="B2087" t="str">
            <v>U</v>
          </cell>
          <cell r="C2087" t="str">
            <v>ASP-WIPER BLADE-21 IN</v>
          </cell>
          <cell r="D2087">
            <v>19.38</v>
          </cell>
          <cell r="E2087">
            <v>29.95</v>
          </cell>
          <cell r="F2087">
            <v>0</v>
          </cell>
          <cell r="G2087">
            <v>0</v>
          </cell>
        </row>
        <row r="2088">
          <cell r="A2088" t="str">
            <v>MZ690949</v>
          </cell>
          <cell r="B2088" t="str">
            <v>C</v>
          </cell>
          <cell r="C2088" t="str">
            <v>WIPER BLADE ASSY (ASP)</v>
          </cell>
          <cell r="D2088">
            <v>16.22</v>
          </cell>
          <cell r="E2088">
            <v>24.95</v>
          </cell>
          <cell r="F2088">
            <v>58</v>
          </cell>
          <cell r="G2088">
            <v>0</v>
          </cell>
        </row>
        <row r="2089">
          <cell r="A2089" t="str">
            <v>MZ690950</v>
          </cell>
          <cell r="B2089" t="str">
            <v>U</v>
          </cell>
          <cell r="C2089" t="str">
            <v>ASP-WIPER BLADE-24 IN</v>
          </cell>
          <cell r="D2089">
            <v>19.38</v>
          </cell>
          <cell r="E2089">
            <v>29.95</v>
          </cell>
          <cell r="F2089">
            <v>0</v>
          </cell>
          <cell r="G2089">
            <v>0</v>
          </cell>
        </row>
        <row r="2090">
          <cell r="A2090" t="str">
            <v>MZ690951</v>
          </cell>
          <cell r="B2090" t="str">
            <v>U</v>
          </cell>
          <cell r="C2090" t="str">
            <v>ASP-WIPER BLADE-26 IN</v>
          </cell>
          <cell r="D2090">
            <v>22.95</v>
          </cell>
          <cell r="E2090">
            <v>34.950000000000003</v>
          </cell>
          <cell r="F2090">
            <v>0</v>
          </cell>
          <cell r="G2090">
            <v>0</v>
          </cell>
        </row>
        <row r="2091">
          <cell r="A2091" t="str">
            <v>MZ690952</v>
          </cell>
          <cell r="B2091" t="str">
            <v>U</v>
          </cell>
          <cell r="C2091" t="str">
            <v>ASP-WIPER BLADE-12 IN</v>
          </cell>
          <cell r="D2091">
            <v>12.83</v>
          </cell>
          <cell r="E2091">
            <v>19.95</v>
          </cell>
          <cell r="F2091">
            <v>0</v>
          </cell>
          <cell r="G2091">
            <v>0</v>
          </cell>
        </row>
        <row r="2092">
          <cell r="A2092" t="str">
            <v>MZ693013</v>
          </cell>
          <cell r="B2092" t="str">
            <v>B</v>
          </cell>
          <cell r="C2092" t="str">
            <v>WIPER BLADE ASSY 16" (ASP)</v>
          </cell>
          <cell r="D2092">
            <v>16.39</v>
          </cell>
          <cell r="E2092">
            <v>24.95</v>
          </cell>
          <cell r="F2092">
            <v>120</v>
          </cell>
          <cell r="G2092">
            <v>0</v>
          </cell>
        </row>
        <row r="2093">
          <cell r="A2093" t="str">
            <v>MZ693015</v>
          </cell>
          <cell r="B2093" t="str">
            <v>A</v>
          </cell>
          <cell r="C2093" t="str">
            <v>WIPER BLADE ASSY 18" (ASP)</v>
          </cell>
          <cell r="D2093">
            <v>17.2</v>
          </cell>
          <cell r="E2093">
            <v>24.95</v>
          </cell>
          <cell r="F2093">
            <v>221</v>
          </cell>
          <cell r="G2093">
            <v>0</v>
          </cell>
        </row>
        <row r="2094">
          <cell r="A2094" t="str">
            <v>MZ693017</v>
          </cell>
          <cell r="B2094" t="str">
            <v>A</v>
          </cell>
          <cell r="C2094" t="str">
            <v>WIPER BLADE ASSY 20" (ASP)</v>
          </cell>
          <cell r="D2094">
            <v>17.2</v>
          </cell>
          <cell r="E2094">
            <v>24.95</v>
          </cell>
          <cell r="F2094">
            <v>76</v>
          </cell>
          <cell r="G2094">
            <v>0</v>
          </cell>
        </row>
        <row r="2095">
          <cell r="A2095" t="str">
            <v>MZ693018</v>
          </cell>
          <cell r="B2095" t="str">
            <v>B</v>
          </cell>
          <cell r="C2095" t="str">
            <v>WIPER BLADE ASSY 21" (ASP)</v>
          </cell>
          <cell r="D2095">
            <v>19.38</v>
          </cell>
          <cell r="E2095">
            <v>29.95</v>
          </cell>
          <cell r="F2095">
            <v>122</v>
          </cell>
          <cell r="G2095">
            <v>0</v>
          </cell>
        </row>
        <row r="2096">
          <cell r="A2096" t="str">
            <v>MZ693020</v>
          </cell>
          <cell r="B2096" t="str">
            <v>A</v>
          </cell>
          <cell r="C2096" t="str">
            <v>WIPER BLADE ASSY 24" (ASP)</v>
          </cell>
          <cell r="D2096">
            <v>19.38</v>
          </cell>
          <cell r="E2096">
            <v>29.95</v>
          </cell>
          <cell r="F2096">
            <v>187</v>
          </cell>
          <cell r="G2096">
            <v>0</v>
          </cell>
        </row>
        <row r="2097">
          <cell r="A2097" t="str">
            <v>MZ693021</v>
          </cell>
          <cell r="B2097" t="str">
            <v>A</v>
          </cell>
          <cell r="C2097" t="str">
            <v>WIPER BLADE ASSY 26" (ASP)</v>
          </cell>
          <cell r="D2097">
            <v>22.95</v>
          </cell>
          <cell r="E2097">
            <v>34.950000000000003</v>
          </cell>
          <cell r="F2097">
            <v>491</v>
          </cell>
          <cell r="G2097">
            <v>0</v>
          </cell>
        </row>
        <row r="2098">
          <cell r="A2098" t="str">
            <v>MZ693022</v>
          </cell>
          <cell r="B2098" t="str">
            <v>A</v>
          </cell>
          <cell r="C2098" t="str">
            <v>WIPER BLADE ASSY 10" (ASP)</v>
          </cell>
          <cell r="D2098">
            <v>12.83</v>
          </cell>
          <cell r="E2098">
            <v>19.95</v>
          </cell>
          <cell r="F2098">
            <v>167</v>
          </cell>
          <cell r="G2098">
            <v>0</v>
          </cell>
        </row>
        <row r="2099">
          <cell r="A2099" t="str">
            <v>MZ693023</v>
          </cell>
          <cell r="B2099" t="str">
            <v>B</v>
          </cell>
          <cell r="C2099" t="str">
            <v>WIPER BLADE ASSY 12" (ASP)</v>
          </cell>
          <cell r="D2099">
            <v>12.83</v>
          </cell>
          <cell r="E2099">
            <v>19.95</v>
          </cell>
          <cell r="F2099">
            <v>97</v>
          </cell>
          <cell r="G2099">
            <v>0</v>
          </cell>
        </row>
        <row r="2100">
          <cell r="A2100" t="str">
            <v>MZ693024</v>
          </cell>
          <cell r="B2100" t="str">
            <v>A</v>
          </cell>
          <cell r="C2100" t="str">
            <v>WIPER BLADE ASSY 12" (ASP)</v>
          </cell>
          <cell r="D2100">
            <v>12.83</v>
          </cell>
          <cell r="E2100">
            <v>19.95</v>
          </cell>
          <cell r="F2100">
            <v>129</v>
          </cell>
          <cell r="G2100">
            <v>0</v>
          </cell>
        </row>
        <row r="2101">
          <cell r="A2101" t="str">
            <v>MZ940000</v>
          </cell>
          <cell r="B2101" t="str">
            <v>Z</v>
          </cell>
          <cell r="C2101" t="str">
            <v>LOWER  CHROME GARNISH KIT</v>
          </cell>
          <cell r="D2101">
            <v>186.57</v>
          </cell>
          <cell r="E2101">
            <v>310.95</v>
          </cell>
          <cell r="F2101">
            <v>0</v>
          </cell>
          <cell r="G2101">
            <v>0</v>
          </cell>
        </row>
        <row r="2102">
          <cell r="A2102" t="str">
            <v>THCA0450</v>
          </cell>
          <cell r="B2102" t="str">
            <v>S</v>
          </cell>
          <cell r="C2102" t="str">
            <v>FOOT KIT- 450R</v>
          </cell>
          <cell r="D2102">
            <v>210.71</v>
          </cell>
          <cell r="E2102">
            <v>299.95</v>
          </cell>
          <cell r="F2102">
            <v>1</v>
          </cell>
          <cell r="G2102">
            <v>0</v>
          </cell>
        </row>
        <row r="2103">
          <cell r="A2103" t="str">
            <v>THCA0460</v>
          </cell>
          <cell r="B2103" t="str">
            <v>L</v>
          </cell>
          <cell r="C2103" t="str">
            <v>FOOT KIT- 460R</v>
          </cell>
          <cell r="D2103">
            <v>214.95</v>
          </cell>
          <cell r="E2103">
            <v>319.95</v>
          </cell>
          <cell r="F2103">
            <v>2</v>
          </cell>
          <cell r="G2103">
            <v>0</v>
          </cell>
        </row>
        <row r="2104">
          <cell r="A2104" t="str">
            <v>THCA0480</v>
          </cell>
          <cell r="B2104" t="str">
            <v>L</v>
          </cell>
          <cell r="C2104" t="str">
            <v>FOOT KIT- 480R</v>
          </cell>
          <cell r="D2104">
            <v>210.71</v>
          </cell>
          <cell r="E2104">
            <v>299.95</v>
          </cell>
          <cell r="F2104">
            <v>7</v>
          </cell>
          <cell r="G2104">
            <v>0</v>
          </cell>
        </row>
        <row r="2105">
          <cell r="A2105" t="str">
            <v>THCA0526</v>
          </cell>
          <cell r="B2105" t="str">
            <v>L</v>
          </cell>
          <cell r="C2105" t="str">
            <v>CIRCUIT FORK MOUNTED BIKE CARRIER</v>
          </cell>
          <cell r="D2105">
            <v>170.46</v>
          </cell>
          <cell r="E2105">
            <v>219.95</v>
          </cell>
          <cell r="F2105">
            <v>1</v>
          </cell>
          <cell r="G2105">
            <v>0</v>
          </cell>
        </row>
        <row r="2106">
          <cell r="A2106" t="str">
            <v>THCA0538</v>
          </cell>
          <cell r="B2106" t="str">
            <v>D</v>
          </cell>
          <cell r="C2106" t="str">
            <v>LOCKING CABLE 6FT MITSU CAN</v>
          </cell>
          <cell r="D2106">
            <v>45.12</v>
          </cell>
          <cell r="E2106">
            <v>59.95</v>
          </cell>
          <cell r="F2106">
            <v>8</v>
          </cell>
          <cell r="G2106">
            <v>0</v>
          </cell>
        </row>
        <row r="2107">
          <cell r="A2107" t="str">
            <v>THCA0599</v>
          </cell>
          <cell r="B2107" t="str">
            <v>Z</v>
          </cell>
          <cell r="C2107" t="str">
            <v>ORDER THCA598004</v>
          </cell>
          <cell r="D2107">
            <v>160</v>
          </cell>
          <cell r="E2107">
            <v>199.95</v>
          </cell>
          <cell r="F2107">
            <v>0</v>
          </cell>
          <cell r="G2107">
            <v>0</v>
          </cell>
        </row>
        <row r="2108">
          <cell r="A2108" t="str">
            <v>THCA0602</v>
          </cell>
          <cell r="B2108" t="str">
            <v>Z</v>
          </cell>
          <cell r="C2108" t="str">
            <v>ROOF BOX- 602</v>
          </cell>
          <cell r="D2108">
            <v>349.54</v>
          </cell>
          <cell r="E2108">
            <v>537.95000000000005</v>
          </cell>
          <cell r="F2108">
            <v>0</v>
          </cell>
          <cell r="G2108">
            <v>0</v>
          </cell>
        </row>
        <row r="2109">
          <cell r="A2109" t="str">
            <v>THCA0603</v>
          </cell>
          <cell r="B2109" t="str">
            <v>Z</v>
          </cell>
          <cell r="C2109" t="str">
            <v>ROOF BOX- 603</v>
          </cell>
          <cell r="D2109">
            <v>349.54</v>
          </cell>
          <cell r="E2109">
            <v>537.95000000000005</v>
          </cell>
          <cell r="F2109">
            <v>0</v>
          </cell>
          <cell r="G2109">
            <v>0</v>
          </cell>
        </row>
        <row r="2110">
          <cell r="A2110" t="str">
            <v>THCA0614</v>
          </cell>
          <cell r="B2110" t="str">
            <v>Z</v>
          </cell>
          <cell r="C2110" t="str">
            <v>PULSE MEDIUM ROOF BOX 614</v>
          </cell>
          <cell r="D2110">
            <v>540.45000000000005</v>
          </cell>
          <cell r="E2110">
            <v>699.95</v>
          </cell>
          <cell r="F2110">
            <v>0</v>
          </cell>
          <cell r="G2110">
            <v>0</v>
          </cell>
        </row>
        <row r="2111">
          <cell r="A2111" t="str">
            <v>THCA0623</v>
          </cell>
          <cell r="B2111" t="str">
            <v>Z</v>
          </cell>
          <cell r="C2111" t="str">
            <v>FORCE ROOF BOX- 623</v>
          </cell>
          <cell r="D2111">
            <v>460</v>
          </cell>
          <cell r="E2111">
            <v>629.95000000000005</v>
          </cell>
          <cell r="F2111">
            <v>0</v>
          </cell>
          <cell r="G2111">
            <v>0</v>
          </cell>
        </row>
        <row r="2112">
          <cell r="A2112" t="str">
            <v>THCA0624</v>
          </cell>
          <cell r="B2112" t="str">
            <v>Z</v>
          </cell>
          <cell r="C2112" t="str">
            <v>ORDER THCA635701</v>
          </cell>
          <cell r="D2112">
            <v>458.87</v>
          </cell>
          <cell r="E2112">
            <v>659.95</v>
          </cell>
          <cell r="F2112">
            <v>0</v>
          </cell>
          <cell r="G2112">
            <v>0</v>
          </cell>
        </row>
        <row r="2113">
          <cell r="A2113" t="str">
            <v>THCA0625</v>
          </cell>
          <cell r="B2113" t="str">
            <v>Z</v>
          </cell>
          <cell r="C2113" t="str">
            <v>ORDER THCA635801</v>
          </cell>
          <cell r="D2113">
            <v>514.79</v>
          </cell>
          <cell r="E2113">
            <v>769.95</v>
          </cell>
          <cell r="F2113">
            <v>0</v>
          </cell>
          <cell r="G2113">
            <v>0</v>
          </cell>
        </row>
        <row r="2114">
          <cell r="A2114" t="str">
            <v>THCA0628</v>
          </cell>
          <cell r="B2114" t="str">
            <v>Z</v>
          </cell>
          <cell r="C2114" t="str">
            <v>Force Roof Box- 628</v>
          </cell>
          <cell r="D2114">
            <v>0.01</v>
          </cell>
          <cell r="E2114">
            <v>0</v>
          </cell>
          <cell r="F2114">
            <v>0</v>
          </cell>
          <cell r="G2114">
            <v>0</v>
          </cell>
        </row>
        <row r="2115">
          <cell r="A2115" t="str">
            <v>THCA0692</v>
          </cell>
          <cell r="B2115" t="str">
            <v>C</v>
          </cell>
          <cell r="C2115" t="str">
            <v>STRETCH CARGO NET MITSU CAN</v>
          </cell>
          <cell r="D2115">
            <v>84.65</v>
          </cell>
          <cell r="E2115">
            <v>119.95</v>
          </cell>
          <cell r="F2115">
            <v>3</v>
          </cell>
          <cell r="G2115">
            <v>0</v>
          </cell>
        </row>
        <row r="2116">
          <cell r="A2116" t="str">
            <v>THCA0810</v>
          </cell>
          <cell r="B2116" t="str">
            <v>Z</v>
          </cell>
          <cell r="C2116" t="str">
            <v>SUP PADDLEBOARD CARRIER THULE</v>
          </cell>
          <cell r="D2116">
            <v>233.23</v>
          </cell>
          <cell r="E2116">
            <v>329.95</v>
          </cell>
          <cell r="F2116">
            <v>0</v>
          </cell>
          <cell r="G2116">
            <v>0</v>
          </cell>
        </row>
        <row r="2117">
          <cell r="A2117" t="str">
            <v>THCA0819</v>
          </cell>
          <cell r="B2117" t="str">
            <v>Z</v>
          </cell>
          <cell r="C2117" t="str">
            <v>PORTAGE MITSUBISHI CANADA</v>
          </cell>
          <cell r="D2117">
            <v>237.12</v>
          </cell>
          <cell r="E2117">
            <v>299.95</v>
          </cell>
          <cell r="F2117">
            <v>0</v>
          </cell>
          <cell r="G2117">
            <v>0</v>
          </cell>
        </row>
        <row r="2118">
          <cell r="A2118" t="str">
            <v>THCA0835</v>
          </cell>
          <cell r="B2118" t="str">
            <v>Z</v>
          </cell>
          <cell r="C2118" t="str">
            <v>ORDER THCA890000</v>
          </cell>
          <cell r="D2118">
            <v>190.23</v>
          </cell>
          <cell r="E2118">
            <v>289.95</v>
          </cell>
          <cell r="F2118">
            <v>0</v>
          </cell>
          <cell r="G2118">
            <v>0</v>
          </cell>
        </row>
        <row r="2119">
          <cell r="A2119" t="str">
            <v>THCA0859</v>
          </cell>
          <cell r="B2119" t="str">
            <v>C</v>
          </cell>
          <cell r="C2119" t="str">
            <v>CANYON XT MITSU CAN</v>
          </cell>
          <cell r="D2119">
            <v>442.48</v>
          </cell>
          <cell r="E2119">
            <v>599.95000000000005</v>
          </cell>
          <cell r="F2119">
            <v>12</v>
          </cell>
          <cell r="G2119">
            <v>0</v>
          </cell>
        </row>
        <row r="2120">
          <cell r="A2120" t="str">
            <v>THCA0982</v>
          </cell>
          <cell r="B2120" t="str">
            <v>S</v>
          </cell>
          <cell r="C2120" t="str">
            <v>BIKE FRAME ADAPTER, 982XT</v>
          </cell>
          <cell r="D2120">
            <v>62.25</v>
          </cell>
          <cell r="E2120">
            <v>69.95</v>
          </cell>
          <cell r="F2120">
            <v>0</v>
          </cell>
          <cell r="G2120">
            <v>0</v>
          </cell>
        </row>
        <row r="2121">
          <cell r="A2121" t="str">
            <v>THCA1477</v>
          </cell>
          <cell r="B2121" t="str">
            <v>C</v>
          </cell>
          <cell r="C2121" t="str">
            <v>FIT KIT- 1477</v>
          </cell>
          <cell r="D2121">
            <v>90.57</v>
          </cell>
          <cell r="E2121">
            <v>149.94999999999999</v>
          </cell>
          <cell r="F2121">
            <v>4</v>
          </cell>
          <cell r="G2121">
            <v>0</v>
          </cell>
        </row>
        <row r="2122">
          <cell r="A2122" t="str">
            <v>THCA2725</v>
          </cell>
          <cell r="B2122" t="str">
            <v>Z</v>
          </cell>
          <cell r="C2122" t="str">
            <v>ORDER THCA732615</v>
          </cell>
          <cell r="D2122">
            <v>185</v>
          </cell>
          <cell r="E2122">
            <v>229.95</v>
          </cell>
          <cell r="F2122">
            <v>0</v>
          </cell>
          <cell r="G2122">
            <v>0</v>
          </cell>
        </row>
        <row r="2123">
          <cell r="A2123" t="str">
            <v>THCA3071</v>
          </cell>
          <cell r="B2123" t="str">
            <v>C</v>
          </cell>
          <cell r="C2123" t="str">
            <v>FIT KIT- 3071</v>
          </cell>
          <cell r="D2123">
            <v>102.95</v>
          </cell>
          <cell r="E2123">
            <v>184.95</v>
          </cell>
          <cell r="F2123">
            <v>1</v>
          </cell>
          <cell r="G2123">
            <v>0</v>
          </cell>
        </row>
        <row r="2124">
          <cell r="A2124" t="str">
            <v>THCA3093</v>
          </cell>
          <cell r="B2124" t="str">
            <v>L</v>
          </cell>
          <cell r="C2124" t="str">
            <v>FIT KIT- 3093</v>
          </cell>
          <cell r="D2124">
            <v>109.95</v>
          </cell>
          <cell r="E2124">
            <v>184.95</v>
          </cell>
          <cell r="F2124">
            <v>8</v>
          </cell>
          <cell r="G2124">
            <v>0</v>
          </cell>
        </row>
        <row r="2125">
          <cell r="A2125" t="str">
            <v>THCA598004</v>
          </cell>
          <cell r="B2125" t="str">
            <v>C</v>
          </cell>
          <cell r="C2125" t="str">
            <v>PRORIDE XT MITSU CAN</v>
          </cell>
          <cell r="D2125">
            <v>297.82</v>
          </cell>
          <cell r="E2125">
            <v>379.95</v>
          </cell>
          <cell r="F2125">
            <v>8</v>
          </cell>
          <cell r="G2125">
            <v>0</v>
          </cell>
        </row>
        <row r="2126">
          <cell r="A2126" t="str">
            <v>THCA610250</v>
          </cell>
          <cell r="B2126" t="str">
            <v>N</v>
          </cell>
          <cell r="C2126" t="str">
            <v>Thule Pulse 2 M</v>
          </cell>
          <cell r="D2126">
            <v>659.87</v>
          </cell>
          <cell r="E2126">
            <v>849.95</v>
          </cell>
          <cell r="F2126">
            <v>0</v>
          </cell>
          <cell r="G2126">
            <v>0</v>
          </cell>
        </row>
        <row r="2127">
          <cell r="A2127" t="str">
            <v>THCA6297</v>
          </cell>
          <cell r="B2127" t="str">
            <v>Z</v>
          </cell>
          <cell r="C2127" t="str">
            <v>USE THCA635701</v>
          </cell>
          <cell r="D2127">
            <v>778.1</v>
          </cell>
          <cell r="E2127">
            <v>999.95</v>
          </cell>
          <cell r="F2127">
            <v>0</v>
          </cell>
          <cell r="G2127">
            <v>0</v>
          </cell>
        </row>
        <row r="2128">
          <cell r="A2128" t="str">
            <v>THCA635601</v>
          </cell>
          <cell r="B2128" t="str">
            <v>C</v>
          </cell>
          <cell r="C2128" t="str">
            <v>Force XT XL</v>
          </cell>
          <cell r="D2128">
            <v>543.96</v>
          </cell>
          <cell r="E2128">
            <v>679.95</v>
          </cell>
          <cell r="F2128">
            <v>0</v>
          </cell>
          <cell r="G2128">
            <v>0</v>
          </cell>
        </row>
        <row r="2129">
          <cell r="A2129" t="str">
            <v>THCA635701</v>
          </cell>
          <cell r="B2129" t="str">
            <v>C</v>
          </cell>
          <cell r="C2129" t="str">
            <v>FORCE XT ROOF BOX LARGE</v>
          </cell>
          <cell r="D2129">
            <v>737.59</v>
          </cell>
          <cell r="E2129">
            <v>979.95</v>
          </cell>
          <cell r="F2129">
            <v>10</v>
          </cell>
          <cell r="G2129">
            <v>0</v>
          </cell>
        </row>
        <row r="2130">
          <cell r="A2130" t="str">
            <v>THCA635801</v>
          </cell>
          <cell r="B2130" t="str">
            <v>C</v>
          </cell>
          <cell r="C2130" t="str">
            <v>FORCE XT ROOF BOX EXTRA LARGE</v>
          </cell>
          <cell r="D2130">
            <v>776.98</v>
          </cell>
          <cell r="E2130">
            <v>1049.95</v>
          </cell>
          <cell r="F2130">
            <v>5</v>
          </cell>
          <cell r="G2130">
            <v>0</v>
          </cell>
        </row>
        <row r="2131">
          <cell r="A2131" t="str">
            <v>THCA645750</v>
          </cell>
          <cell r="B2131" t="str">
            <v>N</v>
          </cell>
          <cell r="C2131" t="str">
            <v>Thule Force 3 L</v>
          </cell>
          <cell r="D2131">
            <v>840.51</v>
          </cell>
          <cell r="E2131">
            <v>1079.95</v>
          </cell>
          <cell r="F2131">
            <v>0</v>
          </cell>
          <cell r="G2131">
            <v>0</v>
          </cell>
        </row>
        <row r="2132">
          <cell r="A2132" t="str">
            <v>THCA645850</v>
          </cell>
          <cell r="B2132" t="str">
            <v>N</v>
          </cell>
          <cell r="C2132" t="str">
            <v>Thule Force 3 XL</v>
          </cell>
          <cell r="D2132">
            <v>891.35</v>
          </cell>
          <cell r="E2132">
            <v>1149.95</v>
          </cell>
          <cell r="F2132">
            <v>0</v>
          </cell>
          <cell r="G2132">
            <v>0</v>
          </cell>
        </row>
        <row r="2133">
          <cell r="A2133" t="str">
            <v>THCA7018</v>
          </cell>
          <cell r="B2133" t="str">
            <v>Z</v>
          </cell>
          <cell r="C2133" t="str">
            <v>ORDER THCA0614</v>
          </cell>
          <cell r="D2133">
            <v>388.41</v>
          </cell>
          <cell r="E2133">
            <v>499.95</v>
          </cell>
          <cell r="F2133">
            <v>0</v>
          </cell>
          <cell r="G2133">
            <v>0</v>
          </cell>
        </row>
        <row r="2134">
          <cell r="A2134" t="str">
            <v>THCA711200</v>
          </cell>
          <cell r="B2134" t="str">
            <v>D</v>
          </cell>
          <cell r="C2134" t="str">
            <v>WINGBAR EVO 118 MITSU CAN SLV</v>
          </cell>
          <cell r="D2134">
            <v>264.18</v>
          </cell>
          <cell r="E2134">
            <v>349.95</v>
          </cell>
          <cell r="F2134">
            <v>2</v>
          </cell>
          <cell r="G2134">
            <v>0</v>
          </cell>
        </row>
        <row r="2135">
          <cell r="A2135" t="str">
            <v>THCA711300</v>
          </cell>
          <cell r="B2135" t="str">
            <v>F</v>
          </cell>
          <cell r="C2135" t="str">
            <v>WINGBAR EVO 127 MITSU CAN SLV</v>
          </cell>
          <cell r="D2135">
            <v>264.18</v>
          </cell>
          <cell r="E2135">
            <v>349.95</v>
          </cell>
          <cell r="F2135">
            <v>8</v>
          </cell>
          <cell r="G2135">
            <v>0</v>
          </cell>
        </row>
        <row r="2136">
          <cell r="A2136" t="str">
            <v>THCA711400</v>
          </cell>
          <cell r="B2136" t="str">
            <v>D</v>
          </cell>
          <cell r="C2136" t="str">
            <v>WINGBAR EVO 135 MITSU CAN SLV</v>
          </cell>
          <cell r="D2136">
            <v>264.18</v>
          </cell>
          <cell r="E2136">
            <v>349.95</v>
          </cell>
          <cell r="F2136">
            <v>5</v>
          </cell>
          <cell r="G2136">
            <v>0</v>
          </cell>
        </row>
        <row r="2137">
          <cell r="A2137" t="str">
            <v>THCA732615</v>
          </cell>
          <cell r="B2137" t="str">
            <v>C</v>
          </cell>
          <cell r="C2137" t="str">
            <v>SNOWPACK L MITSU CAN</v>
          </cell>
          <cell r="D2137">
            <v>453.5</v>
          </cell>
          <cell r="E2137">
            <v>549.95000000000005</v>
          </cell>
          <cell r="F2137">
            <v>2</v>
          </cell>
          <cell r="G2137">
            <v>0</v>
          </cell>
        </row>
        <row r="2138">
          <cell r="A2138" t="str">
            <v>THCA890000</v>
          </cell>
          <cell r="B2138" t="str">
            <v>D</v>
          </cell>
          <cell r="C2138" t="str">
            <v>COMPASS MITSU CAN</v>
          </cell>
          <cell r="D2138">
            <v>381.6</v>
          </cell>
          <cell r="E2138">
            <v>479.95</v>
          </cell>
          <cell r="F2138">
            <v>6</v>
          </cell>
          <cell r="G2138">
            <v>0</v>
          </cell>
        </row>
        <row r="2139">
          <cell r="A2139" t="str">
            <v>THCA9012500</v>
          </cell>
          <cell r="B2139" t="str">
            <v>N</v>
          </cell>
          <cell r="C2139" t="str">
            <v>Thule Outpace 2-Bike</v>
          </cell>
          <cell r="D2139">
            <v>628.58000000000004</v>
          </cell>
          <cell r="E2139">
            <v>799.95</v>
          </cell>
          <cell r="F2139">
            <v>0</v>
          </cell>
          <cell r="G2139">
            <v>0</v>
          </cell>
        </row>
        <row r="2140">
          <cell r="A2140" t="str">
            <v>THCA9025XT</v>
          </cell>
          <cell r="B2140" t="str">
            <v>N</v>
          </cell>
          <cell r="C2140" t="str">
            <v>APEX XT 4 BIKE MITSU CANADA</v>
          </cell>
          <cell r="D2140">
            <v>498.7</v>
          </cell>
          <cell r="E2140">
            <v>599.95000000000005</v>
          </cell>
          <cell r="F2140">
            <v>6</v>
          </cell>
          <cell r="G2140">
            <v>0</v>
          </cell>
        </row>
        <row r="2141">
          <cell r="A2141" t="str">
            <v>THCA9028</v>
          </cell>
          <cell r="B2141" t="str">
            <v>S</v>
          </cell>
          <cell r="C2141" t="str">
            <v>HITCH MOUNTED BIKE CARRIER- 9028</v>
          </cell>
          <cell r="D2141">
            <v>252.94</v>
          </cell>
          <cell r="E2141">
            <v>329.95</v>
          </cell>
          <cell r="F2141">
            <v>0</v>
          </cell>
          <cell r="G2141">
            <v>0</v>
          </cell>
        </row>
        <row r="2142">
          <cell r="A2142" t="str">
            <v>THCA9028XT</v>
          </cell>
          <cell r="B2142" t="str">
            <v>Z</v>
          </cell>
          <cell r="C2142" t="str">
            <v>ORDER THCA9058</v>
          </cell>
          <cell r="D2142">
            <v>252.94</v>
          </cell>
          <cell r="E2142">
            <v>329.95</v>
          </cell>
          <cell r="F2142">
            <v>0</v>
          </cell>
          <cell r="G2142">
            <v>0</v>
          </cell>
        </row>
        <row r="2143">
          <cell r="A2143" t="str">
            <v>THCA9029</v>
          </cell>
          <cell r="B2143" t="str">
            <v>Z</v>
          </cell>
          <cell r="C2143" t="str">
            <v>HITCH MOUNTED BIKE CARRIER- 9029</v>
          </cell>
          <cell r="D2143">
            <v>279.08</v>
          </cell>
          <cell r="E2143">
            <v>379.95</v>
          </cell>
          <cell r="F2143">
            <v>0</v>
          </cell>
          <cell r="G2143">
            <v>0</v>
          </cell>
        </row>
        <row r="2144">
          <cell r="A2144" t="str">
            <v>THCA9029XT</v>
          </cell>
          <cell r="B2144" t="str">
            <v>Z</v>
          </cell>
          <cell r="C2144" t="str">
            <v>ORDER THCA9056</v>
          </cell>
          <cell r="D2144">
            <v>279.08</v>
          </cell>
          <cell r="E2144">
            <v>379.95</v>
          </cell>
          <cell r="F2144">
            <v>0</v>
          </cell>
          <cell r="G2144">
            <v>0</v>
          </cell>
        </row>
        <row r="2145">
          <cell r="A2145" t="str">
            <v>THCA903210</v>
          </cell>
          <cell r="B2145" t="str">
            <v>L</v>
          </cell>
          <cell r="C2145" t="str">
            <v>EPOS 2-BIKE MITSU CANADA</v>
          </cell>
          <cell r="D2145">
            <v>1250.57</v>
          </cell>
          <cell r="E2145">
            <v>1599.95</v>
          </cell>
          <cell r="F2145">
            <v>0</v>
          </cell>
          <cell r="G2145">
            <v>0</v>
          </cell>
        </row>
        <row r="2146">
          <cell r="A2146" t="str">
            <v>THCA9056</v>
          </cell>
          <cell r="B2146" t="str">
            <v>Z</v>
          </cell>
          <cell r="C2146" t="str">
            <v>CAMBER HITCH MOUNTED 4 BIKE</v>
          </cell>
          <cell r="D2146">
            <v>404.95</v>
          </cell>
          <cell r="E2146">
            <v>499.95</v>
          </cell>
          <cell r="F2146">
            <v>0</v>
          </cell>
          <cell r="G2146">
            <v>0</v>
          </cell>
        </row>
        <row r="2147">
          <cell r="A2147" t="str">
            <v>THCA9058</v>
          </cell>
          <cell r="B2147" t="str">
            <v>L</v>
          </cell>
          <cell r="C2147" t="str">
            <v>CAMBER HITCH MOUNTED 2 BIKE</v>
          </cell>
          <cell r="D2147">
            <v>349.95</v>
          </cell>
          <cell r="E2147">
            <v>449.95</v>
          </cell>
          <cell r="F2147">
            <v>3</v>
          </cell>
          <cell r="G2147">
            <v>0</v>
          </cell>
        </row>
        <row r="2148">
          <cell r="A2148" t="str">
            <v>THCAAR47</v>
          </cell>
          <cell r="B2148" t="str">
            <v>Z</v>
          </cell>
          <cell r="C2148" t="str">
            <v>ORDER THCA711200</v>
          </cell>
          <cell r="D2148">
            <v>165.48</v>
          </cell>
          <cell r="E2148">
            <v>279.95</v>
          </cell>
          <cell r="F2148">
            <v>0</v>
          </cell>
          <cell r="G2148">
            <v>0</v>
          </cell>
        </row>
        <row r="2149">
          <cell r="A2149" t="str">
            <v>THCAAR53</v>
          </cell>
          <cell r="B2149" t="str">
            <v>Z</v>
          </cell>
          <cell r="C2149" t="str">
            <v>ORDER THCA711400</v>
          </cell>
          <cell r="D2149">
            <v>165.48</v>
          </cell>
          <cell r="E2149">
            <v>279.95</v>
          </cell>
          <cell r="F2149">
            <v>0</v>
          </cell>
          <cell r="G2149">
            <v>0</v>
          </cell>
        </row>
        <row r="2150">
          <cell r="A2150" t="str">
            <v>THCAECRB</v>
          </cell>
          <cell r="B2150" t="str">
            <v>C</v>
          </cell>
          <cell r="C2150" t="str">
            <v>RC MITSU CAN ECLPS CRS EVO BLK</v>
          </cell>
          <cell r="D2150">
            <v>585.29999999999995</v>
          </cell>
          <cell r="E2150">
            <v>969.8</v>
          </cell>
          <cell r="F2150">
            <v>13</v>
          </cell>
          <cell r="G2150">
            <v>0</v>
          </cell>
        </row>
        <row r="2151">
          <cell r="A2151" t="str">
            <v>THCAMIR1</v>
          </cell>
          <cell r="B2151" t="str">
            <v>Z</v>
          </cell>
          <cell r="C2151" t="str">
            <v>MIRAGE CROSSBAR SET</v>
          </cell>
          <cell r="D2151">
            <v>466</v>
          </cell>
          <cell r="E2151">
            <v>774.95</v>
          </cell>
          <cell r="F2151">
            <v>0</v>
          </cell>
          <cell r="G2151">
            <v>0</v>
          </cell>
        </row>
        <row r="2152">
          <cell r="A2152" t="str">
            <v>THCAOUT1</v>
          </cell>
          <cell r="B2152" t="str">
            <v>B</v>
          </cell>
          <cell r="C2152" t="str">
            <v>RC MITSU OUTLANDER EVO FL SLV</v>
          </cell>
          <cell r="D2152">
            <v>556.79999999999995</v>
          </cell>
          <cell r="E2152">
            <v>969.8</v>
          </cell>
          <cell r="F2152">
            <v>19</v>
          </cell>
          <cell r="G2152">
            <v>0</v>
          </cell>
        </row>
        <row r="2153">
          <cell r="A2153" t="str">
            <v>THCAOUT2</v>
          </cell>
          <cell r="B2153" t="str">
            <v>D</v>
          </cell>
          <cell r="C2153" t="str">
            <v>OUTLANDER CROSSBAR SET - WITHOUT RAILS</v>
          </cell>
          <cell r="D2153">
            <v>504.95</v>
          </cell>
          <cell r="E2153">
            <v>924.95</v>
          </cell>
          <cell r="F2153">
            <v>17</v>
          </cell>
          <cell r="G2153">
            <v>0</v>
          </cell>
        </row>
        <row r="2154">
          <cell r="A2154" t="str">
            <v>THCAOUTB</v>
          </cell>
          <cell r="B2154" t="str">
            <v>C</v>
          </cell>
          <cell r="C2154" t="str">
            <v>RC MITSU OUTLANDER EVO FL BLK</v>
          </cell>
          <cell r="D2154">
            <v>585.29999999999995</v>
          </cell>
          <cell r="E2154">
            <v>969.8</v>
          </cell>
          <cell r="F2154">
            <v>29</v>
          </cell>
          <cell r="G2154">
            <v>0</v>
          </cell>
        </row>
        <row r="2155">
          <cell r="A2155" t="str">
            <v>THCARVR1</v>
          </cell>
          <cell r="B2155" t="str">
            <v>B</v>
          </cell>
          <cell r="C2155" t="str">
            <v>RC MITSU RVR EVO FLUSH SLV</v>
          </cell>
          <cell r="D2155">
            <v>556.79999999999995</v>
          </cell>
          <cell r="E2155">
            <v>969.8</v>
          </cell>
          <cell r="F2155">
            <v>8</v>
          </cell>
          <cell r="G2155">
            <v>0</v>
          </cell>
        </row>
        <row r="2156">
          <cell r="A2156" t="str">
            <v>THCARVR2</v>
          </cell>
          <cell r="B2156" t="str">
            <v>C</v>
          </cell>
          <cell r="C2156" t="str">
            <v>RC MITSUBISHI CAN RVR EVO SLV</v>
          </cell>
          <cell r="D2156">
            <v>556.79999999999995</v>
          </cell>
          <cell r="E2156">
            <v>969.8</v>
          </cell>
          <cell r="F2156">
            <v>11</v>
          </cell>
          <cell r="G2156">
            <v>0</v>
          </cell>
        </row>
        <row r="2157">
          <cell r="A2157" t="str">
            <v>THCARVR2B</v>
          </cell>
          <cell r="B2157" t="str">
            <v>D</v>
          </cell>
          <cell r="C2157" t="str">
            <v>RC MITSUBISHI CAN RVR EVO BLK</v>
          </cell>
          <cell r="D2157">
            <v>578.41999999999996</v>
          </cell>
          <cell r="E2157">
            <v>969.8</v>
          </cell>
          <cell r="F2157">
            <v>11</v>
          </cell>
          <cell r="G2157">
            <v>0</v>
          </cell>
        </row>
        <row r="2158">
          <cell r="A2158" t="str">
            <v>THCARVRB</v>
          </cell>
          <cell r="B2158" t="str">
            <v>C</v>
          </cell>
          <cell r="C2158" t="str">
            <v>RC MITSU RVR EVO FLUSH BLK</v>
          </cell>
          <cell r="D2158">
            <v>582.21</v>
          </cell>
          <cell r="E2158">
            <v>969.8</v>
          </cell>
          <cell r="F2158">
            <v>1</v>
          </cell>
          <cell r="G2158">
            <v>0</v>
          </cell>
        </row>
        <row r="2159">
          <cell r="A2159" t="str">
            <v>THCASTL2</v>
          </cell>
          <cell r="B2159" t="str">
            <v>D</v>
          </cell>
          <cell r="C2159" t="str">
            <v>SNUG TITE LOCK MITSU CAN</v>
          </cell>
          <cell r="D2159">
            <v>60.62</v>
          </cell>
          <cell r="E2159">
            <v>94.95</v>
          </cell>
          <cell r="F2159">
            <v>10</v>
          </cell>
          <cell r="G2159">
            <v>0</v>
          </cell>
        </row>
        <row r="2160">
          <cell r="A2160" t="str">
            <v>TOT14XXY01</v>
          </cell>
          <cell r="B2160" t="str">
            <v>S</v>
          </cell>
          <cell r="C2160" t="str">
            <v>FLOOR ILLUMINATION</v>
          </cell>
          <cell r="D2160">
            <v>827.97</v>
          </cell>
          <cell r="E2160">
            <v>1379.95</v>
          </cell>
          <cell r="F2160">
            <v>0</v>
          </cell>
          <cell r="G2160">
            <v>0</v>
          </cell>
        </row>
        <row r="2161">
          <cell r="A2161" t="str">
            <v>TOT14XXY02</v>
          </cell>
          <cell r="B2161" t="str">
            <v>Z</v>
          </cell>
          <cell r="C2161" t="str">
            <v>SCUFF PLATES</v>
          </cell>
          <cell r="D2161">
            <v>1388.37</v>
          </cell>
          <cell r="E2161">
            <v>2313.9499999999998</v>
          </cell>
          <cell r="F2161">
            <v>0</v>
          </cell>
          <cell r="G2161">
            <v>0</v>
          </cell>
        </row>
        <row r="2162">
          <cell r="A2162" t="str">
            <v>TOT14XXY03</v>
          </cell>
          <cell r="B2162" t="str">
            <v>F</v>
          </cell>
          <cell r="C2162" t="str">
            <v>RSE W/O SR</v>
          </cell>
          <cell r="D2162">
            <v>0.01</v>
          </cell>
          <cell r="E2162">
            <v>0.01</v>
          </cell>
          <cell r="F2162">
            <v>0</v>
          </cell>
          <cell r="G2162">
            <v>0</v>
          </cell>
        </row>
        <row r="2163">
          <cell r="A2163" t="str">
            <v>TOT14XXY04</v>
          </cell>
          <cell r="B2163" t="str">
            <v>F</v>
          </cell>
          <cell r="C2163" t="str">
            <v>RSE W SR</v>
          </cell>
          <cell r="D2163">
            <v>0.01</v>
          </cell>
          <cell r="E2163">
            <v>0.01</v>
          </cell>
          <cell r="F2163">
            <v>0</v>
          </cell>
          <cell r="G2163">
            <v>0</v>
          </cell>
        </row>
        <row r="2164">
          <cell r="A2164" t="str">
            <v>TOT14XXY05</v>
          </cell>
          <cell r="B2164" t="str">
            <v>S</v>
          </cell>
          <cell r="C2164" t="str">
            <v>SHIFT GATE ILLUMINATION</v>
          </cell>
          <cell r="D2164">
            <v>596.97</v>
          </cell>
          <cell r="E2164">
            <v>994.95</v>
          </cell>
          <cell r="F2164">
            <v>0</v>
          </cell>
          <cell r="G2164">
            <v>0</v>
          </cell>
        </row>
        <row r="2165">
          <cell r="A2165" t="str">
            <v>TOT14YXY01</v>
          </cell>
          <cell r="B2165" t="str">
            <v>F</v>
          </cell>
          <cell r="C2165" t="str">
            <v>FRONT CORNER EXTENSION</v>
          </cell>
          <cell r="D2165">
            <v>488.97</v>
          </cell>
          <cell r="E2165">
            <v>814.95</v>
          </cell>
          <cell r="F2165">
            <v>0</v>
          </cell>
          <cell r="G2165">
            <v>0</v>
          </cell>
        </row>
        <row r="2166">
          <cell r="A2166" t="str">
            <v>TOT14YXY02</v>
          </cell>
          <cell r="B2166" t="str">
            <v>F</v>
          </cell>
          <cell r="C2166" t="str">
            <v>REAR CORNER EXTENSION</v>
          </cell>
          <cell r="D2166">
            <v>537.57000000000005</v>
          </cell>
          <cell r="E2166">
            <v>895.95</v>
          </cell>
          <cell r="F2166">
            <v>0</v>
          </cell>
          <cell r="G2166">
            <v>0</v>
          </cell>
        </row>
        <row r="2167">
          <cell r="A2167" t="str">
            <v>TOT14YXY03</v>
          </cell>
          <cell r="B2167" t="str">
            <v>Z</v>
          </cell>
          <cell r="C2167" t="str">
            <v>REAR SPOILER</v>
          </cell>
          <cell r="D2167">
            <v>1370.37</v>
          </cell>
          <cell r="E2167">
            <v>2283.9499999999998</v>
          </cell>
          <cell r="F2167">
            <v>0</v>
          </cell>
          <cell r="G2167">
            <v>0</v>
          </cell>
        </row>
        <row r="2168">
          <cell r="A2168" t="str">
            <v>TOT14YXY04</v>
          </cell>
          <cell r="B2168" t="str">
            <v>S</v>
          </cell>
          <cell r="C2168" t="str">
            <v>REAR PARK ASSIST</v>
          </cell>
          <cell r="D2168">
            <v>1284.57</v>
          </cell>
          <cell r="E2168">
            <v>2140.9499999999998</v>
          </cell>
          <cell r="F2168">
            <v>0</v>
          </cell>
          <cell r="G2168">
            <v>0</v>
          </cell>
        </row>
        <row r="2169">
          <cell r="A2169" t="str">
            <v>TOT14YXY05</v>
          </cell>
          <cell r="B2169" t="str">
            <v>F</v>
          </cell>
          <cell r="C2169" t="str">
            <v>Mirror Cover</v>
          </cell>
          <cell r="D2169">
            <v>0.01</v>
          </cell>
          <cell r="E2169">
            <v>0.01</v>
          </cell>
          <cell r="F2169">
            <v>0</v>
          </cell>
          <cell r="G2169">
            <v>0</v>
          </cell>
        </row>
        <row r="2170">
          <cell r="A2170" t="str">
            <v>TOT14YXY06</v>
          </cell>
          <cell r="B2170" t="str">
            <v>F</v>
          </cell>
          <cell r="C2170" t="str">
            <v>Tow Hitch</v>
          </cell>
          <cell r="D2170">
            <v>0.01</v>
          </cell>
          <cell r="E2170">
            <v>0.01</v>
          </cell>
          <cell r="F2170">
            <v>0</v>
          </cell>
          <cell r="G2170">
            <v>0</v>
          </cell>
        </row>
        <row r="2171">
          <cell r="A2171" t="str">
            <v>TOT14YXY07</v>
          </cell>
          <cell r="B2171" t="str">
            <v>F</v>
          </cell>
          <cell r="C2171" t="str">
            <v>TOW HITCH HARNESS</v>
          </cell>
          <cell r="D2171">
            <v>300.57</v>
          </cell>
          <cell r="E2171">
            <v>500.95</v>
          </cell>
          <cell r="F2171">
            <v>0</v>
          </cell>
          <cell r="G2171">
            <v>0</v>
          </cell>
        </row>
        <row r="2172">
          <cell r="A2172" t="str">
            <v>TOT14YXY08</v>
          </cell>
          <cell r="B2172" t="str">
            <v>F</v>
          </cell>
          <cell r="C2172" t="str">
            <v>REAR BUMPER PLATE</v>
          </cell>
          <cell r="D2172">
            <v>940.17</v>
          </cell>
          <cell r="E2172">
            <v>1566.95</v>
          </cell>
          <cell r="F2172">
            <v>0</v>
          </cell>
          <cell r="G2172">
            <v>0</v>
          </cell>
        </row>
        <row r="2173">
          <cell r="A2173" t="str">
            <v>TOT14YXY09</v>
          </cell>
          <cell r="B2173" t="str">
            <v>S</v>
          </cell>
          <cell r="C2173" t="str">
            <v>BODY SIDE MOLDING</v>
          </cell>
          <cell r="D2173">
            <v>1250.3599999999999</v>
          </cell>
          <cell r="E2173">
            <v>2083.9499999999998</v>
          </cell>
          <cell r="F2173">
            <v>0</v>
          </cell>
          <cell r="G2173">
            <v>0</v>
          </cell>
        </row>
        <row r="2174">
          <cell r="A2174" t="str">
            <v>TOT14YXY10</v>
          </cell>
          <cell r="B2174" t="str">
            <v>F</v>
          </cell>
          <cell r="C2174" t="str">
            <v>ROTOZIP WITH CONE</v>
          </cell>
          <cell r="D2174">
            <v>0.01</v>
          </cell>
          <cell r="E2174">
            <v>0.01</v>
          </cell>
          <cell r="F2174">
            <v>0</v>
          </cell>
          <cell r="G2174">
            <v>0</v>
          </cell>
        </row>
        <row r="2175">
          <cell r="A2175" t="str">
            <v>WIPERRACK45CAN</v>
          </cell>
          <cell r="B2175" t="str">
            <v>Q</v>
          </cell>
          <cell r="C2175" t="str">
            <v>W BLADE DISPLAY RACK, ROLLING</v>
          </cell>
          <cell r="D2175">
            <v>0.01</v>
          </cell>
          <cell r="E2175">
            <v>0</v>
          </cell>
          <cell r="F2175">
            <v>1</v>
          </cell>
          <cell r="G2175">
            <v>0</v>
          </cell>
        </row>
        <row r="2176">
          <cell r="A2176" t="str">
            <v>WIPERRACK85CAN</v>
          </cell>
          <cell r="B2176" t="str">
            <v>Q</v>
          </cell>
          <cell r="C2176" t="str">
            <v>W BLADE DISPLAY RACK, HANGING</v>
          </cell>
          <cell r="D2176">
            <v>0.01</v>
          </cell>
          <cell r="E2176">
            <v>0</v>
          </cell>
          <cell r="F2176">
            <v>10</v>
          </cell>
          <cell r="G2176">
            <v>0</v>
          </cell>
        </row>
        <row r="2177">
          <cell r="A2177" t="str">
            <v>WTCHCF1CF15</v>
          </cell>
          <cell r="B2177" t="str">
            <v>C</v>
          </cell>
          <cell r="C2177" t="str">
            <v>WEATHERTECH CUPFONE WITH EXT.</v>
          </cell>
          <cell r="D2177">
            <v>60</v>
          </cell>
          <cell r="E2177">
            <v>79.95</v>
          </cell>
          <cell r="F2177">
            <v>17</v>
          </cell>
          <cell r="G2177">
            <v>0</v>
          </cell>
        </row>
        <row r="2178">
          <cell r="A2178" t="str">
            <v>WTECH401106</v>
          </cell>
          <cell r="B2178" t="str">
            <v>D</v>
          </cell>
          <cell r="C2178" t="str">
            <v>PHEV CARGO LINER 2019-2020</v>
          </cell>
          <cell r="D2178">
            <v>122.47</v>
          </cell>
          <cell r="E2178">
            <v>174.95</v>
          </cell>
          <cell r="F2178">
            <v>20</v>
          </cell>
          <cell r="G2178">
            <v>0</v>
          </cell>
        </row>
        <row r="2179">
          <cell r="A2179" t="str">
            <v>WTECH401120</v>
          </cell>
          <cell r="B2179" t="str">
            <v>C</v>
          </cell>
          <cell r="C2179" t="str">
            <v>CARGO LINER  WEATHERTECH ECLI</v>
          </cell>
          <cell r="D2179">
            <v>112</v>
          </cell>
          <cell r="E2179">
            <v>159.94999999999999</v>
          </cell>
          <cell r="F2179">
            <v>47</v>
          </cell>
          <cell r="G2179">
            <v>0</v>
          </cell>
        </row>
        <row r="2180">
          <cell r="A2180" t="str">
            <v>WTECH401445</v>
          </cell>
          <cell r="B2180" t="str">
            <v>Z</v>
          </cell>
          <cell r="C2180" t="str">
            <v>CARGO LINER  WEATHERTECH ECLI</v>
          </cell>
          <cell r="D2180">
            <v>112</v>
          </cell>
          <cell r="E2180">
            <v>159.94999999999999</v>
          </cell>
          <cell r="F2180">
            <v>0</v>
          </cell>
          <cell r="G2180">
            <v>0</v>
          </cell>
        </row>
        <row r="2181">
          <cell r="A2181" t="str">
            <v>WTECH401449</v>
          </cell>
          <cell r="B2181" t="str">
            <v>C</v>
          </cell>
          <cell r="C2181" t="str">
            <v>22 OUTLANDER WTECH CLINER S</v>
          </cell>
          <cell r="D2181">
            <v>105</v>
          </cell>
          <cell r="E2181">
            <v>159.94999999999999</v>
          </cell>
          <cell r="F2181">
            <v>91</v>
          </cell>
          <cell r="G2181">
            <v>0</v>
          </cell>
        </row>
        <row r="2182">
          <cell r="A2182" t="str">
            <v>WTECH401450</v>
          </cell>
          <cell r="B2182" t="str">
            <v>A</v>
          </cell>
          <cell r="C2182" t="str">
            <v>22 OUTLANDER WTECH CLINER L</v>
          </cell>
          <cell r="D2182">
            <v>114</v>
          </cell>
          <cell r="E2182">
            <v>174.95</v>
          </cell>
          <cell r="F2182">
            <v>436</v>
          </cell>
          <cell r="G2182">
            <v>250</v>
          </cell>
        </row>
        <row r="2183">
          <cell r="A2183" t="str">
            <v>WTECH401676</v>
          </cell>
          <cell r="B2183" t="str">
            <v>A</v>
          </cell>
          <cell r="C2183" t="str">
            <v>OUTLANDER PHEV CARGO LINER WT</v>
          </cell>
          <cell r="D2183">
            <v>123.92</v>
          </cell>
          <cell r="E2183">
            <v>184.95</v>
          </cell>
          <cell r="F2183">
            <v>380</v>
          </cell>
          <cell r="G2183">
            <v>0</v>
          </cell>
        </row>
        <row r="2184">
          <cell r="A2184" t="str">
            <v>WTECH401677</v>
          </cell>
          <cell r="B2184" t="str">
            <v>A</v>
          </cell>
          <cell r="C2184" t="str">
            <v>OUTLANDER PHEV CARGO LINER WT</v>
          </cell>
          <cell r="D2184">
            <v>123.92</v>
          </cell>
          <cell r="E2184">
            <v>184.95</v>
          </cell>
          <cell r="F2184">
            <v>0</v>
          </cell>
          <cell r="G2184">
            <v>0</v>
          </cell>
        </row>
        <row r="2185">
          <cell r="A2185" t="str">
            <v>WTECH40360</v>
          </cell>
          <cell r="B2185" t="str">
            <v>Z</v>
          </cell>
          <cell r="C2185" t="str">
            <v>CARGO LINER</v>
          </cell>
          <cell r="D2185">
            <v>108.12</v>
          </cell>
          <cell r="E2185">
            <v>146.94999999999999</v>
          </cell>
          <cell r="F2185">
            <v>0</v>
          </cell>
          <cell r="G2185">
            <v>0</v>
          </cell>
        </row>
        <row r="2186">
          <cell r="A2186" t="str">
            <v>WTECH40396</v>
          </cell>
          <cell r="B2186" t="str">
            <v>Z</v>
          </cell>
          <cell r="C2186" t="str">
            <v>CARGO LINER (SEDAN)</v>
          </cell>
          <cell r="D2186">
            <v>105</v>
          </cell>
          <cell r="E2186">
            <v>149.94999999999999</v>
          </cell>
          <cell r="F2186">
            <v>0</v>
          </cell>
          <cell r="G2186">
            <v>0</v>
          </cell>
        </row>
        <row r="2187">
          <cell r="A2187" t="str">
            <v>WTECH40499</v>
          </cell>
          <cell r="B2187" t="str">
            <v>B</v>
          </cell>
          <cell r="C2187" t="str">
            <v>RVR CARGO LINER</v>
          </cell>
          <cell r="D2187">
            <v>112</v>
          </cell>
          <cell r="E2187">
            <v>159.94999999999999</v>
          </cell>
          <cell r="F2187">
            <v>39</v>
          </cell>
          <cell r="G2187">
            <v>100</v>
          </cell>
        </row>
        <row r="2188">
          <cell r="A2188" t="str">
            <v>WTECH40500</v>
          </cell>
          <cell r="B2188" t="str">
            <v>F</v>
          </cell>
          <cell r="C2188" t="str">
            <v>CARGO LINER</v>
          </cell>
          <cell r="D2188">
            <v>94</v>
          </cell>
          <cell r="E2188">
            <v>125.95</v>
          </cell>
          <cell r="F2188">
            <v>50</v>
          </cell>
          <cell r="G2188">
            <v>0</v>
          </cell>
        </row>
        <row r="2189">
          <cell r="A2189" t="str">
            <v>WTECH40647</v>
          </cell>
          <cell r="B2189" t="str">
            <v>S</v>
          </cell>
          <cell r="C2189" t="str">
            <v>OUTLANDER CARGO LINER</v>
          </cell>
          <cell r="D2189">
            <v>112</v>
          </cell>
          <cell r="E2189">
            <v>159.94999999999999</v>
          </cell>
          <cell r="F2189">
            <v>18</v>
          </cell>
          <cell r="G2189">
            <v>0</v>
          </cell>
        </row>
        <row r="2190">
          <cell r="A2190" t="str">
            <v>WTECH40680</v>
          </cell>
          <cell r="B2190" t="str">
            <v>C</v>
          </cell>
          <cell r="C2190" t="str">
            <v>CARGO LINER WTECH MIRAGE</v>
          </cell>
          <cell r="D2190">
            <v>89</v>
          </cell>
          <cell r="E2190">
            <v>119.95</v>
          </cell>
          <cell r="F2190">
            <v>30</v>
          </cell>
          <cell r="G2190">
            <v>0</v>
          </cell>
        </row>
        <row r="2191">
          <cell r="A2191" t="str">
            <v>WTECH40940</v>
          </cell>
          <cell r="B2191" t="str">
            <v>D</v>
          </cell>
          <cell r="C2191" t="str">
            <v>CARGO LINER</v>
          </cell>
          <cell r="D2191">
            <v>112</v>
          </cell>
          <cell r="E2191">
            <v>159.94999999999999</v>
          </cell>
          <cell r="F2191">
            <v>10</v>
          </cell>
          <cell r="G2191">
            <v>0</v>
          </cell>
        </row>
        <row r="2192">
          <cell r="A2192" t="str">
            <v>WTECH44162</v>
          </cell>
          <cell r="B2192" t="str">
            <v>Z</v>
          </cell>
          <cell r="C2192" t="str">
            <v>REAR FLOOR LINER</v>
          </cell>
          <cell r="D2192">
            <v>73.099999999999994</v>
          </cell>
          <cell r="E2192">
            <v>100.89</v>
          </cell>
          <cell r="F2192">
            <v>0</v>
          </cell>
          <cell r="G2192">
            <v>0</v>
          </cell>
        </row>
        <row r="2193">
          <cell r="A2193" t="str">
            <v>WTECH441621</v>
          </cell>
          <cell r="B2193" t="str">
            <v>Z</v>
          </cell>
          <cell r="C2193" t="str">
            <v>FRONT FLOOR LINER</v>
          </cell>
          <cell r="D2193">
            <v>98.82</v>
          </cell>
          <cell r="E2193">
            <v>133.94999999999999</v>
          </cell>
          <cell r="F2193">
            <v>0</v>
          </cell>
          <cell r="G2193">
            <v>0</v>
          </cell>
        </row>
        <row r="2194">
          <cell r="A2194" t="str">
            <v>WTECH441622</v>
          </cell>
          <cell r="B2194" t="str">
            <v>Z</v>
          </cell>
          <cell r="C2194" t="str">
            <v>REAR FLOOR LINER</v>
          </cell>
          <cell r="D2194">
            <v>73.099999999999994</v>
          </cell>
          <cell r="E2194">
            <v>100.95</v>
          </cell>
          <cell r="F2194">
            <v>0</v>
          </cell>
          <cell r="G2194">
            <v>0</v>
          </cell>
        </row>
        <row r="2195">
          <cell r="A2195" t="str">
            <v>WTECH441623</v>
          </cell>
          <cell r="B2195" t="str">
            <v>Z</v>
          </cell>
          <cell r="C2195" t="str">
            <v>REAR FLOOR LINER</v>
          </cell>
          <cell r="D2195">
            <v>82.36</v>
          </cell>
          <cell r="E2195">
            <v>113.95</v>
          </cell>
          <cell r="F2195">
            <v>0</v>
          </cell>
          <cell r="G2195">
            <v>0</v>
          </cell>
        </row>
        <row r="2196">
          <cell r="A2196" t="str">
            <v>WTECH442231</v>
          </cell>
          <cell r="B2196" t="str">
            <v>Z</v>
          </cell>
          <cell r="C2196" t="str">
            <v>FRONT FLOOR LINER</v>
          </cell>
          <cell r="D2196">
            <v>98.82</v>
          </cell>
          <cell r="E2196">
            <v>133.94999999999999</v>
          </cell>
          <cell r="F2196">
            <v>0</v>
          </cell>
          <cell r="G2196">
            <v>0</v>
          </cell>
        </row>
        <row r="2197">
          <cell r="A2197" t="str">
            <v>WTECH442232</v>
          </cell>
          <cell r="B2197" t="str">
            <v>Z</v>
          </cell>
          <cell r="C2197" t="str">
            <v>REAR FLOOR LINER</v>
          </cell>
          <cell r="D2197">
            <v>82.36</v>
          </cell>
          <cell r="E2197">
            <v>113.95</v>
          </cell>
          <cell r="F2197">
            <v>0</v>
          </cell>
          <cell r="G2197">
            <v>0</v>
          </cell>
        </row>
        <row r="2198">
          <cell r="A2198" t="str">
            <v>WTECH44500</v>
          </cell>
          <cell r="B2198" t="str">
            <v>Z</v>
          </cell>
          <cell r="C2198" t="str">
            <v>CARGO LINER</v>
          </cell>
          <cell r="D2198">
            <v>0.01</v>
          </cell>
          <cell r="E2198">
            <v>64.92</v>
          </cell>
          <cell r="F2198">
            <v>0</v>
          </cell>
          <cell r="G2198">
            <v>0</v>
          </cell>
        </row>
        <row r="2199">
          <cell r="A2199" t="str">
            <v>WTECH60010</v>
          </cell>
          <cell r="B2199" t="str">
            <v>Z</v>
          </cell>
          <cell r="C2199" t="str">
            <v>PET BARRIER</v>
          </cell>
          <cell r="D2199">
            <v>77</v>
          </cell>
          <cell r="E2199">
            <v>109.95</v>
          </cell>
          <cell r="F2199">
            <v>0</v>
          </cell>
          <cell r="G2199">
            <v>0</v>
          </cell>
        </row>
        <row r="2200">
          <cell r="A2200" t="str">
            <v>WTECH81BS1</v>
          </cell>
          <cell r="B2200" t="str">
            <v>D</v>
          </cell>
          <cell r="C2200" t="str">
            <v>BUMP STEP</v>
          </cell>
          <cell r="D2200">
            <v>49</v>
          </cell>
          <cell r="E2200">
            <v>70.95</v>
          </cell>
          <cell r="F2200">
            <v>0</v>
          </cell>
          <cell r="G2200">
            <v>0</v>
          </cell>
        </row>
        <row r="2201">
          <cell r="A2201" t="str">
            <v>WTECH81CSP01BK</v>
          </cell>
          <cell r="B2201" t="str">
            <v>D</v>
          </cell>
          <cell r="C2201" t="str">
            <v>CHILD CAR SEAT PROTECTOR BLK</v>
          </cell>
          <cell r="D2201">
            <v>47</v>
          </cell>
          <cell r="E2201">
            <v>64.95</v>
          </cell>
          <cell r="F2201">
            <v>4</v>
          </cell>
          <cell r="G2201">
            <v>0</v>
          </cell>
        </row>
        <row r="2202">
          <cell r="A2202" t="str">
            <v>WTECH8APB01</v>
          </cell>
          <cell r="B2202" t="str">
            <v>F</v>
          </cell>
          <cell r="C2202" t="str">
            <v>PET BARRIER-NEW</v>
          </cell>
          <cell r="D2202">
            <v>118.97</v>
          </cell>
          <cell r="E2202">
            <v>169.95</v>
          </cell>
          <cell r="F2202">
            <v>2</v>
          </cell>
          <cell r="G2202">
            <v>0</v>
          </cell>
        </row>
        <row r="2203">
          <cell r="A2203" t="str">
            <v>WTECH8CTK2</v>
          </cell>
          <cell r="B2203" t="str">
            <v>S</v>
          </cell>
          <cell r="C2203" t="str">
            <v>CARGO TECH</v>
          </cell>
          <cell r="D2203">
            <v>39.99</v>
          </cell>
          <cell r="E2203">
            <v>59.95</v>
          </cell>
          <cell r="F2203">
            <v>8</v>
          </cell>
          <cell r="G2203">
            <v>0</v>
          </cell>
        </row>
        <row r="2204">
          <cell r="A2204" t="str">
            <v>WTECHPDA006</v>
          </cell>
          <cell r="B2204" t="str">
            <v>S</v>
          </cell>
          <cell r="C2204" t="str">
            <v>CARGO LINER STORE DISPLAY</v>
          </cell>
          <cell r="D2204">
            <v>0.02</v>
          </cell>
          <cell r="E2204">
            <v>0.02</v>
          </cell>
          <cell r="F2204">
            <v>0</v>
          </cell>
          <cell r="G22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iZjX2w7rCMSNfFoOA9lbYDiJnG5UzzIN/view?usp=sharing" TargetMode="External"/><Relationship Id="rId21" Type="http://schemas.openxmlformats.org/officeDocument/2006/relationships/hyperlink" Target="https://drive.google.com/file/d/1Mz2BdCLwdCWNAe1etrjW5HrfLE51i_1Z/view?usp=sharing" TargetMode="External"/><Relationship Id="rId42" Type="http://schemas.openxmlformats.org/officeDocument/2006/relationships/hyperlink" Target="https://drive.google.com/file/d/10zRRhA7ghk80wVp56GMAeiMvqG53kYbk/view?usp=sharing" TargetMode="External"/><Relationship Id="rId63" Type="http://schemas.openxmlformats.org/officeDocument/2006/relationships/hyperlink" Target="https://drive.google.com/file/d/1_c8C4uYdDS2R1zzUu-7AlFixZeukYJ2E/view?usp=share_link" TargetMode="External"/><Relationship Id="rId84" Type="http://schemas.openxmlformats.org/officeDocument/2006/relationships/hyperlink" Target="https://drive.google.com/file/d/1yYlW3p8E9r8CYyBC14rVQB4zVtScE17R/view?usp=share_link" TargetMode="External"/><Relationship Id="rId138" Type="http://schemas.openxmlformats.org/officeDocument/2006/relationships/hyperlink" Target="https://drive.google.com/file/d/19pOhOdiuef-fTW3Hk_VmGUP8fZ9h8hNj/view?usp=sharing" TargetMode="External"/><Relationship Id="rId159" Type="http://schemas.openxmlformats.org/officeDocument/2006/relationships/hyperlink" Target="https://drive.google.com/file/d/1CP47qBu66DrRlX7xnyRvWUV_ljP9bqCx/view?usp=share_link" TargetMode="External"/><Relationship Id="rId107" Type="http://schemas.openxmlformats.org/officeDocument/2006/relationships/hyperlink" Target="https://drive.google.com/file/d/1ScuUXDCsZN8yssY4JWYr5jcj6wLmgEuD/view?usp=sharing" TargetMode="External"/><Relationship Id="rId11" Type="http://schemas.openxmlformats.org/officeDocument/2006/relationships/hyperlink" Target="https://drive.google.com/file/d/1nb0PQ8DNDhHSy2PWs33Fk1h-JRqsKXZZ/view?usp=sharing" TargetMode="External"/><Relationship Id="rId32" Type="http://schemas.openxmlformats.org/officeDocument/2006/relationships/hyperlink" Target="https://drive.google.com/file/d/1o5JAGv2Qo85kbfJwcIfxlAnfQusArz2E/view?usp=sharing" TargetMode="External"/><Relationship Id="rId53" Type="http://schemas.openxmlformats.org/officeDocument/2006/relationships/hyperlink" Target="https://drive.google.com/file/d/1c71hAN0nSMIMngnyuSnoVI2q1omHq3vE/view?usp=sharing" TargetMode="External"/><Relationship Id="rId74" Type="http://schemas.openxmlformats.org/officeDocument/2006/relationships/hyperlink" Target="https://drive.google.com/file/d/1nzpBd6aPUuGlv8iczwmZf0eE21m3iJmD/view?usp=share_link" TargetMode="External"/><Relationship Id="rId128" Type="http://schemas.openxmlformats.org/officeDocument/2006/relationships/hyperlink" Target="https://drive.google.com/file/d/1WRm4EN72kiFy9dQFFcrlgtgII-A6K1JK/view?usp=drive_link" TargetMode="External"/><Relationship Id="rId149" Type="http://schemas.openxmlformats.org/officeDocument/2006/relationships/hyperlink" Target="https://drive.google.com/file/d/1Q_QzDTOjLyYF_C6NeWFfxyJQNFp6GzE-/view?usp=share_link" TargetMode="External"/><Relationship Id="rId5" Type="http://schemas.openxmlformats.org/officeDocument/2006/relationships/hyperlink" Target="https://drive.google.com/file/d/1NhVFyxzJjrI_HojuPRfrs6vQfTw6u7YB/view?usp=sharing" TargetMode="External"/><Relationship Id="rId95" Type="http://schemas.openxmlformats.org/officeDocument/2006/relationships/hyperlink" Target="https://drive.google.com/file/d/1ApVHLj03t49muUqWT8qVdmyyy1c7geRk/view?usp=share_link" TargetMode="External"/><Relationship Id="rId160" Type="http://schemas.openxmlformats.org/officeDocument/2006/relationships/hyperlink" Target="https://drive.google.com/file/d/1J0pg1qkKhVWD7sVN_lTZVU8gDmJ87wnq/view?usp=drive_link" TargetMode="External"/><Relationship Id="rId22" Type="http://schemas.openxmlformats.org/officeDocument/2006/relationships/hyperlink" Target="https://drive.google.com/file/d/13g0_C09gZCpQezSBDtIH9UDhj1sw_nyl/view?usp=sharing" TargetMode="External"/><Relationship Id="rId43" Type="http://schemas.openxmlformats.org/officeDocument/2006/relationships/hyperlink" Target="https://drive.google.com/file/d/1ZQK-Eq__doFFyAIjhPqDB1kkGhPp-xUL/view?usp=sharing" TargetMode="External"/><Relationship Id="rId64" Type="http://schemas.openxmlformats.org/officeDocument/2006/relationships/hyperlink" Target="https://drive.google.com/file/d/1XGiTKK2Et0OiVPRR8AZwTMJmlhhJ1Zuv/view?usp=share_link" TargetMode="External"/><Relationship Id="rId118" Type="http://schemas.openxmlformats.org/officeDocument/2006/relationships/hyperlink" Target="https://drive.google.com/file/d/1Us-erAbhYBTVFL7-EKJOJkr6RK40V7hq/view?usp=share_link" TargetMode="External"/><Relationship Id="rId139" Type="http://schemas.openxmlformats.org/officeDocument/2006/relationships/hyperlink" Target="https://drive.google.com/file/d/1ir_5Wp1fsS24LOs_6kiGPpLgcyjRy70T/view?usp=sharing" TargetMode="External"/><Relationship Id="rId85" Type="http://schemas.openxmlformats.org/officeDocument/2006/relationships/hyperlink" Target="https://drive.google.com/file/d/1V6rmf2arJq5WxfxYaCulrjVhvHqXY_K6/view?usp=share_link" TargetMode="External"/><Relationship Id="rId150" Type="http://schemas.openxmlformats.org/officeDocument/2006/relationships/hyperlink" Target="https://drive.google.com/file/d/1AAx2wgsmGVMMI6lzxzfKjqArIxJbaT22/view?usp=share_link" TargetMode="External"/><Relationship Id="rId12" Type="http://schemas.openxmlformats.org/officeDocument/2006/relationships/hyperlink" Target="https://drive.google.com/file/d/1xCQKwxSLW8yFBaNkZA59194YA0kSxIUR/view?usp=sharing" TargetMode="External"/><Relationship Id="rId17" Type="http://schemas.openxmlformats.org/officeDocument/2006/relationships/hyperlink" Target="https://drive.google.com/file/d/1rb5VOSfekwTX4ub_xRuc4FoW7K0bsHM2/view?usp=sharing" TargetMode="External"/><Relationship Id="rId33" Type="http://schemas.openxmlformats.org/officeDocument/2006/relationships/hyperlink" Target="https://drive.google.com/file/d/1G1g_5WlcwKPpTaCpcpfI0MLSF_NGJfVZ/view?usp=sharing" TargetMode="External"/><Relationship Id="rId38" Type="http://schemas.openxmlformats.org/officeDocument/2006/relationships/hyperlink" Target="https://drive.google.com/file/d/1Pe2L01WxLrpKDvMJPcJZQH06F32onylV/view?usp=sharing" TargetMode="External"/><Relationship Id="rId59" Type="http://schemas.openxmlformats.org/officeDocument/2006/relationships/hyperlink" Target="https://drive.google.com/file/d/1N7yfhWFh-ln7I1D0doXxIhVaChQoBmEw/view?usp=share_link" TargetMode="External"/><Relationship Id="rId103" Type="http://schemas.openxmlformats.org/officeDocument/2006/relationships/hyperlink" Target="https://drive.google.com/file/d/1pnB162Y997jIiGCZ9Azw171-y4cHJdCn/view?usp=sharing" TargetMode="External"/><Relationship Id="rId108" Type="http://schemas.openxmlformats.org/officeDocument/2006/relationships/hyperlink" Target="https://drive.google.com/file/d/1fd3xV7QnyLBb6vAIKyuQsLYEDt5E-6ac/view?usp=sharing" TargetMode="External"/><Relationship Id="rId124" Type="http://schemas.openxmlformats.org/officeDocument/2006/relationships/hyperlink" Target="https://drive.google.com/file/d/1kAPfbzEw8O4bneir04wyX1TWdRtMuZWm/view?usp=drive_link" TargetMode="External"/><Relationship Id="rId129" Type="http://schemas.openxmlformats.org/officeDocument/2006/relationships/hyperlink" Target="https://drive.google.com/file/d/1eOzehJidpquZhRly7WZJl8sKNRFI1Onj/view?usp=sharing" TargetMode="External"/><Relationship Id="rId54" Type="http://schemas.openxmlformats.org/officeDocument/2006/relationships/hyperlink" Target="https://drive.google.com/file/d/18AQ4U8-nf9sIUl_LOGkleKCkyAdtiKSV/view?usp=sharing" TargetMode="External"/><Relationship Id="rId70" Type="http://schemas.openxmlformats.org/officeDocument/2006/relationships/hyperlink" Target="https://drive.google.com/file/d/1USoyBQj36f56UCyRdtZw6cwi7D4650kN/view?usp=share_link" TargetMode="External"/><Relationship Id="rId75" Type="http://schemas.openxmlformats.org/officeDocument/2006/relationships/hyperlink" Target="https://drive.google.com/file/d/1oKYCTQSIhNe3bkPI_QKnc2yZQnUT25hx/view?usp=share_link" TargetMode="External"/><Relationship Id="rId91" Type="http://schemas.openxmlformats.org/officeDocument/2006/relationships/hyperlink" Target="https://drive.google.com/file/d/1n8Ip-WRYcdiWy5Qj6utWX7MoNKrS5MAi/view?usp=share_link" TargetMode="External"/><Relationship Id="rId96" Type="http://schemas.openxmlformats.org/officeDocument/2006/relationships/hyperlink" Target="https://drive.google.com/file/d/1WudkE2jFzd1b400SfBntOUcENAzta6GQ/view?usp=share_link" TargetMode="External"/><Relationship Id="rId140" Type="http://schemas.openxmlformats.org/officeDocument/2006/relationships/hyperlink" Target="https://drive.google.com/file/d/1zhr3AuJ7cEG6ghT6kjY8LTZ1-3rKuI6B/view?usp=share_link" TargetMode="External"/><Relationship Id="rId145" Type="http://schemas.openxmlformats.org/officeDocument/2006/relationships/hyperlink" Target="https://drive.google.com/file/d/1Pw-5A-D9rvYj0x0op0ynMZNv2K_4d70Q/view?usp=sharing" TargetMode="External"/><Relationship Id="rId161" Type="http://schemas.openxmlformats.org/officeDocument/2006/relationships/hyperlink" Target="https://drive.google.com/file/d/1J0pg1qkKhVWD7sVN_lTZVU8gDmJ87wnq/view?usp=drive_link" TargetMode="External"/><Relationship Id="rId1" Type="http://schemas.openxmlformats.org/officeDocument/2006/relationships/hyperlink" Target="https://drive.google.com/file/d/1ExvrB0Jeur1JPp6_IqRWoCLoJLge3HPk/view?usp=sharing" TargetMode="External"/><Relationship Id="rId6" Type="http://schemas.openxmlformats.org/officeDocument/2006/relationships/hyperlink" Target="https://drive.google.com/file/d/13IJTsPumGNLdsQXxCxlvYddn4NDD_ART/view?usp=sharing" TargetMode="External"/><Relationship Id="rId23" Type="http://schemas.openxmlformats.org/officeDocument/2006/relationships/hyperlink" Target="https://drive.google.com/file/d/1iZjX2w7rCMSNfFoOA9lbYDiJnG5UzzIN/view?usp=sharing" TargetMode="External"/><Relationship Id="rId28" Type="http://schemas.openxmlformats.org/officeDocument/2006/relationships/hyperlink" Target="https://drive.google.com/file/d/1ekCACP5QXiQguwRJgFf5rmoJRc-yiUkZ/view?usp=sharing" TargetMode="External"/><Relationship Id="rId49" Type="http://schemas.openxmlformats.org/officeDocument/2006/relationships/hyperlink" Target="https://drive.google.com/file/d/1zkvPqc58HZTt3n3EaiNNg5NDJ1Yc1NKL/view?usp=sharing" TargetMode="External"/><Relationship Id="rId114" Type="http://schemas.openxmlformats.org/officeDocument/2006/relationships/hyperlink" Target="https://drive.google.com/file/d/1WTn-nNrzGqSrL-vJX2IropLkysstMgsu/view?usp=share_link" TargetMode="External"/><Relationship Id="rId119" Type="http://schemas.openxmlformats.org/officeDocument/2006/relationships/hyperlink" Target="https://drive.google.com/file/d/1CP47qBu66DrRlX7xnyRvWUV_ljP9bqCx/view?usp=share_link" TargetMode="External"/><Relationship Id="rId44" Type="http://schemas.openxmlformats.org/officeDocument/2006/relationships/hyperlink" Target="https://drive.google.com/file/d/1Szvg4hnpuH6Q5l9kpEtigpLMNvQFVOO0/view?usp=sharing" TargetMode="External"/><Relationship Id="rId60" Type="http://schemas.openxmlformats.org/officeDocument/2006/relationships/hyperlink" Target="https://drive.google.com/file/d/1N7yfhWFh-ln7I1D0doXxIhVaChQoBmEw/view?usp=share_link" TargetMode="External"/><Relationship Id="rId65" Type="http://schemas.openxmlformats.org/officeDocument/2006/relationships/hyperlink" Target="https://drive.google.com/file/d/15mFRlVlD0z0sqAtr_zfv8SttKWFwUW86/view?usp=share_link" TargetMode="External"/><Relationship Id="rId81" Type="http://schemas.openxmlformats.org/officeDocument/2006/relationships/hyperlink" Target="https://drive.google.com/file/d/1r2whtgOUl64ntAo0nMNZ6b2cZN6KgNxh/view?usp=share_link" TargetMode="External"/><Relationship Id="rId86" Type="http://schemas.openxmlformats.org/officeDocument/2006/relationships/hyperlink" Target="https://drive.google.com/file/d/1_vxrYWznL0lhgtQ6ZDzTBEu9kYba4MRT/view?usp=share_link" TargetMode="External"/><Relationship Id="rId130" Type="http://schemas.openxmlformats.org/officeDocument/2006/relationships/hyperlink" Target="https://drive.google.com/file/d/1AwHoIp28NfAIVt_nXLzMpM6RfDxSpcGj/view?usp=sharing" TargetMode="External"/><Relationship Id="rId135" Type="http://schemas.openxmlformats.org/officeDocument/2006/relationships/hyperlink" Target="https://drive.google.com/file/d/1b6DplQ538Zmp-oyUnN7k7N-N3mi66wlT/view?usp=drive_link" TargetMode="External"/><Relationship Id="rId151" Type="http://schemas.openxmlformats.org/officeDocument/2006/relationships/hyperlink" Target="https://drive.google.com/file/d/17pRFZ7p6RWfHmH-bPfbfiS38WVdhImjX/view?usp=drive_link" TargetMode="External"/><Relationship Id="rId156" Type="http://schemas.openxmlformats.org/officeDocument/2006/relationships/hyperlink" Target="https://drive.google.com/file/d/1qK4vIRbygfSq864vvR5myLrIX1hVAV8g/view?usp=drive_link" TargetMode="External"/><Relationship Id="rId13" Type="http://schemas.openxmlformats.org/officeDocument/2006/relationships/hyperlink" Target="https://drive.google.com/file/d/1pDkU4l1zkT3aCaH-m-MQzu5gN6FMRSfW/view?usp=sharing" TargetMode="External"/><Relationship Id="rId18" Type="http://schemas.openxmlformats.org/officeDocument/2006/relationships/hyperlink" Target="https://drive.google.com/file/d/1AvWcVkFYt5EEBSsbxVANNJa5FTH-UNxy/view?usp=sharing" TargetMode="External"/><Relationship Id="rId39" Type="http://schemas.openxmlformats.org/officeDocument/2006/relationships/hyperlink" Target="https://drive.google.com/file/d/1_H2kdVOVsgOJgy-YaQyzdsrYl6LgDCyl/view?usp=sharing" TargetMode="External"/><Relationship Id="rId109" Type="http://schemas.openxmlformats.org/officeDocument/2006/relationships/hyperlink" Target="https://drive.google.com/file/d/1qZr6eHDVus4oOKzyv2riYXGTWbi2VKam/view?usp=sharing" TargetMode="External"/><Relationship Id="rId34" Type="http://schemas.openxmlformats.org/officeDocument/2006/relationships/hyperlink" Target="https://drive.google.com/file/d/15IzzocwAPd91WtAQLyOKw1k_OgXeD34t/view?usp=sharing" TargetMode="External"/><Relationship Id="rId50" Type="http://schemas.openxmlformats.org/officeDocument/2006/relationships/hyperlink" Target="https://drive.google.com/file/d/1s74_nHru3I5kPA0McIvJ_-azbZvhceEm/view?usp=sharing" TargetMode="External"/><Relationship Id="rId55" Type="http://schemas.openxmlformats.org/officeDocument/2006/relationships/hyperlink" Target="https://drive.google.com/file/d/1z6uiR_eKaHztEah2lEtqvQL5KpeyXSo2/view?usp=sharing" TargetMode="External"/><Relationship Id="rId76" Type="http://schemas.openxmlformats.org/officeDocument/2006/relationships/hyperlink" Target="https://drive.google.com/file/d/1RZrmbNdWEfqONuobIY_6fWcTP1QgsLaW/view?usp=share_link" TargetMode="External"/><Relationship Id="rId97" Type="http://schemas.openxmlformats.org/officeDocument/2006/relationships/hyperlink" Target="https://drive.google.com/file/d/1eksgt3NykCxJDbYe6ggnRjAlqt5JbBi1/view?usp=share_link" TargetMode="External"/><Relationship Id="rId104" Type="http://schemas.openxmlformats.org/officeDocument/2006/relationships/hyperlink" Target="https://drive.google.com/file/d/156NvD9eO7MAGI-AlKLVFbqp45sjUmgQK/view?usp=sharing" TargetMode="External"/><Relationship Id="rId120" Type="http://schemas.openxmlformats.org/officeDocument/2006/relationships/hyperlink" Target="https://drive.google.com/file/d/1Fl5UZ3CCJK3jj-rJJJUTORu5Qwd-SHeh/view?usp=share_link" TargetMode="External"/><Relationship Id="rId125" Type="http://schemas.openxmlformats.org/officeDocument/2006/relationships/hyperlink" Target="https://drive.google.com/file/d/1d_MsOtyYX6p9FG7R4Qiq-5d6xgDWz0kQ/view?usp=drive_link" TargetMode="External"/><Relationship Id="rId141" Type="http://schemas.openxmlformats.org/officeDocument/2006/relationships/hyperlink" Target="https://drive.google.com/file/d/1j4fFAG5yBXZ5mJYphYJB5phigkRRMNVq/view?usp=sharing" TargetMode="External"/><Relationship Id="rId146" Type="http://schemas.openxmlformats.org/officeDocument/2006/relationships/hyperlink" Target="https://drive.google.com/file/d/13daTx9G0zz-UVwPWMWHSmW_q6JMeyPLS/view" TargetMode="External"/><Relationship Id="rId7" Type="http://schemas.openxmlformats.org/officeDocument/2006/relationships/hyperlink" Target="https://drive.google.com/file/d/1eACyUlvqXIouxocE84K3JY18MIE8kpcG/view?usp=sharing" TargetMode="External"/><Relationship Id="rId71" Type="http://schemas.openxmlformats.org/officeDocument/2006/relationships/hyperlink" Target="https://drive.google.com/file/d/1Us-erAbhYBTVFL7-EKJOJkr6RK40V7hq/view?usp=share_link" TargetMode="External"/><Relationship Id="rId92" Type="http://schemas.openxmlformats.org/officeDocument/2006/relationships/hyperlink" Target="https://drive.google.com/file/d/1yvGOxijCf8ZQ4h3IcoCCAF8M9WVwI6vN/view?usp=share_link" TargetMode="External"/><Relationship Id="rId162" Type="http://schemas.openxmlformats.org/officeDocument/2006/relationships/hyperlink" Target="https://drive.google.com/file/d/1CP47qBu66DrRlX7xnyRvWUV_ljP9bqCx/view?usp=share_link" TargetMode="External"/><Relationship Id="rId2" Type="http://schemas.openxmlformats.org/officeDocument/2006/relationships/hyperlink" Target="https://drive.google.com/file/d/1iOUEIuIhAeOtpYJX0yMx6vXDFBVJ7A25/view?usp=sharing" TargetMode="External"/><Relationship Id="rId29" Type="http://schemas.openxmlformats.org/officeDocument/2006/relationships/hyperlink" Target="https://drive.google.com/file/d/1keKswTO5xrBNE6w9MCePo0soK59jlvtV/view?usp=sharing" TargetMode="External"/><Relationship Id="rId24" Type="http://schemas.openxmlformats.org/officeDocument/2006/relationships/hyperlink" Target="https://drive.google.com/file/d/1iZjX2w7rCMSNfFoOA9lbYDiJnG5UzzIN/view?usp=sharing" TargetMode="External"/><Relationship Id="rId40" Type="http://schemas.openxmlformats.org/officeDocument/2006/relationships/hyperlink" Target="https://drive.google.com/file/d/1PMkUB3aG-dHBEQV3scERzKrASzQbXd38/view?usp=sharing" TargetMode="External"/><Relationship Id="rId45" Type="http://schemas.openxmlformats.org/officeDocument/2006/relationships/hyperlink" Target="https://drive.google.com/file/d/1Iicw9ADQKuLA5SumEKwZvrTe5RkuZsZX/view?usp=sharing" TargetMode="External"/><Relationship Id="rId66" Type="http://schemas.openxmlformats.org/officeDocument/2006/relationships/hyperlink" Target="https://drive.google.com/file/d/1vF5tX2DDXQBbnF8gMEv9j_wIL8PjOuwd/view?usp=share_link" TargetMode="External"/><Relationship Id="rId87" Type="http://schemas.openxmlformats.org/officeDocument/2006/relationships/hyperlink" Target="https://drive.google.com/file/d/1Uk5nTaIMgWlMXbFW7ZFdLaGbErPpEr1r/view?usp=share_link" TargetMode="External"/><Relationship Id="rId110" Type="http://schemas.openxmlformats.org/officeDocument/2006/relationships/hyperlink" Target="https://drive.google.com/file/d/1NdQaEo5nsJfBlPyNqalT7be5vQbF-B0X/view?usp=sharing" TargetMode="External"/><Relationship Id="rId115" Type="http://schemas.openxmlformats.org/officeDocument/2006/relationships/hyperlink" Target="https://drive.google.com/file/d/1X6v7j4YswexchZK3hkE34bJM3WSKBdKJ/view?usp=share_link" TargetMode="External"/><Relationship Id="rId131" Type="http://schemas.openxmlformats.org/officeDocument/2006/relationships/hyperlink" Target="https://drive.google.com/file/d/1DXe0GNCsHqNb4sP8Ic2y_jOm6-4xk0DX/view?usp=share_link" TargetMode="External"/><Relationship Id="rId136" Type="http://schemas.openxmlformats.org/officeDocument/2006/relationships/hyperlink" Target="https://drive.google.com/file/d/1vYxd2fCGfAcFuFWvNN49FGaie18xeMrN/view?usp=drive_link" TargetMode="External"/><Relationship Id="rId157" Type="http://schemas.openxmlformats.org/officeDocument/2006/relationships/hyperlink" Target="https://drive.google.com/file/d/1PLSCjB75urngy6L7REY1UEkDPIWo1u_8/view?usp=drive_link" TargetMode="External"/><Relationship Id="rId61" Type="http://schemas.openxmlformats.org/officeDocument/2006/relationships/hyperlink" Target="https://drive.google.com/file/d/19rpxPGFMAKD41iCL4Tz_BRsFXP67lTzN/view?usp=share_link" TargetMode="External"/><Relationship Id="rId82" Type="http://schemas.openxmlformats.org/officeDocument/2006/relationships/hyperlink" Target="https://drive.google.com/file/d/1MLaqfMa0BYws8WcEeucrnWqWasKbvNFL/view?usp=share_link" TargetMode="External"/><Relationship Id="rId152" Type="http://schemas.openxmlformats.org/officeDocument/2006/relationships/hyperlink" Target="https://drive.google.com/file/d/1DtI2BjX3SLsH6HBr_bi3uPoowQMm1WzS/view?usp=drive_link" TargetMode="External"/><Relationship Id="rId19" Type="http://schemas.openxmlformats.org/officeDocument/2006/relationships/hyperlink" Target="https://drive.google.com/file/d/1FBKN265kM6S2dYpyCs0hP8Ev6cQljajo/view?usp=sharing" TargetMode="External"/><Relationship Id="rId14" Type="http://schemas.openxmlformats.org/officeDocument/2006/relationships/hyperlink" Target="https://drive.google.com/file/d/12Jogu9_A0-ZolaubeIm0vbLSTxlPIwEi/view?usp=sharing" TargetMode="External"/><Relationship Id="rId30" Type="http://schemas.openxmlformats.org/officeDocument/2006/relationships/hyperlink" Target="https://drive.google.com/file/d/1keKswTO5xrBNE6w9MCePo0soK59jlvtV/view?usp=sharing" TargetMode="External"/><Relationship Id="rId35" Type="http://schemas.openxmlformats.org/officeDocument/2006/relationships/hyperlink" Target="https://drive.google.com/file/d/1RwRCuLofVvdxiC7HAE-1JyKNOCDE4Evl/view?usp=sharing" TargetMode="External"/><Relationship Id="rId56" Type="http://schemas.openxmlformats.org/officeDocument/2006/relationships/hyperlink" Target="https://drive.google.com/file/d/1poSXJTvVcL9IpD4g4WHUmRcWL2gGDhm8/view?usp=share_link" TargetMode="External"/><Relationship Id="rId77" Type="http://schemas.openxmlformats.org/officeDocument/2006/relationships/hyperlink" Target="https://drive.google.com/file/d/1gmNgt9hSekp5Fv6OnMrMHfp08jGiJRA2/view?usp=share_link" TargetMode="External"/><Relationship Id="rId100" Type="http://schemas.openxmlformats.org/officeDocument/2006/relationships/hyperlink" Target="https://drive.google.com/file/d/1AAx2wgsmGVMMI6lzxzfKjqArIxJbaT22/view?usp=share_link" TargetMode="External"/><Relationship Id="rId105" Type="http://schemas.openxmlformats.org/officeDocument/2006/relationships/hyperlink" Target="https://drive.google.com/file/d/1B7EGsBQuqV-rUtk1F6wklKvC1xXsQONv/view?usp=drive_link" TargetMode="External"/><Relationship Id="rId126" Type="http://schemas.openxmlformats.org/officeDocument/2006/relationships/hyperlink" Target="https://drive.google.com/file/d/1WWW1LWMh_4I3HlWF5d9CZRritN-6bR7A/view?usp=sharing" TargetMode="External"/><Relationship Id="rId147" Type="http://schemas.openxmlformats.org/officeDocument/2006/relationships/hyperlink" Target="https://drive.google.com/file/d/13daTx9G0zz-UVwPWMWHSmW_q6JMeyPLS/view" TargetMode="External"/><Relationship Id="rId8" Type="http://schemas.openxmlformats.org/officeDocument/2006/relationships/hyperlink" Target="https://drive.google.com/file/d/1bCt-bTkCuTB5KJ6JVsiy2JDJQve-XHXi/view?usp=sharing" TargetMode="External"/><Relationship Id="rId51" Type="http://schemas.openxmlformats.org/officeDocument/2006/relationships/hyperlink" Target="https://drive.google.com/file/d/1chU_FHEKTe5IRkYYviExRSB-wNuIm-32/view?usp=sharing" TargetMode="External"/><Relationship Id="rId72" Type="http://schemas.openxmlformats.org/officeDocument/2006/relationships/hyperlink" Target="https://drive.google.com/file/d/1OgepZaldumxQK9RG5CoNsI-dhr6xaFyM/view?usp=share_link" TargetMode="External"/><Relationship Id="rId93" Type="http://schemas.openxmlformats.org/officeDocument/2006/relationships/hyperlink" Target="https://drive.google.com/file/d/1Fl5UZ3CCJK3jj-rJJJUTORu5Qwd-SHeh/view?usp=share_link" TargetMode="External"/><Relationship Id="rId98" Type="http://schemas.openxmlformats.org/officeDocument/2006/relationships/hyperlink" Target="https://drive.google.com/file/d/1ez9BA_mNJmbaNIC6Hejkhb9wZ1l-cgWV/view?usp=share_link" TargetMode="External"/><Relationship Id="rId121" Type="http://schemas.openxmlformats.org/officeDocument/2006/relationships/hyperlink" Target="https://drive.google.com/file/d/1XGiTKK2Et0OiVPRR8AZwTMJmlhhJ1Zuv/view?usp=share_link" TargetMode="External"/><Relationship Id="rId142" Type="http://schemas.openxmlformats.org/officeDocument/2006/relationships/hyperlink" Target="https://drive.google.com/file/d/17IFZ7PBNnIfOADbG-1uoPwX5lO8JSd8U/view?usp=sharing" TargetMode="External"/><Relationship Id="rId163" Type="http://schemas.openxmlformats.org/officeDocument/2006/relationships/vmlDrawing" Target="../drawings/vmlDrawing1.vml"/><Relationship Id="rId3" Type="http://schemas.openxmlformats.org/officeDocument/2006/relationships/hyperlink" Target="https://drive.google.com/file/d/1Yc64UatqSTlu17lRD27dD1PcjLnVZoL7/view?usp=sharing" TargetMode="External"/><Relationship Id="rId25" Type="http://schemas.openxmlformats.org/officeDocument/2006/relationships/hyperlink" Target="https://drive.google.com/file/d/1eOzehJidpquZhRly7WZJl8sKNRFI1Onj/view?usp=sharing" TargetMode="External"/><Relationship Id="rId46" Type="http://schemas.openxmlformats.org/officeDocument/2006/relationships/hyperlink" Target="https://drive.google.com/file/d/13nTMziR3EvYnKA--dSJ26BAF3Ir3-bYs/view?usp=sharing" TargetMode="External"/><Relationship Id="rId67" Type="http://schemas.openxmlformats.org/officeDocument/2006/relationships/hyperlink" Target="https://drive.google.com/file/d/1hpdPr4Dw996vw69TGkQtn1G7m_XuH5um/view?usp=share_link" TargetMode="External"/><Relationship Id="rId116" Type="http://schemas.openxmlformats.org/officeDocument/2006/relationships/hyperlink" Target="https://drive.google.com/file/d/1YSKVFmb8zc3C2lyTU76LXNuNHJ81ARbD/view?usp=sharing" TargetMode="External"/><Relationship Id="rId137" Type="http://schemas.openxmlformats.org/officeDocument/2006/relationships/hyperlink" Target="https://drive.google.com/file/d/16wwc73RD9ztlpmC7bKs-SaD30z0iXV7l/view?usp=drive_link" TargetMode="External"/><Relationship Id="rId158" Type="http://schemas.openxmlformats.org/officeDocument/2006/relationships/hyperlink" Target="https://drive.google.com/file/d/1CP47qBu66DrRlX7xnyRvWUV_ljP9bqCx/view?usp=share_link" TargetMode="External"/><Relationship Id="rId20" Type="http://schemas.openxmlformats.org/officeDocument/2006/relationships/hyperlink" Target="https://drive.google.com/file/d/1sUwVvZparXQjJmLA45okLptLspX6NNOS/view?usp=sharing" TargetMode="External"/><Relationship Id="rId41" Type="http://schemas.openxmlformats.org/officeDocument/2006/relationships/hyperlink" Target="https://drive.google.com/file/d/1o4g1EwoNJTp1GCtz35PJyW847NmkHvKb/view?usp=sharing" TargetMode="External"/><Relationship Id="rId62" Type="http://schemas.openxmlformats.org/officeDocument/2006/relationships/hyperlink" Target="https://drive.google.com/file/d/19rpxPGFMAKD41iCL4Tz_BRsFXP67lTzN/view?usp=share_link" TargetMode="External"/><Relationship Id="rId83" Type="http://schemas.openxmlformats.org/officeDocument/2006/relationships/hyperlink" Target="https://drive.google.com/file/d/12fulVRF0IizbmVp_a1GYcMMrCHgpfdx7/view?usp=share_link" TargetMode="External"/><Relationship Id="rId88" Type="http://schemas.openxmlformats.org/officeDocument/2006/relationships/hyperlink" Target="https://drive.google.com/file/d/1uJ3wHJBbhVGjR1tzY6s1Zu5s1tmmAsTd/view?usp=share_link" TargetMode="External"/><Relationship Id="rId111" Type="http://schemas.openxmlformats.org/officeDocument/2006/relationships/hyperlink" Target="https://drive.google.com/file/d/1rdKjtuQeFOfR6eB_jk3GDznLf6SUHgrY/view?usp=sharing" TargetMode="External"/><Relationship Id="rId132" Type="http://schemas.openxmlformats.org/officeDocument/2006/relationships/hyperlink" Target="https://drive.google.com/file/d/1AwHoIp28NfAIVt_nXLzMpM6RfDxSpcGj/view?usp=sharing" TargetMode="External"/><Relationship Id="rId153" Type="http://schemas.openxmlformats.org/officeDocument/2006/relationships/hyperlink" Target="https://drive.google.com/file/d/1lfyUCKeAw53-tXJuN6XHiJsii1z9oXiD/view?usp=drive_link" TargetMode="External"/><Relationship Id="rId15" Type="http://schemas.openxmlformats.org/officeDocument/2006/relationships/hyperlink" Target="https://drive.google.com/file/d/1hTxMJVrTt4XkjQt81q89L6pJ6sd3y452/view?usp=sharing" TargetMode="External"/><Relationship Id="rId36" Type="http://schemas.openxmlformats.org/officeDocument/2006/relationships/hyperlink" Target="https://drive.google.com/file/d/1puJoii7agUY4opbhw1Y6GKIEhaG8iF0t/view?usp=sharing" TargetMode="External"/><Relationship Id="rId57" Type="http://schemas.openxmlformats.org/officeDocument/2006/relationships/hyperlink" Target="https://drive.google.com/file/d/1r8dzMxW6Y-FJXJcSYwFFKn9QJAuO5U0q/view?usp=share_link" TargetMode="External"/><Relationship Id="rId106" Type="http://schemas.openxmlformats.org/officeDocument/2006/relationships/hyperlink" Target="https://drive.google.com/file/d/1TZ9AcuE3FIZuKDmkck1zu0NSIQus_Kbr/view?usp=sharing" TargetMode="External"/><Relationship Id="rId127" Type="http://schemas.openxmlformats.org/officeDocument/2006/relationships/hyperlink" Target="https://drive.google.com/file/d/1BOZiFxZIsex6whOyo8ZIgktlblQRa_wo/view?usp=share_link" TargetMode="External"/><Relationship Id="rId10" Type="http://schemas.openxmlformats.org/officeDocument/2006/relationships/hyperlink" Target="https://drive.google.com/file/d/1FU-RQ-B_rjxl3oxHFfySZ1H5AQLyOx-d/view?usp=sharing" TargetMode="External"/><Relationship Id="rId31" Type="http://schemas.openxmlformats.org/officeDocument/2006/relationships/hyperlink" Target="https://drive.google.com/file/d/1o5JAGv2Qo85kbfJwcIfxlAnfQusArz2E/view?usp=sharing" TargetMode="External"/><Relationship Id="rId52" Type="http://schemas.openxmlformats.org/officeDocument/2006/relationships/hyperlink" Target="https://drive.google.com/file/d/127CVFk3U3p3qUK6yUbG5y2wGZO9X05u0/view?usp=sharing" TargetMode="External"/><Relationship Id="rId73" Type="http://schemas.openxmlformats.org/officeDocument/2006/relationships/hyperlink" Target="https://drive.google.com/file/d/1Nje_jnzUuzvNktBpa9Lky7_fWahfXzNj/view?usp=share_link" TargetMode="External"/><Relationship Id="rId78" Type="http://schemas.openxmlformats.org/officeDocument/2006/relationships/hyperlink" Target="https://drive.google.com/file/d/1_KyMBAKfiVUDUxQDov_KGsyRkSOHlDS2/view?usp=share_link" TargetMode="External"/><Relationship Id="rId94" Type="http://schemas.openxmlformats.org/officeDocument/2006/relationships/hyperlink" Target="https://drive.google.com/file/d/1Fl5UZ3CCJK3jj-rJJJUTORu5Qwd-SHeh/view?usp=share_link" TargetMode="External"/><Relationship Id="rId99" Type="http://schemas.openxmlformats.org/officeDocument/2006/relationships/hyperlink" Target="https://drive.google.com/file/d/1Q_QzDTOjLyYF_C6NeWFfxyJQNFp6GzE-/view?usp=share_link" TargetMode="External"/><Relationship Id="rId101" Type="http://schemas.openxmlformats.org/officeDocument/2006/relationships/hyperlink" Target="https://drive.google.com/file/d/1fQR19nvLfg2Dhp7h0nOHsNtNnENg2khy/view?usp=sharing" TargetMode="External"/><Relationship Id="rId122" Type="http://schemas.openxmlformats.org/officeDocument/2006/relationships/hyperlink" Target="https://drive.google.com/file/d/1lN7xWJGRsGcspcQbaX2QNuOWLIIHYMbY/view?usp=drive_link" TargetMode="External"/><Relationship Id="rId143" Type="http://schemas.openxmlformats.org/officeDocument/2006/relationships/hyperlink" Target="https://drive.google.com/file/d/1TiRIRD7ydq4yBp4joVctIsxe_iyoBYtk/view?usp=sharing" TargetMode="External"/><Relationship Id="rId148" Type="http://schemas.openxmlformats.org/officeDocument/2006/relationships/hyperlink" Target="https://drive.google.com/file/d/1SAH40E5moG9sxkOi1wKkRvlavEm-n70j/view?usp=sharing" TargetMode="External"/><Relationship Id="rId164" Type="http://schemas.openxmlformats.org/officeDocument/2006/relationships/comments" Target="../comments1.xml"/><Relationship Id="rId4" Type="http://schemas.openxmlformats.org/officeDocument/2006/relationships/hyperlink" Target="https://drive.google.com/file/d/102LMV24yn5wVYTDWPpLrfaNYYHpUrTSV/view?usp=sharing" TargetMode="External"/><Relationship Id="rId9" Type="http://schemas.openxmlformats.org/officeDocument/2006/relationships/hyperlink" Target="https://drive.google.com/file/d/19NTQ6R93ON87BFOkW9AhNarMrrg2sNNY/view?usp=sharing" TargetMode="External"/><Relationship Id="rId26" Type="http://schemas.openxmlformats.org/officeDocument/2006/relationships/hyperlink" Target="https://drive.google.com/file/d/1hQ6bVI-Yz4rhvJvJBkqh4pbhmTBBoPT2/view?usp=sharing" TargetMode="External"/><Relationship Id="rId47" Type="http://schemas.openxmlformats.org/officeDocument/2006/relationships/hyperlink" Target="https://drive.google.com/file/d/1en4fuTpUPwvJlIo0flwF_diP3c-zLXw5/view?usp=sharing" TargetMode="External"/><Relationship Id="rId68" Type="http://schemas.openxmlformats.org/officeDocument/2006/relationships/hyperlink" Target="https://drive.google.com/file/d/1BJ7RXZUZTDkPC79-AOz9Orm5DRtwfqKB/view?usp=share_link" TargetMode="External"/><Relationship Id="rId89" Type="http://schemas.openxmlformats.org/officeDocument/2006/relationships/hyperlink" Target="https://drive.google.com/file/d/1WACpp8ZReW_Yo5OG5X6TMIoQjfd-w3eR/view?usp=share_link" TargetMode="External"/><Relationship Id="rId112" Type="http://schemas.openxmlformats.org/officeDocument/2006/relationships/hyperlink" Target="https://drive.google.com/file/d/1435snUTiZnMK-N-5UhaRhqyof8RVIDT-/view?usp=share_link" TargetMode="External"/><Relationship Id="rId133" Type="http://schemas.openxmlformats.org/officeDocument/2006/relationships/hyperlink" Target="https://drive.google.com/file/d/1MG3BCri1igBMmj2Pr0_oHjC8mNN0Pnmm/view?usp=drive_link" TargetMode="External"/><Relationship Id="rId154" Type="http://schemas.openxmlformats.org/officeDocument/2006/relationships/hyperlink" Target="https://drive.google.com/file/d/1nsXnR9bKcXYQfCGWZ2GDWKzizjsuWt7H/view?usp=drive_link" TargetMode="External"/><Relationship Id="rId16" Type="http://schemas.openxmlformats.org/officeDocument/2006/relationships/hyperlink" Target="https://drive.google.com/file/d/1K6yPr0sS4ZS3CUn6C5crONzOLag5t8r2/view?usp=sharing" TargetMode="External"/><Relationship Id="rId37" Type="http://schemas.openxmlformats.org/officeDocument/2006/relationships/hyperlink" Target="https://drive.google.com/file/d/1v9H7xLhoC1VrYV2fWUBU36frcXQhi4WT/view?usp=sharing" TargetMode="External"/><Relationship Id="rId58" Type="http://schemas.openxmlformats.org/officeDocument/2006/relationships/hyperlink" Target="https://drive.google.com/file/d/1_NnwKrP6L2X4vKtkYiNpbCEpvTRDudEW/view?usp=share_link" TargetMode="External"/><Relationship Id="rId79" Type="http://schemas.openxmlformats.org/officeDocument/2006/relationships/hyperlink" Target="https://drive.google.com/file/d/1K3i2prdmXn7BFcALqYnDgyO-L-CkeA3r/view?usp=share_link" TargetMode="External"/><Relationship Id="rId102" Type="http://schemas.openxmlformats.org/officeDocument/2006/relationships/hyperlink" Target="https://drive.google.com/file/d/1eOOSyuFTZeFkMnpHnTiM6KjHCewyvZuX/view?usp=sharing" TargetMode="External"/><Relationship Id="rId123" Type="http://schemas.openxmlformats.org/officeDocument/2006/relationships/hyperlink" Target="https://drive.google.com/file/d/1YEnLRaC7gpSXsODyxYhw4wQBMdcw0tjf/view?usp=sharing" TargetMode="External"/><Relationship Id="rId144" Type="http://schemas.openxmlformats.org/officeDocument/2006/relationships/hyperlink" Target="https://drive.google.com/file/d/1SAH40E5moG9sxkOi1wKkRvlavEm-n70j/view?usp=sharing" TargetMode="External"/><Relationship Id="rId90" Type="http://schemas.openxmlformats.org/officeDocument/2006/relationships/hyperlink" Target="https://drive.google.com/file/d/1_KyMBAKfiVUDUxQDov_KGsyRkSOHlDS2/view?usp=share_link" TargetMode="External"/><Relationship Id="rId27" Type="http://schemas.openxmlformats.org/officeDocument/2006/relationships/hyperlink" Target="https://drive.google.com/file/d/1j0yn0FbwUTaLnn6wwtFNfMiI91oiMmHF/view?usp=sharing" TargetMode="External"/><Relationship Id="rId48" Type="http://schemas.openxmlformats.org/officeDocument/2006/relationships/hyperlink" Target="https://drive.google.com/file/d/1TqW8GBeCsVi9qAPg4gY-WkQhdlnZo1NQ/view?usp=sharing" TargetMode="External"/><Relationship Id="rId69" Type="http://schemas.openxmlformats.org/officeDocument/2006/relationships/hyperlink" Target="https://drive.google.com/file/d/1CP47qBu66DrRlX7xnyRvWUV_ljP9bqCx/view?usp=share_link" TargetMode="External"/><Relationship Id="rId113" Type="http://schemas.openxmlformats.org/officeDocument/2006/relationships/hyperlink" Target="https://drive.google.com/file/d/1435snUTiZnMK-N-5UhaRhqyof8RVIDT-/view?usp=share_link" TargetMode="External"/><Relationship Id="rId134" Type="http://schemas.openxmlformats.org/officeDocument/2006/relationships/hyperlink" Target="https://drive.google.com/file/d/1w3D218SIbZwlQx23VRE8Nk3mL47-TmSc/view?usp=drive_link" TargetMode="External"/><Relationship Id="rId80" Type="http://schemas.openxmlformats.org/officeDocument/2006/relationships/hyperlink" Target="https://drive.google.com/file/d/1K3i2prdmXn7BFcALqYnDgyO-L-CkeA3r/view?usp=share_link" TargetMode="External"/><Relationship Id="rId155" Type="http://schemas.openxmlformats.org/officeDocument/2006/relationships/hyperlink" Target="https://drive.google.com/file/d/1vlkwS2hVbOmOILocPFge_RkxIhNIkOf_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SB5X_Cx3mC6AugNYszyoG9qaFTePYM0y/view?usp=share_link" TargetMode="External"/><Relationship Id="rId21" Type="http://schemas.openxmlformats.org/officeDocument/2006/relationships/hyperlink" Target="https://drive.google.com/file/d/1ekCACP5QXiQguwRJgFf5rmoJRc-yiUkZ/view?usp=sharing" TargetMode="External"/><Relationship Id="rId42" Type="http://schemas.openxmlformats.org/officeDocument/2006/relationships/hyperlink" Target="https://drive.google.com/file/d/1y_FIjO8ivJ2Qy3epwzCtMHpvHKCL-GPB/view?usp=sharing" TargetMode="External"/><Relationship Id="rId63" Type="http://schemas.openxmlformats.org/officeDocument/2006/relationships/hyperlink" Target="https://drive.google.com/file/d/1lBPF7rgu6uh04VJtbrDba3d80H26Hcit/view?usp=drive_link" TargetMode="External"/><Relationship Id="rId84" Type="http://schemas.openxmlformats.org/officeDocument/2006/relationships/hyperlink" Target="https://drive.google.com/file/d/1o-E8S2HSJB8SCLb2QRvLfzJQBKF9fuqC/view?usp=drive_link" TargetMode="External"/><Relationship Id="rId138" Type="http://schemas.openxmlformats.org/officeDocument/2006/relationships/hyperlink" Target="https://drive.google.com/file/d/1Us-erAbhYBTVFL7-EKJOJkr6RK40V7hq/view?usp=share_link" TargetMode="External"/><Relationship Id="rId159" Type="http://schemas.openxmlformats.org/officeDocument/2006/relationships/hyperlink" Target="https://drive.google.com/file/d/1fQR19nvLfg2Dhp7h0nOHsNtNnENg2khy/view?usp=sharing" TargetMode="External"/><Relationship Id="rId107" Type="http://schemas.openxmlformats.org/officeDocument/2006/relationships/hyperlink" Target="file:///C:\Users\robert.gergely\Pictures\401450.jpg" TargetMode="External"/><Relationship Id="rId11" Type="http://schemas.openxmlformats.org/officeDocument/2006/relationships/hyperlink" Target="https://drive.google.com/file/d/1B7EGsBQuqV-rUtk1F6wklKvC1xXsQONv/view?usp=drive_link" TargetMode="External"/><Relationship Id="rId32" Type="http://schemas.openxmlformats.org/officeDocument/2006/relationships/hyperlink" Target="https://drive.google.com/file/d/1bCt-bTkCuTB5KJ6JVsiy2JDJQve-XHXi/view?usp=sharing" TargetMode="External"/><Relationship Id="rId53" Type="http://schemas.openxmlformats.org/officeDocument/2006/relationships/hyperlink" Target="https://drive.google.com/file/d/19pOhOdiuef-fTW3Hk_VmGUP8fZ9h8hNj/view?usp=sharing" TargetMode="External"/><Relationship Id="rId74" Type="http://schemas.openxmlformats.org/officeDocument/2006/relationships/hyperlink" Target="https://drive.google.com/file/d/1lfyUCKeAw53-tXJuN6XHiJsii1z9oXiD/view?usp=drive_link" TargetMode="External"/><Relationship Id="rId128" Type="http://schemas.openxmlformats.org/officeDocument/2006/relationships/hyperlink" Target="https://drive.google.com/file/d/19rpxPGFMAKD41iCL4Tz_BRsFXP67lTzN/view?usp=share_link" TargetMode="External"/><Relationship Id="rId149" Type="http://schemas.openxmlformats.org/officeDocument/2006/relationships/hyperlink" Target="https://drive.google.com/file/d/1MLaqfMa0BYws8WcEeucrnWqWasKbvNFL/view?usp=share_link" TargetMode="External"/><Relationship Id="rId5" Type="http://schemas.openxmlformats.org/officeDocument/2006/relationships/hyperlink" Target="https://drive.google.com/file/d/1WLJ-kJbd5IH4Bw5elij_0UVd6267RaAg/view?usp=sharing" TargetMode="External"/><Relationship Id="rId95" Type="http://schemas.openxmlformats.org/officeDocument/2006/relationships/hyperlink" Target="https://drive.google.com/file/d/1iZjX2w7rCMSNfFoOA9lbYDiJnG5UzzIN/view?usp=sharing" TargetMode="External"/><Relationship Id="rId160" Type="http://schemas.openxmlformats.org/officeDocument/2006/relationships/hyperlink" Target="https://drive.google.com/file/d/13daTx9G0zz-UVwPWMWHSmW_q6JMeyPLS/view" TargetMode="External"/><Relationship Id="rId22" Type="http://schemas.openxmlformats.org/officeDocument/2006/relationships/hyperlink" Target="https://drive.google.com/file/d/1K2fUa33hB32Fi596UmVvFhbSxPHkDAoF/view?usp=drive_link" TargetMode="External"/><Relationship Id="rId43" Type="http://schemas.openxmlformats.org/officeDocument/2006/relationships/hyperlink" Target="https://drive.google.com/file/d/1uq78C9NSjtmPb_aTLSZFORYcho7jp7lG/view?usp=sharing" TargetMode="External"/><Relationship Id="rId64" Type="http://schemas.openxmlformats.org/officeDocument/2006/relationships/hyperlink" Target="https://drive.google.com/file/d/1RPdNqPAjunHIvDQe8aLlp0E6Z_DqiTaa/view?usp=drive_link" TargetMode="External"/><Relationship Id="rId118" Type="http://schemas.openxmlformats.org/officeDocument/2006/relationships/hyperlink" Target="https://drive.google.com/file/d/1V6rmf2arJq5WxfxYaCulrjVhvHqXY_K6/view?usp=share_link" TargetMode="External"/><Relationship Id="rId139" Type="http://schemas.openxmlformats.org/officeDocument/2006/relationships/hyperlink" Target="https://drive.google.com/file/d/1USoyBQj36f56UCyRdtZw6cwi7D4650kN/view?usp=share_link" TargetMode="External"/><Relationship Id="rId85" Type="http://schemas.openxmlformats.org/officeDocument/2006/relationships/hyperlink" Target="https://drive.google.com/file/d/1z-XG7eVYUR01h_0tgIlFWkO1YgyBtOGk/view?usp=drive_link" TargetMode="External"/><Relationship Id="rId150" Type="http://schemas.openxmlformats.org/officeDocument/2006/relationships/hyperlink" Target="https://drive.google.com/file/d/1K3i2prdmXn7BFcALqYnDgyO-L-CkeA3r/view?usp=share_link" TargetMode="External"/><Relationship Id="rId12" Type="http://schemas.openxmlformats.org/officeDocument/2006/relationships/hyperlink" Target="https://drive.google.com/file/d/1UU3ZiX17ikBZYKvczNqEE3ooCFZsMhwf/view?usp=share_link" TargetMode="External"/><Relationship Id="rId17" Type="http://schemas.openxmlformats.org/officeDocument/2006/relationships/hyperlink" Target="https://drive.google.com/file/d/1FBKN265kM6S2dYpyCs0hP8Ev6cQljajo/view?usp=sharing" TargetMode="External"/><Relationship Id="rId33" Type="http://schemas.openxmlformats.org/officeDocument/2006/relationships/hyperlink" Target="https://drive.google.com/file/d/19NTQ6R93ON87BFOkW9AhNarMrrg2sNNY/view?usp=sharing" TargetMode="External"/><Relationship Id="rId38" Type="http://schemas.openxmlformats.org/officeDocument/2006/relationships/hyperlink" Target="https://drive.google.com/file/d/12Jogu9_A0-ZolaubeIm0vbLSTxlPIwEi/view?usp=sharing" TargetMode="External"/><Relationship Id="rId59" Type="http://schemas.openxmlformats.org/officeDocument/2006/relationships/hyperlink" Target="https://drive.google.com/file/d/1Pw-5A-D9rvYj0x0op0ynMZNv2K_4d70Q/view?usp=sharing" TargetMode="External"/><Relationship Id="rId103" Type="http://schemas.openxmlformats.org/officeDocument/2006/relationships/hyperlink" Target="https://drive.google.com/file/d/1J0pg1qkKhVWD7sVN_lTZVU8gDmJ87wnq/view?usp=drive_link" TargetMode="External"/><Relationship Id="rId108" Type="http://schemas.openxmlformats.org/officeDocument/2006/relationships/hyperlink" Target="file:///C:\Users\robert.gergely\Pictures\401449.jpg" TargetMode="External"/><Relationship Id="rId124" Type="http://schemas.openxmlformats.org/officeDocument/2006/relationships/hyperlink" Target="https://drive.google.com/file/d/1EqFGvF-Y9O2nCRVx-Jq4_VMh2HaxJSHS/view?usp=share_link" TargetMode="External"/><Relationship Id="rId129" Type="http://schemas.openxmlformats.org/officeDocument/2006/relationships/hyperlink" Target="https://drive.google.com/file/d/1ollVEO5q3-kTkMgoaeXnFcVJ7wFeJwEe/view?usp=drive_link" TargetMode="External"/><Relationship Id="rId54" Type="http://schemas.openxmlformats.org/officeDocument/2006/relationships/hyperlink" Target="https://drive.google.com/file/d/1ir_5Wp1fsS24LOs_6kiGPpLgcyjRy70T/view?usp=sharing" TargetMode="External"/><Relationship Id="rId70" Type="http://schemas.openxmlformats.org/officeDocument/2006/relationships/hyperlink" Target="https://drive.google.com/file/d/1ScuUXDCsZN8yssY4JWYr5jcj6wLmgEuD/view?usp=sharing" TargetMode="External"/><Relationship Id="rId75" Type="http://schemas.openxmlformats.org/officeDocument/2006/relationships/hyperlink" Target="https://drive.google.com/file/d/1DtI2BjX3SLsH6HBr_bi3uPoowQMm1WzS/view?usp=drive_link" TargetMode="External"/><Relationship Id="rId91" Type="http://schemas.openxmlformats.org/officeDocument/2006/relationships/hyperlink" Target="https://drive.google.com/file/d/1iZjX2w7rCMSNfFoOA9lbYDiJnG5UzzIN/view?usp=sharing" TargetMode="External"/><Relationship Id="rId96" Type="http://schemas.openxmlformats.org/officeDocument/2006/relationships/hyperlink" Target="https://drive.google.com/file/d/1iZjX2w7rCMSNfFoOA9lbYDiJnG5UzzIN/view?usp=sharing" TargetMode="External"/><Relationship Id="rId140" Type="http://schemas.openxmlformats.org/officeDocument/2006/relationships/hyperlink" Target="https://drive.google.com/file/d/1OgepZaldumxQK9RG5CoNsI-dhr6xaFyM/view?usp=share_link" TargetMode="External"/><Relationship Id="rId145" Type="http://schemas.openxmlformats.org/officeDocument/2006/relationships/hyperlink" Target="https://drive.google.com/file/d/1435snUTiZnMK-N-5UhaRhqyof8RVIDT-/view?usp=share_link" TargetMode="External"/><Relationship Id="rId161" Type="http://schemas.openxmlformats.org/officeDocument/2006/relationships/hyperlink" Target="https://drive.google.com/file/d/13daTx9G0zz-UVwPWMWHSmW_q6JMeyPLS/view" TargetMode="External"/><Relationship Id="rId166" Type="http://schemas.openxmlformats.org/officeDocument/2006/relationships/hyperlink" Target="https://drive.google.com/file/d/10asIl3x7ubRYhzA22-lTCr-3DTvR4ApX/view?usp=drive_link" TargetMode="External"/><Relationship Id="rId1" Type="http://schemas.openxmlformats.org/officeDocument/2006/relationships/hyperlink" Target="https://drive.google.com/file/d/1ExvrB0Jeur1JPp6_IqRWoCLoJLge3HPk/view?usp=sharing" TargetMode="External"/><Relationship Id="rId6" Type="http://schemas.openxmlformats.org/officeDocument/2006/relationships/hyperlink" Target="https://drive.google.com/file/d/1I4j_1FUwlrZJrKAGkBtWNHGTsMgIpKk5/view?usp=sharing" TargetMode="External"/><Relationship Id="rId23" Type="http://schemas.openxmlformats.org/officeDocument/2006/relationships/hyperlink" Target="https://drive.google.com/file/d/1OvoHic_XHvl3pTov6kWh-YGPZnAHcl6Z/view?usp=drive_link" TargetMode="External"/><Relationship Id="rId28" Type="http://schemas.openxmlformats.org/officeDocument/2006/relationships/hyperlink" Target="https://drive.google.com/file/d/15IzzocwAPd91WtAQLyOKw1k_OgXeD34t/view?usp=sharing" TargetMode="External"/><Relationship Id="rId49" Type="http://schemas.openxmlformats.org/officeDocument/2006/relationships/hyperlink" Target="https://drive.google.com/file/d/1ncvBs2cjdw55hfrtF-gDBDZlfwuoVGcR/view?usp=sharing" TargetMode="External"/><Relationship Id="rId114" Type="http://schemas.openxmlformats.org/officeDocument/2006/relationships/hyperlink" Target="https://drive.google.com/file/d/1hHd2tVw0hdnnKt3bdqOv0-D0vN0IiiaQ/view?usp=share_link" TargetMode="External"/><Relationship Id="rId119" Type="http://schemas.openxmlformats.org/officeDocument/2006/relationships/hyperlink" Target="https://drive.google.com/file/d/1sfA7UmVoSu3pKGDTRcYomG9hKh8RIIsO/view?usp=share_link" TargetMode="External"/><Relationship Id="rId44" Type="http://schemas.openxmlformats.org/officeDocument/2006/relationships/hyperlink" Target="https://drive.google.com/file/d/1iZjX2w7rCMSNfFoOA9lbYDiJnG5UzzIN/view?usp=sharing" TargetMode="External"/><Relationship Id="rId60" Type="http://schemas.openxmlformats.org/officeDocument/2006/relationships/hyperlink" Target="https://drive.google.com/file/d/1zhr3AuJ7cEG6ghT6kjY8LTZ1-3rKuI6B/view?usp=share_link" TargetMode="External"/><Relationship Id="rId65" Type="http://schemas.openxmlformats.org/officeDocument/2006/relationships/hyperlink" Target="https://drive.google.com/file/d/1ixQII3UnPb0Lfht9n1pfxojI4ewC6Jcm/view?usp=drive_link" TargetMode="External"/><Relationship Id="rId81" Type="http://schemas.openxmlformats.org/officeDocument/2006/relationships/hyperlink" Target="https://drive.google.com/file/d/1MG3BCri1igBMmj2Pr0_oHjC8mNN0Pnmm/view?usp=drive_link" TargetMode="External"/><Relationship Id="rId86" Type="http://schemas.openxmlformats.org/officeDocument/2006/relationships/hyperlink" Target="https://drive.google.com/file/d/17qM7AbGO9-BjL715DB5JclIj75HtzkHZ/view?usp=drive_link" TargetMode="External"/><Relationship Id="rId130" Type="http://schemas.openxmlformats.org/officeDocument/2006/relationships/hyperlink" Target="https://drive.google.com/file/d/1ApVHLj03t49muUqWT8qVdmyyy1c7geRk/view?usp=share_link" TargetMode="External"/><Relationship Id="rId135" Type="http://schemas.openxmlformats.org/officeDocument/2006/relationships/hyperlink" Target="https://drive.google.com/file/d/1CP47qBu66DrRlX7xnyRvWUV_ljP9bqCx/view?usp=share_link" TargetMode="External"/><Relationship Id="rId151" Type="http://schemas.openxmlformats.org/officeDocument/2006/relationships/hyperlink" Target="https://drive.google.com/file/d/1K3i2prdmXn7BFcALqYnDgyO-L-CkeA3r/view?usp=share_link" TargetMode="External"/><Relationship Id="rId156" Type="http://schemas.openxmlformats.org/officeDocument/2006/relationships/hyperlink" Target="https://drive.google.com/file/d/1MLaqfMa0BYws8WcEeucrnWqWasKbvNFL/view?usp=share_link" TargetMode="External"/><Relationship Id="rId13" Type="http://schemas.openxmlformats.org/officeDocument/2006/relationships/hyperlink" Target="https://drive.google.com/file/d/1sCYT-h_QP7WlkkTlwKL0I5jSGFcpjMT0/view?usp=drive_link" TargetMode="External"/><Relationship Id="rId18" Type="http://schemas.openxmlformats.org/officeDocument/2006/relationships/hyperlink" Target="https://drive.google.com/file/d/1sUwVvZparXQjJmLA45okLptLspX6NNOS/view?usp=sharing" TargetMode="External"/><Relationship Id="rId39" Type="http://schemas.openxmlformats.org/officeDocument/2006/relationships/hyperlink" Target="https://drive.google.com/file/d/1hTxMJVrTt4XkjQt81q89L6pJ6sd3y452/view?usp=sharing" TargetMode="External"/><Relationship Id="rId109" Type="http://schemas.openxmlformats.org/officeDocument/2006/relationships/hyperlink" Target="https://drive.google.com/file/d/1eOzehJidpquZhRly7WZJl8sKNRFI1Onj/view?usp=sharing" TargetMode="External"/><Relationship Id="rId34" Type="http://schemas.openxmlformats.org/officeDocument/2006/relationships/hyperlink" Target="https://drive.google.com/file/d/1FU-RQ-B_rjxl3oxHFfySZ1H5AQLyOx-d/view?usp=sharing" TargetMode="External"/><Relationship Id="rId50" Type="http://schemas.openxmlformats.org/officeDocument/2006/relationships/hyperlink" Target="https://drive.google.com/file/d/1sZnPetBpmDi6IveNO-hrGYSabF7IrVYy/view?usp=drive_link" TargetMode="External"/><Relationship Id="rId55" Type="http://schemas.openxmlformats.org/officeDocument/2006/relationships/hyperlink" Target="https://drive.google.com/file/d/1j4fFAG5yBXZ5mJYphYJB5phigkRRMNVq/view?usp=sharing" TargetMode="External"/><Relationship Id="rId76" Type="http://schemas.openxmlformats.org/officeDocument/2006/relationships/hyperlink" Target="https://drive.google.com/file/d/1TPdjxr5Qyz_q3a5XRJeIC113eSxfh_nf/view?usp=drive_link" TargetMode="External"/><Relationship Id="rId97" Type="http://schemas.openxmlformats.org/officeDocument/2006/relationships/hyperlink" Target="https://drive.google.com/file/d/1X0jmy5e2JU3xGiUfUsz6IAld48uru1Yv/view?usp=drive_link" TargetMode="External"/><Relationship Id="rId104" Type="http://schemas.openxmlformats.org/officeDocument/2006/relationships/hyperlink" Target="https://drive.google.com/file/d/1AwHoIp28NfAIVt_nXLzMpM6RfDxSpcGj/view?usp=sharing" TargetMode="External"/><Relationship Id="rId120" Type="http://schemas.openxmlformats.org/officeDocument/2006/relationships/hyperlink" Target="https://drive.google.com/file/d/1CP47qBu66DrRlX7xnyRvWUV_ljP9bqCx/view?usp=share_link" TargetMode="External"/><Relationship Id="rId125" Type="http://schemas.openxmlformats.org/officeDocument/2006/relationships/hyperlink" Target="https://drive.google.com/file/d/1SB5X_Cx3mC6AugNYszyoG9qaFTePYM0y/view?usp=share_link" TargetMode="External"/><Relationship Id="rId141" Type="http://schemas.openxmlformats.org/officeDocument/2006/relationships/hyperlink" Target="https://drive.google.com/file/d/1Nje_jnzUuzvNktBpa9Lky7_fWahfXzNj/view?usp=share_link" TargetMode="External"/><Relationship Id="rId146" Type="http://schemas.openxmlformats.org/officeDocument/2006/relationships/hyperlink" Target="https://drive.google.com/file/d/1435snUTiZnMK-N-5UhaRhqyof8RVIDT-/view?usp=share_link" TargetMode="External"/><Relationship Id="rId167" Type="http://schemas.openxmlformats.org/officeDocument/2006/relationships/vmlDrawing" Target="../drawings/vmlDrawing2.vml"/><Relationship Id="rId7" Type="http://schemas.openxmlformats.org/officeDocument/2006/relationships/hyperlink" Target="https://drive.google.com/file/d/1k8rkc7rRaxfh_-QhHiRL1-RV9iJcjama/view?usp=sharing" TargetMode="External"/><Relationship Id="rId71" Type="http://schemas.openxmlformats.org/officeDocument/2006/relationships/hyperlink" Target="https://drive.google.com/file/d/1WTn-nNrzGqSrL-vJX2IropLkysstMgsu/view?usp=share_link" TargetMode="External"/><Relationship Id="rId92" Type="http://schemas.openxmlformats.org/officeDocument/2006/relationships/hyperlink" Target="https://drive.google.com/file/d/1iZjX2w7rCMSNfFoOA9lbYDiJnG5UzzIN/view?usp=sharing" TargetMode="External"/><Relationship Id="rId162" Type="http://schemas.openxmlformats.org/officeDocument/2006/relationships/hyperlink" Target="https://drive.google.com/file/d/1WRm4EN72kiFy9dQFFcrlgtgII-A6K1JK/view?usp=drive_link" TargetMode="External"/><Relationship Id="rId2" Type="http://schemas.openxmlformats.org/officeDocument/2006/relationships/hyperlink" Target="https://drive.google.com/file/d/1IbGj57dp0seHbvI62e_3roby7UT4jGY7/view?usp=drive_link" TargetMode="External"/><Relationship Id="rId29" Type="http://schemas.openxmlformats.org/officeDocument/2006/relationships/hyperlink" Target="https://drive.google.com/file/d/1pnB162Y997jIiGCZ9Azw171-y4cHJdCn/view?usp=sharing" TargetMode="External"/><Relationship Id="rId24" Type="http://schemas.openxmlformats.org/officeDocument/2006/relationships/hyperlink" Target="https://drive.google.com/file/d/1keKswTO5xrBNE6w9MCePo0soK59jlvtV/view?usp=sharing" TargetMode="External"/><Relationship Id="rId40" Type="http://schemas.openxmlformats.org/officeDocument/2006/relationships/hyperlink" Target="https://drive.google.com/file/d/1K6yPr0sS4ZS3CUn6C5crONzOLag5t8r2/view?usp=sharing" TargetMode="External"/><Relationship Id="rId45" Type="http://schemas.openxmlformats.org/officeDocument/2006/relationships/hyperlink" Target="https://drive.google.com/file/d/1xBCVmeSFr2H2G70-rZU9KaQVXyx9Hjqf/view?usp=sharing" TargetMode="External"/><Relationship Id="rId66" Type="http://schemas.openxmlformats.org/officeDocument/2006/relationships/hyperlink" Target="https://drive.google.com/file/d/1qacQr1Sxf-ulpyRuYuOuX2t9Lliy43-h/view?usp=drive_link" TargetMode="External"/><Relationship Id="rId87" Type="http://schemas.openxmlformats.org/officeDocument/2006/relationships/hyperlink" Target="https://drive.google.com/file/d/18xRh3YWNoPEc0D4FzFJU_r7Qi-wywSKo/view?usp=drive_link" TargetMode="External"/><Relationship Id="rId110" Type="http://schemas.openxmlformats.org/officeDocument/2006/relationships/hyperlink" Target="https://drive.google.com/file/d/1WWW1LWMh_4I3HlWF5d9CZRritN-6bR7A/view?usp=sharing" TargetMode="External"/><Relationship Id="rId115" Type="http://schemas.openxmlformats.org/officeDocument/2006/relationships/hyperlink" Target="https://drive.google.com/file/d/15mFRlVlD0z0sqAtr_zfv8SttKWFwUW86/view?usp=share_link" TargetMode="External"/><Relationship Id="rId131" Type="http://schemas.openxmlformats.org/officeDocument/2006/relationships/hyperlink" Target="https://drive.google.com/file/d/1WudkE2jFzd1b400SfBntOUcENAzta6GQ/view?usp=share_link" TargetMode="External"/><Relationship Id="rId136" Type="http://schemas.openxmlformats.org/officeDocument/2006/relationships/hyperlink" Target="https://drive.google.com/file/d/1BJ7RXZUZTDkPC79-AOz9Orm5DRtwfqKB/view?usp=share_link" TargetMode="External"/><Relationship Id="rId157" Type="http://schemas.openxmlformats.org/officeDocument/2006/relationships/hyperlink" Target="https://drive.google.com/file/d/1RZrmbNdWEfqONuobIY_6fWcTP1QgsLaW/view?usp=share_link" TargetMode="External"/><Relationship Id="rId61" Type="http://schemas.openxmlformats.org/officeDocument/2006/relationships/hyperlink" Target="https://drive.google.com/file/d/1qFxDt-_xIf84i5cmsfxu6A27l1yoNW4t/view?usp=sharing" TargetMode="External"/><Relationship Id="rId82" Type="http://schemas.openxmlformats.org/officeDocument/2006/relationships/hyperlink" Target="https://drive.google.com/file/d/17pRFZ7p6RWfHmH-bPfbfiS38WVdhImjX/view?usp=drive_link" TargetMode="External"/><Relationship Id="rId152" Type="http://schemas.openxmlformats.org/officeDocument/2006/relationships/hyperlink" Target="https://drive.google.com/file/d/1AAx2wgsmGVMMI6lzxzfKjqArIxJbaT22/view?usp=share_link" TargetMode="External"/><Relationship Id="rId19" Type="http://schemas.openxmlformats.org/officeDocument/2006/relationships/hyperlink" Target="https://drive.google.com/file/d/1Mz2BdCLwdCWNAe1etrjW5HrfLE51i_1Z/view?usp=sharing" TargetMode="External"/><Relationship Id="rId14" Type="http://schemas.openxmlformats.org/officeDocument/2006/relationships/hyperlink" Target="https://drive.google.com/file/d/1AVdBE6Ug-cTfH5Dg3J6K8ljTK_qUaTQX/view?usp=sharing" TargetMode="External"/><Relationship Id="rId30" Type="http://schemas.openxmlformats.org/officeDocument/2006/relationships/hyperlink" Target="https://drive.google.com/file/d/156NvD9eO7MAGI-AlKLVFbqp45sjUmgQK/view?usp=sharing" TargetMode="External"/><Relationship Id="rId35" Type="http://schemas.openxmlformats.org/officeDocument/2006/relationships/hyperlink" Target="https://drive.google.com/file/d/1nb0PQ8DNDhHSy2PWs33Fk1h-JRqsKXZZ/view?usp=sharing" TargetMode="External"/><Relationship Id="rId56" Type="http://schemas.openxmlformats.org/officeDocument/2006/relationships/hyperlink" Target="https://drive.google.com/file/d/17IFZ7PBNnIfOADbG-1uoPwX5lO8JSd8U/view?usp=sharing" TargetMode="External"/><Relationship Id="rId77" Type="http://schemas.openxmlformats.org/officeDocument/2006/relationships/hyperlink" Target="https://drive.google.com/file/d/1S35c31etoNm1UipMxCsl6ZZFziiW1kdt/view?usp=drive_link" TargetMode="External"/><Relationship Id="rId100" Type="http://schemas.openxmlformats.org/officeDocument/2006/relationships/hyperlink" Target="https://drive.google.com/file/d/1J0pg1qkKhVWD7sVN_lTZVU8gDmJ87wnq/view?usp=drive_link" TargetMode="External"/><Relationship Id="rId105" Type="http://schemas.openxmlformats.org/officeDocument/2006/relationships/hyperlink" Target="https://drive.google.com/file/d/1DXe0GNCsHqNb4sP8Ic2y_jOm6-4xk0DX/view?usp=share_link" TargetMode="External"/><Relationship Id="rId126" Type="http://schemas.openxmlformats.org/officeDocument/2006/relationships/hyperlink" Target="https://drive.google.com/file/d/1RZrmbNdWEfqONuobIY_6fWcTP1QgsLaW/view?usp=share_link" TargetMode="External"/><Relationship Id="rId147" Type="http://schemas.openxmlformats.org/officeDocument/2006/relationships/hyperlink" Target="https://drive.google.com/file/d/12fulVRF0IizbmVp_a1GYcMMrCHgpfdx7/view?usp=share_link" TargetMode="External"/><Relationship Id="rId168" Type="http://schemas.openxmlformats.org/officeDocument/2006/relationships/comments" Target="../comments2.xml"/><Relationship Id="rId8" Type="http://schemas.openxmlformats.org/officeDocument/2006/relationships/hyperlink" Target="https://drive.google.com/file/d/1liIfUqa1_Pmlw_Z-3yhEDTCpysV1jjc2/view?usp=drive_link" TargetMode="External"/><Relationship Id="rId51" Type="http://schemas.openxmlformats.org/officeDocument/2006/relationships/hyperlink" Target="https://drive.google.com/file/d/1NdQaEo5nsJfBlPyNqalT7be5vQbF-B0X/view?usp=sharing" TargetMode="External"/><Relationship Id="rId72" Type="http://schemas.openxmlformats.org/officeDocument/2006/relationships/hyperlink" Target="https://drive.google.com/file/d/1X6v7j4YswexchZK3hkE34bJM3WSKBdKJ/view?usp=share_link" TargetMode="External"/><Relationship Id="rId93" Type="http://schemas.openxmlformats.org/officeDocument/2006/relationships/hyperlink" Target="https://drive.google.com/file/d/1iZjX2w7rCMSNfFoOA9lbYDiJnG5UzzIN/view?usp=sharing" TargetMode="External"/><Relationship Id="rId98" Type="http://schemas.openxmlformats.org/officeDocument/2006/relationships/hyperlink" Target="https://drive.google.com/file/d/1qK4vIRbygfSq864vvR5myLrIX1hVAV8g/view?usp=drive_link" TargetMode="External"/><Relationship Id="rId121" Type="http://schemas.openxmlformats.org/officeDocument/2006/relationships/hyperlink" Target="https://drive.google.com/file/d/1Us-erAbhYBTVFL7-EKJOJkr6RK40V7hq/view?usp=share_link" TargetMode="External"/><Relationship Id="rId142" Type="http://schemas.openxmlformats.org/officeDocument/2006/relationships/hyperlink" Target="https://drive.google.com/file/d/1nzpBd6aPUuGlv8iczwmZf0eE21m3iJmD/view?usp=share_link" TargetMode="External"/><Relationship Id="rId163" Type="http://schemas.openxmlformats.org/officeDocument/2006/relationships/hyperlink" Target="https://drive.google.com/file/d/1GEUrgBTLR6uofm6fyRt9sgKF5vRQMQ7C/view?usp=share_link" TargetMode="External"/><Relationship Id="rId3" Type="http://schemas.openxmlformats.org/officeDocument/2006/relationships/hyperlink" Target="https://drive.google.com/file/d/1iZjX2w7rCMSNfFoOA9lbYDiJnG5UzzIN/view?usp=sharing" TargetMode="External"/><Relationship Id="rId25" Type="http://schemas.openxmlformats.org/officeDocument/2006/relationships/hyperlink" Target="https://drive.google.com/file/d/1keKswTO5xrBNE6w9MCePo0soK59jlvtV/view?usp=sharing" TargetMode="External"/><Relationship Id="rId46" Type="http://schemas.openxmlformats.org/officeDocument/2006/relationships/hyperlink" Target="https://drive.google.com/file/d/1-K2ViQs-199D95BZ5Pv3jhjngM82LcVx/view?usp=sharing" TargetMode="External"/><Relationship Id="rId67" Type="http://schemas.openxmlformats.org/officeDocument/2006/relationships/hyperlink" Target="https://drive.google.com/file/d/1K3i2prdmXn7BFcALqYnDgyO-L-CkeA3r/view?usp=share_link" TargetMode="External"/><Relationship Id="rId116" Type="http://schemas.openxmlformats.org/officeDocument/2006/relationships/hyperlink" Target="https://drive.google.com/file/d/1vF5tX2DDXQBbnF8gMEv9j_wIL8PjOuwd/view?usp=share_link" TargetMode="External"/><Relationship Id="rId137" Type="http://schemas.openxmlformats.org/officeDocument/2006/relationships/hyperlink" Target="https://drive.google.com/file/d/1LEjQUiGYmsCIg-BwgS31hDFDiC8Jcvp1/view?usp=share_link" TargetMode="External"/><Relationship Id="rId158" Type="http://schemas.openxmlformats.org/officeDocument/2006/relationships/hyperlink" Target="https://drive.google.com/file/d/13DGmUJI1wzEssYV5aZLoGn5GNFAW50fI/view?usp=drive_link" TargetMode="External"/><Relationship Id="rId20" Type="http://schemas.openxmlformats.org/officeDocument/2006/relationships/hyperlink" Target="https://drive.google.com/file/d/1j0yn0FbwUTaLnn6wwtFNfMiI91oiMmHF/view?usp=sharing" TargetMode="External"/><Relationship Id="rId41" Type="http://schemas.openxmlformats.org/officeDocument/2006/relationships/hyperlink" Target="https://drive.google.com/file/d/1rb5VOSfekwTX4ub_xRuc4FoW7K0bsHM2/view?usp=sharing" TargetMode="External"/><Relationship Id="rId62" Type="http://schemas.openxmlformats.org/officeDocument/2006/relationships/hyperlink" Target="https://drive.google.com/file/d/1roTDyyfW_wSAIUnthcg7ic4_w40agXq4/view?usp=drive_link" TargetMode="External"/><Relationship Id="rId83" Type="http://schemas.openxmlformats.org/officeDocument/2006/relationships/hyperlink" Target="https://drive.google.com/file/d/1vYxd2fCGfAcFuFWvNN49FGaie18xeMrN/view?usp=drive_link" TargetMode="External"/><Relationship Id="rId88" Type="http://schemas.openxmlformats.org/officeDocument/2006/relationships/hyperlink" Target="https://drive.google.com/file/d/1PLSCjB75urngy6L7REY1UEkDPIWo1u_8/view?usp=drive_link" TargetMode="External"/><Relationship Id="rId111" Type="http://schemas.openxmlformats.org/officeDocument/2006/relationships/hyperlink" Target="https://drive.google.com/file/d/1_NnwKrP6L2X4vKtkYiNpbCEpvTRDudEW/view?usp=share_link" TargetMode="External"/><Relationship Id="rId132" Type="http://schemas.openxmlformats.org/officeDocument/2006/relationships/hyperlink" Target="https://drive.google.com/file/d/1eksgt3NykCxJDbYe6ggnRjAlqt5JbBi1/view?usp=share_link" TargetMode="External"/><Relationship Id="rId153" Type="http://schemas.openxmlformats.org/officeDocument/2006/relationships/hyperlink" Target="https://drive.google.com/file/d/1fd3xV7QnyLBb6vAIKyuQsLYEDt5E-6ac/view?usp=sharing" TargetMode="External"/><Relationship Id="rId15" Type="http://schemas.openxmlformats.org/officeDocument/2006/relationships/hyperlink" Target="https://drive.google.com/file/d/1nsXnR9bKcXYQfCGWZ2GDWKzizjsuWt7H/view?usp=drive_link" TargetMode="External"/><Relationship Id="rId36" Type="http://schemas.openxmlformats.org/officeDocument/2006/relationships/hyperlink" Target="https://drive.google.com/file/d/1xCQKwxSLW8yFBaNkZA59194YA0kSxIUR/view?usp=sharing" TargetMode="External"/><Relationship Id="rId57" Type="http://schemas.openxmlformats.org/officeDocument/2006/relationships/hyperlink" Target="https://drive.google.com/file/d/1TiRIRD7ydq4yBp4joVctIsxe_iyoBYtk/view?usp=sharing" TargetMode="External"/><Relationship Id="rId106" Type="http://schemas.openxmlformats.org/officeDocument/2006/relationships/hyperlink" Target="https://drive.google.com/file/d/1CgqF4dz73iPrsiGITLQSnrz71OGYVvjO/view?usp=sharing" TargetMode="External"/><Relationship Id="rId127" Type="http://schemas.openxmlformats.org/officeDocument/2006/relationships/hyperlink" Target="https://drive.google.com/file/d/19rpxPGFMAKD41iCL4Tz_BRsFXP67lTzN/view?usp=share_link" TargetMode="External"/><Relationship Id="rId10" Type="http://schemas.openxmlformats.org/officeDocument/2006/relationships/hyperlink" Target="https://drive.google.com/file/d/1poSXJTvVcL9IpD4g4WHUmRcWL2gGDhm8/view?usp=share_link" TargetMode="External"/><Relationship Id="rId31" Type="http://schemas.openxmlformats.org/officeDocument/2006/relationships/hyperlink" Target="https://drive.google.com/file/d/1eOzehJidpquZhRly7WZJl8sKNRFI1Onj/view?usp=sharing" TargetMode="External"/><Relationship Id="rId52" Type="http://schemas.openxmlformats.org/officeDocument/2006/relationships/hyperlink" Target="https://drive.google.com/file/d/1rdKjtuQeFOfR6eB_jk3GDznLf6SUHgrY/view?usp=sharing" TargetMode="External"/><Relationship Id="rId73" Type="http://schemas.openxmlformats.org/officeDocument/2006/relationships/hyperlink" Target="https://drive.google.com/file/d/1eOzehJidpquZhRly7WZJl8sKNRFI1Onj/view?usp=sharing" TargetMode="External"/><Relationship Id="rId78" Type="http://schemas.openxmlformats.org/officeDocument/2006/relationships/hyperlink" Target="https://drive.google.com/file/d/1P7uTj0D0R6pSaxFlQiQ6qGbPxdtnmviJ/view?usp=drive_link" TargetMode="External"/><Relationship Id="rId94" Type="http://schemas.openxmlformats.org/officeDocument/2006/relationships/hyperlink" Target="https://drive.google.com/file/d/1iZjX2w7rCMSNfFoOA9lbYDiJnG5UzzIN/view?usp=sharing" TargetMode="External"/><Relationship Id="rId99" Type="http://schemas.openxmlformats.org/officeDocument/2006/relationships/hyperlink" Target="https://drive.google.com/file/d/1J0pg1qkKhVWD7sVN_lTZVU8gDmJ87wnq/view?usp=drive_link" TargetMode="External"/><Relationship Id="rId101" Type="http://schemas.openxmlformats.org/officeDocument/2006/relationships/hyperlink" Target="https://drive.google.com/file/d/1eOzehJidpquZhRly7WZJl8sKNRFI1Onj/view?usp=sharing" TargetMode="External"/><Relationship Id="rId122" Type="http://schemas.openxmlformats.org/officeDocument/2006/relationships/hyperlink" Target="https://drive.google.com/file/d/1_vxrYWznL0lhgtQ6ZDzTBEu9kYba4MRT/view?usp=share_link" TargetMode="External"/><Relationship Id="rId143" Type="http://schemas.openxmlformats.org/officeDocument/2006/relationships/hyperlink" Target="https://drive.google.com/file/d/1yvGOxijCf8ZQ4h3IcoCCAF8M9WVwI6vN/view?usp=share_link" TargetMode="External"/><Relationship Id="rId148" Type="http://schemas.openxmlformats.org/officeDocument/2006/relationships/hyperlink" Target="https://drive.google.com/file/d/1r2whtgOUl64ntAo0nMNZ6b2cZN6KgNxh/view?usp=share_link" TargetMode="External"/><Relationship Id="rId164" Type="http://schemas.openxmlformats.org/officeDocument/2006/relationships/hyperlink" Target="https://drive.google.com/file/d/1BOZiFxZIsex6whOyo8ZIgktlblQRa_wo/view?usp=share_link" TargetMode="External"/><Relationship Id="rId4" Type="http://schemas.openxmlformats.org/officeDocument/2006/relationships/hyperlink" Target="https://drive.google.com/file/d/1eOzehJidpquZhRly7WZJl8sKNRFI1Onj/view?usp=sharing" TargetMode="External"/><Relationship Id="rId9" Type="http://schemas.openxmlformats.org/officeDocument/2006/relationships/hyperlink" Target="https://drive.google.com/file/d/1SAH40E5moG9sxkOi1wKkRvlavEm-n70j/view?usp=sharing" TargetMode="External"/><Relationship Id="rId26" Type="http://schemas.openxmlformats.org/officeDocument/2006/relationships/hyperlink" Target="https://drive.google.com/file/d/1o5JAGv2Qo85kbfJwcIfxlAnfQusArz2E/view?usp=sharing" TargetMode="External"/><Relationship Id="rId47" Type="http://schemas.openxmlformats.org/officeDocument/2006/relationships/hyperlink" Target="https://drive.google.com/file/d/11iA1dqcvSBbrLOXWdLQ-Fehy8tLtE1RI/view?usp=sharing" TargetMode="External"/><Relationship Id="rId68" Type="http://schemas.openxmlformats.org/officeDocument/2006/relationships/hyperlink" Target="https://drive.google.com/file/d/1Q_QzDTOjLyYF_C6NeWFfxyJQNFp6GzE-/view?usp=share_link" TargetMode="External"/><Relationship Id="rId89" Type="http://schemas.openxmlformats.org/officeDocument/2006/relationships/hyperlink" Target="https://drive.google.com/file/d/1FIaFNI1JHPioryvJm2Y3VlJPMwWCj0zN/view?usp=sharing" TargetMode="External"/><Relationship Id="rId112" Type="http://schemas.openxmlformats.org/officeDocument/2006/relationships/hyperlink" Target="https://drive.google.com/file/d/1WwgJBsf0uEucatoOsJwUCdUgji5sS9sq/view?usp=share_link" TargetMode="External"/><Relationship Id="rId133" Type="http://schemas.openxmlformats.org/officeDocument/2006/relationships/hyperlink" Target="https://drive.google.com/file/d/1ez9BA_mNJmbaNIC6Hejkhb9wZ1l-cgWV/view?usp=share_link" TargetMode="External"/><Relationship Id="rId154" Type="http://schemas.openxmlformats.org/officeDocument/2006/relationships/hyperlink" Target="https://drive.google.com/file/d/1qZr6eHDVus4oOKzyv2riYXGTWbi2VKam/view?usp=sharing" TargetMode="External"/><Relationship Id="rId16" Type="http://schemas.openxmlformats.org/officeDocument/2006/relationships/hyperlink" Target="https://drive.google.com/file/d/1AvWcVkFYt5EEBSsbxVANNJa5FTH-UNxy/view?usp=sharing" TargetMode="External"/><Relationship Id="rId37" Type="http://schemas.openxmlformats.org/officeDocument/2006/relationships/hyperlink" Target="https://drive.google.com/file/d/1pDkU4l1zkT3aCaH-m-MQzu5gN6FMRSfW/view?usp=sharing" TargetMode="External"/><Relationship Id="rId58" Type="http://schemas.openxmlformats.org/officeDocument/2006/relationships/hyperlink" Target="https://drive.google.com/file/d/1SAH40E5moG9sxkOi1wKkRvlavEm-n70j/view?usp=sharing" TargetMode="External"/><Relationship Id="rId79" Type="http://schemas.openxmlformats.org/officeDocument/2006/relationships/hyperlink" Target="https://drive.google.com/file/d/1b6DplQ538Zmp-oyUnN7k7N-N3mi66wlT/view?usp=drive_link" TargetMode="External"/><Relationship Id="rId102" Type="http://schemas.openxmlformats.org/officeDocument/2006/relationships/hyperlink" Target="https://drive.google.com/file/d/1vlkwS2hVbOmOILocPFge_RkxIhNIkOf_/view?usp=drive_link" TargetMode="External"/><Relationship Id="rId123" Type="http://schemas.openxmlformats.org/officeDocument/2006/relationships/hyperlink" Target="https://drive.google.com/file/d/1UU3ZiX17ikBZYKvczNqEE3ooCFZsMhwf/view?usp=share_link" TargetMode="External"/><Relationship Id="rId144" Type="http://schemas.openxmlformats.org/officeDocument/2006/relationships/hyperlink" Target="https://drive.google.com/file/d/1oKYCTQSIhNe3bkPI_QKnc2yZQnUT25hx/view?usp=share_link" TargetMode="External"/><Relationship Id="rId90" Type="http://schemas.openxmlformats.org/officeDocument/2006/relationships/hyperlink" Target="https://drive.google.com/file/d/1iZjX2w7rCMSNfFoOA9lbYDiJnG5UzzIN/view?usp=sharing" TargetMode="External"/><Relationship Id="rId165" Type="http://schemas.openxmlformats.org/officeDocument/2006/relationships/hyperlink" Target="https://drive.google.com/file/d/1j15KWId3B3DVzH-LeXQtmF8WPC5xhznh/view?usp=drive_link" TargetMode="External"/><Relationship Id="rId27" Type="http://schemas.openxmlformats.org/officeDocument/2006/relationships/hyperlink" Target="https://drive.google.com/file/d/1o5JAGv2Qo85kbfJwcIfxlAnfQusArz2E/view?usp=sharing" TargetMode="External"/><Relationship Id="rId48" Type="http://schemas.openxmlformats.org/officeDocument/2006/relationships/hyperlink" Target="https://drive.google.com/file/d/1vlbl3quNplak_s62HQrA_Yi8O5tJ8755/view?usp=sharing" TargetMode="External"/><Relationship Id="rId69" Type="http://schemas.openxmlformats.org/officeDocument/2006/relationships/hyperlink" Target="https://drive.google.com/file/d/1TZ9AcuE3FIZuKDmkck1zu0NSIQus_Kbr/view?usp=sharing" TargetMode="External"/><Relationship Id="rId113" Type="http://schemas.openxmlformats.org/officeDocument/2006/relationships/hyperlink" Target="https://drive.google.com/file/d/1XGiTKK2Et0OiVPRR8AZwTMJmlhhJ1Zuv/view?usp=share_link" TargetMode="External"/><Relationship Id="rId134" Type="http://schemas.openxmlformats.org/officeDocument/2006/relationships/hyperlink" Target="https://drive.google.com/file/d/1kAPfbzEw8O4bneir04wyX1TWdRtMuZWm/view?usp=drive_link" TargetMode="External"/><Relationship Id="rId80" Type="http://schemas.openxmlformats.org/officeDocument/2006/relationships/hyperlink" Target="https://drive.google.com/file/d/1w3D218SIbZwlQx23VRE8Nk3mL47-TmSc/view?usp=drive_link" TargetMode="External"/><Relationship Id="rId155" Type="http://schemas.openxmlformats.org/officeDocument/2006/relationships/hyperlink" Target="https://drive.google.com/file/d/1CP47qBu66DrRlX7xnyRvWUV_ljP9bqCx/view?usp=share_link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QoP8ktg-RniuejgIfB5bbPCecn7coMXh/view?usp=share_link" TargetMode="External"/><Relationship Id="rId21" Type="http://schemas.openxmlformats.org/officeDocument/2006/relationships/hyperlink" Target="https://drive.google.com/file/d/1BeeUEZ_-cODiemHYOat6LMohARSmSOtW/view?usp=sharing" TargetMode="External"/><Relationship Id="rId42" Type="http://schemas.openxmlformats.org/officeDocument/2006/relationships/hyperlink" Target="https://drive.google.com/file/d/1nb0PQ8DNDhHSy2PWs33Fk1h-JRqsKXZZ/view?usp=sharing" TargetMode="External"/><Relationship Id="rId63" Type="http://schemas.openxmlformats.org/officeDocument/2006/relationships/hyperlink" Target="https://drive.google.com/file/d/1WLJ-kJbd5IH4Bw5elij_0UVd6267RaAg/view?usp=sharing" TargetMode="External"/><Relationship Id="rId84" Type="http://schemas.openxmlformats.org/officeDocument/2006/relationships/hyperlink" Target="https://drive.google.com/file/d/1q6pIIxqLSFmR-RkhvtexMcxScbBpNbNA/view?usp=share_link" TargetMode="External"/><Relationship Id="rId138" Type="http://schemas.openxmlformats.org/officeDocument/2006/relationships/hyperlink" Target="https://drive.google.com/file/d/1ScuUXDCsZN8yssY4JWYr5jcj6wLmgEuD/view?usp=sharing" TargetMode="External"/><Relationship Id="rId107" Type="http://schemas.openxmlformats.org/officeDocument/2006/relationships/hyperlink" Target="https://drive.google.com/file/d/1435snUTiZnMK-N-5UhaRhqyof8RVIDT-/view?usp=share_link" TargetMode="External"/><Relationship Id="rId11" Type="http://schemas.openxmlformats.org/officeDocument/2006/relationships/hyperlink" Target="https://drive.google.com/file/d/1fzUgN9SfHm0jcIO3ZUWVXog-i0VUbj6F/view?usp=sharing" TargetMode="External"/><Relationship Id="rId32" Type="http://schemas.openxmlformats.org/officeDocument/2006/relationships/hyperlink" Target="https://drive.google.com/file/d/1tY1T2iVpiC7-ksuEI0dftybbmOyoYfJh/view?usp=sharing" TargetMode="External"/><Relationship Id="rId53" Type="http://schemas.openxmlformats.org/officeDocument/2006/relationships/hyperlink" Target="https://drive.google.com/file/d/19pOhOdiuef-fTW3Hk_VmGUP8fZ9h8hNj/view?usp=sharing" TargetMode="External"/><Relationship Id="rId74" Type="http://schemas.openxmlformats.org/officeDocument/2006/relationships/hyperlink" Target="https://drive.google.com/file/d/1keKswTO5xrBNE6w9MCePo0soK59jlvtV/view?usp=sharing" TargetMode="External"/><Relationship Id="rId128" Type="http://schemas.openxmlformats.org/officeDocument/2006/relationships/hyperlink" Target="https://drive.google.com/file/d/1eksgt3NykCxJDbYe6ggnRjAlqt5JbBi1/view?usp=share_link" TargetMode="External"/><Relationship Id="rId149" Type="http://schemas.openxmlformats.org/officeDocument/2006/relationships/hyperlink" Target="https://drive.google.com/file/d/1DXe0GNCsHqNb4sP8Ic2y_jOm6-4xk0DX/view?usp=share_link" TargetMode="External"/><Relationship Id="rId5" Type="http://schemas.openxmlformats.org/officeDocument/2006/relationships/hyperlink" Target="https://drive.google.com/file/d/13auN7nM7qDZ2RCFtDzmOMttVIdQBJQgj/view?usp=sharing" TargetMode="External"/><Relationship Id="rId95" Type="http://schemas.openxmlformats.org/officeDocument/2006/relationships/hyperlink" Target="https://drive.google.com/file/d/1y-mFgQgIB0pWqG52f-8SaMmLV9n4I7KY/view?usp=share_link" TargetMode="External"/><Relationship Id="rId22" Type="http://schemas.openxmlformats.org/officeDocument/2006/relationships/hyperlink" Target="https://drive.google.com/file/d/1jV_zWwhSpx-dM-Ii-U5fw9xZ_8FScEYJ/view?usp=sharing" TargetMode="External"/><Relationship Id="rId27" Type="http://schemas.openxmlformats.org/officeDocument/2006/relationships/hyperlink" Target="https://drive.google.com/file/d/1gZwZVpZFF8TiBhxl2kYIz6P1qnzwaDWB/view?usp=sharing" TargetMode="External"/><Relationship Id="rId43" Type="http://schemas.openxmlformats.org/officeDocument/2006/relationships/hyperlink" Target="https://drive.google.com/file/d/1xCQKwxSLW8yFBaNkZA59194YA0kSxIUR/view?usp=sharing" TargetMode="External"/><Relationship Id="rId48" Type="http://schemas.openxmlformats.org/officeDocument/2006/relationships/hyperlink" Target="https://drive.google.com/file/d/1rb5VOSfekwTX4ub_xRuc4FoW7K0bsHM2/view?usp=sharing" TargetMode="External"/><Relationship Id="rId64" Type="http://schemas.openxmlformats.org/officeDocument/2006/relationships/hyperlink" Target="https://drive.google.com/file/d/1NdQaEo5nsJfBlPyNqalT7be5vQbF-B0X/view?usp=sharing" TargetMode="External"/><Relationship Id="rId69" Type="http://schemas.openxmlformats.org/officeDocument/2006/relationships/hyperlink" Target="https://drive.google.com/file/d/1IuGuGEjjGvDiuBjBt8gZ_Elvt_nxiQCQ/view?usp=sharing" TargetMode="External"/><Relationship Id="rId113" Type="http://schemas.openxmlformats.org/officeDocument/2006/relationships/hyperlink" Target="https://drive.google.com/file/d/17g23DZ9NrbLjgG6iBwGVBd8t6huxe05K/view?usp=share_link" TargetMode="External"/><Relationship Id="rId118" Type="http://schemas.openxmlformats.org/officeDocument/2006/relationships/hyperlink" Target="https://drive.google.com/file/d/1_uCh2WpNWnUs_S-1YY2kGll_x7iSTa-s/view?usp=share_link" TargetMode="External"/><Relationship Id="rId134" Type="http://schemas.openxmlformats.org/officeDocument/2006/relationships/hyperlink" Target="https://drive.google.com/file/d/15qdQJygc0669e4OMWogAfmD2EF-xxBNe/view?usp=sharing" TargetMode="External"/><Relationship Id="rId139" Type="http://schemas.openxmlformats.org/officeDocument/2006/relationships/hyperlink" Target="https://drive.google.com/file/d/1fd3xV7QnyLBb6vAIKyuQsLYEDt5E-6ac/view?usp=sharing" TargetMode="External"/><Relationship Id="rId80" Type="http://schemas.openxmlformats.org/officeDocument/2006/relationships/hyperlink" Target="https://drive.google.com/file/d/1VOmbHePyUFwe_XTrsf67j5Nxb5H2LfPn/view?usp=sharing" TargetMode="External"/><Relationship Id="rId85" Type="http://schemas.openxmlformats.org/officeDocument/2006/relationships/hyperlink" Target="https://drive.google.com/file/d/1rTj-MdZ7wxzpKzf52Z5zah7DSNBI28Ki/view?usp=share_link" TargetMode="External"/><Relationship Id="rId150" Type="http://schemas.openxmlformats.org/officeDocument/2006/relationships/hyperlink" Target="https://drive.google.com/file/d/1DXe0GNCsHqNb4sP8Ic2y_jOm6-4xk0DX/view?usp=share_link" TargetMode="External"/><Relationship Id="rId12" Type="http://schemas.openxmlformats.org/officeDocument/2006/relationships/hyperlink" Target="https://drive.google.com/file/d/1rTgVaku-433cWRtK001UrX0anw8aUXqB/view?usp=sharing" TargetMode="External"/><Relationship Id="rId17" Type="http://schemas.openxmlformats.org/officeDocument/2006/relationships/hyperlink" Target="https://drive.google.com/file/d/1oynfouoFPIr3Bw26aCvAuj_ixPFGqVh9/view?usp=sharing" TargetMode="External"/><Relationship Id="rId33" Type="http://schemas.openxmlformats.org/officeDocument/2006/relationships/hyperlink" Target="https://drive.google.com/file/d/1AwHoIp28NfAIVt_nXLzMpM6RfDxSpcGj/view?usp=sharing" TargetMode="External"/><Relationship Id="rId38" Type="http://schemas.openxmlformats.org/officeDocument/2006/relationships/hyperlink" Target="https://drive.google.com/file/d/1Pw-5A-D9rvYj0x0op0ynMZNv2K_4d70Q/view?usp=sharing" TargetMode="External"/><Relationship Id="rId59" Type="http://schemas.openxmlformats.org/officeDocument/2006/relationships/hyperlink" Target="https://drive.google.com/file/d/1AvWcVkFYt5EEBSsbxVANNJa5FTH-UNxy/view?usp=sharing" TargetMode="External"/><Relationship Id="rId103" Type="http://schemas.openxmlformats.org/officeDocument/2006/relationships/hyperlink" Target="https://drive.google.com/file/d/1o7pyzMIoEzAP8Vv6-OnbERd-oALKViZL/view?usp=share_link" TargetMode="External"/><Relationship Id="rId108" Type="http://schemas.openxmlformats.org/officeDocument/2006/relationships/hyperlink" Target="https://drive.google.com/file/d/1sf4pdy8FC_2KID7ody5W1KX6QoJFZYqX/view?usp=share_link" TargetMode="External"/><Relationship Id="rId124" Type="http://schemas.openxmlformats.org/officeDocument/2006/relationships/hyperlink" Target="https://drive.google.com/file/d/10NObmpdT1TKPtN8I9E0GpxQTrZJmQWxC/view?usp=share_link" TargetMode="External"/><Relationship Id="rId129" Type="http://schemas.openxmlformats.org/officeDocument/2006/relationships/hyperlink" Target="https://drive.google.com/file/d/1ez9BA_mNJmbaNIC6Hejkhb9wZ1l-cgWV/view?usp=share_link" TargetMode="External"/><Relationship Id="rId54" Type="http://schemas.openxmlformats.org/officeDocument/2006/relationships/hyperlink" Target="https://drive.google.com/file/d/1nJa-T91NfwvjtUJCotcAsE8pfWNbxCRj/view?usp=sharing" TargetMode="External"/><Relationship Id="rId70" Type="http://schemas.openxmlformats.org/officeDocument/2006/relationships/hyperlink" Target="https://drive.google.com/file/d/1IuGuGEjjGvDiuBjBt8gZ_Elvt_nxiQCQ/view?usp=sharing" TargetMode="External"/><Relationship Id="rId75" Type="http://schemas.openxmlformats.org/officeDocument/2006/relationships/hyperlink" Target="https://drive.google.com/file/d/1keKswTO5xrBNE6w9MCePo0soK59jlvtV/view?usp=sharing" TargetMode="External"/><Relationship Id="rId91" Type="http://schemas.openxmlformats.org/officeDocument/2006/relationships/hyperlink" Target="https://drive.google.com/file/d/1ZDmbx7UtnCdD1jkfAobdwc_TguHnYbzj/view?usp=share_link" TargetMode="External"/><Relationship Id="rId96" Type="http://schemas.openxmlformats.org/officeDocument/2006/relationships/hyperlink" Target="https://drive.google.com/file/d/1QF5q7ONvEOgZND4U7ET5B4t1wQIrY3jG/view?usp=share_link" TargetMode="External"/><Relationship Id="rId140" Type="http://schemas.openxmlformats.org/officeDocument/2006/relationships/hyperlink" Target="https://drive.google.com/file/d/1qZr6eHDVus4oOKzyv2riYXGTWbi2VKam/view?usp=sharing" TargetMode="External"/><Relationship Id="rId145" Type="http://schemas.openxmlformats.org/officeDocument/2006/relationships/hyperlink" Target="https://drive.google.com/file/d/1kacodKRDFBid6K1MDroJUTWsmuQXL_rG/view?usp=drive_link" TargetMode="External"/><Relationship Id="rId1" Type="http://schemas.openxmlformats.org/officeDocument/2006/relationships/hyperlink" Target="https://drive.google.com/file/d/1CGVU06cN9ZyHjIr5OkAPMc81-rwKyRDB/view?usp=sharing" TargetMode="External"/><Relationship Id="rId6" Type="http://schemas.openxmlformats.org/officeDocument/2006/relationships/hyperlink" Target="https://drive.google.com/file/d/1zVg7gidOD7XK5UMiGlk5KQpLBuzdUjug/view?usp=sharing" TargetMode="External"/><Relationship Id="rId23" Type="http://schemas.openxmlformats.org/officeDocument/2006/relationships/hyperlink" Target="https://drive.google.com/file/d/1WrBIYPsUunJUnV6AFfjTk-ZqCmXIFRWv/view?usp=sharing" TargetMode="External"/><Relationship Id="rId28" Type="http://schemas.openxmlformats.org/officeDocument/2006/relationships/hyperlink" Target="https://drive.google.com/file/d/18yh3UIAjiKYofwH1wn6n_iq5ysRmzMaW/view?usp=sharing" TargetMode="External"/><Relationship Id="rId49" Type="http://schemas.openxmlformats.org/officeDocument/2006/relationships/hyperlink" Target="https://drive.google.com/file/d/1pnB162Y997jIiGCZ9Azw171-y4cHJdCn/view?usp=sharing" TargetMode="External"/><Relationship Id="rId114" Type="http://schemas.openxmlformats.org/officeDocument/2006/relationships/hyperlink" Target="https://drive.google.com/file/d/1f1_Y30aV_EbTRrZs5Wiq8-8wI0kkyzg_/view?usp=share_link" TargetMode="External"/><Relationship Id="rId119" Type="http://schemas.openxmlformats.org/officeDocument/2006/relationships/hyperlink" Target="https://drive.google.com/file/d/1RYmp20g4Ivu3T1FIbp2I0BSbRLkTP__9/view?usp=share_link" TargetMode="External"/><Relationship Id="rId44" Type="http://schemas.openxmlformats.org/officeDocument/2006/relationships/hyperlink" Target="https://drive.google.com/file/d/1pDkU4l1zkT3aCaH-m-MQzu5gN6FMRSfW/view?usp=sharing" TargetMode="External"/><Relationship Id="rId60" Type="http://schemas.openxmlformats.org/officeDocument/2006/relationships/hyperlink" Target="https://drive.google.com/file/d/1FBKN265kM6S2dYpyCs0hP8Ev6cQljajo/view?usp=sharing" TargetMode="External"/><Relationship Id="rId65" Type="http://schemas.openxmlformats.org/officeDocument/2006/relationships/hyperlink" Target="https://drive.google.com/file/d/1rdKjtuQeFOfR6eB_jk3GDznLf6SUHgrY/view?usp=sharing" TargetMode="External"/><Relationship Id="rId81" Type="http://schemas.openxmlformats.org/officeDocument/2006/relationships/hyperlink" Target="https://drive.google.com/file/d/1zhr3AuJ7cEG6ghT6kjY8LTZ1-3rKuI6B/view?usp=share_link" TargetMode="External"/><Relationship Id="rId86" Type="http://schemas.openxmlformats.org/officeDocument/2006/relationships/hyperlink" Target="https://drive.google.com/file/d/1kMV31Pzz1wNURmEFLawoXgmFv0MC9hqZ/view?usp=share_link" TargetMode="External"/><Relationship Id="rId130" Type="http://schemas.openxmlformats.org/officeDocument/2006/relationships/hyperlink" Target="https://drive.google.com/file/d/1qSDU84uDexeaJlj6dRf24nEOaPt8k2ng/view?usp=share_link" TargetMode="External"/><Relationship Id="rId135" Type="http://schemas.openxmlformats.org/officeDocument/2006/relationships/hyperlink" Target="https://drive.google.com/file/d/156NvD9eO7MAGI-AlKLVFbqp45sjUmgQK/view?usp=sharing" TargetMode="External"/><Relationship Id="rId151" Type="http://schemas.openxmlformats.org/officeDocument/2006/relationships/printerSettings" Target="../printerSettings/printerSettings1.bin"/><Relationship Id="rId13" Type="http://schemas.openxmlformats.org/officeDocument/2006/relationships/hyperlink" Target="https://drive.google.com/file/d/1Pwu_6sjrwjy-usl-7ztpMhUoWo3Qvg-5/view?usp=sharing" TargetMode="External"/><Relationship Id="rId18" Type="http://schemas.openxmlformats.org/officeDocument/2006/relationships/hyperlink" Target="https://drive.google.com/file/d/1eVel9rXiZloaLlYbRbij8hdr3DAjOWaG/view?usp=sharing" TargetMode="External"/><Relationship Id="rId39" Type="http://schemas.openxmlformats.org/officeDocument/2006/relationships/hyperlink" Target="https://drive.google.com/file/d/1bCt-bTkCuTB5KJ6JVsiy2JDJQve-XHXi/view?usp=sharing" TargetMode="External"/><Relationship Id="rId109" Type="http://schemas.openxmlformats.org/officeDocument/2006/relationships/hyperlink" Target="https://drive.google.com/file/d/1IsGwGYBFUdPDIjtwACR4_vSE4JPbAUw1/view?usp=share_link" TargetMode="External"/><Relationship Id="rId34" Type="http://schemas.openxmlformats.org/officeDocument/2006/relationships/hyperlink" Target="https://drive.google.com/file/d/1Tmw6pQUQVRyIdesmGLyoRsvpOaNob487/view?usp=sharing" TargetMode="External"/><Relationship Id="rId50" Type="http://schemas.openxmlformats.org/officeDocument/2006/relationships/hyperlink" Target="https://drive.google.com/file/d/1-9fdM3hoEPRrkFOCsrSIs5BHaLMs8bLT/view?usp=sharing" TargetMode="External"/><Relationship Id="rId55" Type="http://schemas.openxmlformats.org/officeDocument/2006/relationships/hyperlink" Target="https://drive.google.com/file/d/16h8VCtmdhe-GQ3wsmGWcFcdTcBmMC2TL/view?usp=sharing" TargetMode="External"/><Relationship Id="rId76" Type="http://schemas.openxmlformats.org/officeDocument/2006/relationships/hyperlink" Target="https://drive.google.com/file/d/1o5JAGv2Qo85kbfJwcIfxlAnfQusArz2E/view?usp=sharing" TargetMode="External"/><Relationship Id="rId97" Type="http://schemas.openxmlformats.org/officeDocument/2006/relationships/hyperlink" Target="https://drive.google.com/file/d/1PAqTT0xlaNZwoSYYLrYvZR25YN6AzYM-/view?usp=share_link" TargetMode="External"/><Relationship Id="rId104" Type="http://schemas.openxmlformats.org/officeDocument/2006/relationships/hyperlink" Target="https://drive.google.com/file/d/1PtE91vwKCYq1Q3av0DjSkZZPVrayP4l5/view?usp=share_link" TargetMode="External"/><Relationship Id="rId120" Type="http://schemas.openxmlformats.org/officeDocument/2006/relationships/hyperlink" Target="https://drive.google.com/file/d/1rEa_hB33FS-suRvK2qJc1aIYWeiOx1__/view?usp=share_link" TargetMode="External"/><Relationship Id="rId125" Type="http://schemas.openxmlformats.org/officeDocument/2006/relationships/hyperlink" Target="https://drive.google.com/file/d/1GNMKPnpQGXbGn6T2r8A5NLxxIPVSnOn4/view?usp=share_link" TargetMode="External"/><Relationship Id="rId141" Type="http://schemas.openxmlformats.org/officeDocument/2006/relationships/hyperlink" Target="https://drive.google.com/file/d/1kAPfbzEw8O4bneir04wyX1TWdRtMuZWm/view?usp=drive_link" TargetMode="External"/><Relationship Id="rId146" Type="http://schemas.openxmlformats.org/officeDocument/2006/relationships/hyperlink" Target="https://drive.google.com/file/d/1WWW1LWMh_4I3HlWF5d9CZRritN-6bR7A/view?usp=sharing" TargetMode="External"/><Relationship Id="rId7" Type="http://schemas.openxmlformats.org/officeDocument/2006/relationships/hyperlink" Target="https://drive.google.com/file/d/1Nt6ygGMGmGCIAXaZRxG9xug7pBlIDyYa/view?usp=sharing" TargetMode="External"/><Relationship Id="rId71" Type="http://schemas.openxmlformats.org/officeDocument/2006/relationships/hyperlink" Target="https://drive.google.com/file/d/1j0yn0FbwUTaLnn6wwtFNfMiI91oiMmHF/view?usp=sharing" TargetMode="External"/><Relationship Id="rId92" Type="http://schemas.openxmlformats.org/officeDocument/2006/relationships/hyperlink" Target="https://drive.google.com/file/d/1uh51ngbcHHMQHUErzNlidIELd3gcxKDN/view?usp=share_link" TargetMode="External"/><Relationship Id="rId2" Type="http://schemas.openxmlformats.org/officeDocument/2006/relationships/hyperlink" Target="https://drive.google.com/file/d/1tMx31bKb3fD1lvZlEgWnn-nYzZTx84nl/view?usp=sharing" TargetMode="External"/><Relationship Id="rId29" Type="http://schemas.openxmlformats.org/officeDocument/2006/relationships/hyperlink" Target="https://drive.google.com/file/d/1tMx31bKb3fD1lvZlEgWnn-nYzZTx84nl/view?usp=sharing" TargetMode="External"/><Relationship Id="rId24" Type="http://schemas.openxmlformats.org/officeDocument/2006/relationships/hyperlink" Target="https://drive.google.com/file/d/12ThZVRXc0KVQiYI-ICSnQulrh9QE_9V_/view?usp=sharing" TargetMode="External"/><Relationship Id="rId40" Type="http://schemas.openxmlformats.org/officeDocument/2006/relationships/hyperlink" Target="https://drive.google.com/file/d/1FU-RQ-B_rjxl3oxHFfySZ1H5AQLyOx-d/view?usp=sharing" TargetMode="External"/><Relationship Id="rId45" Type="http://schemas.openxmlformats.org/officeDocument/2006/relationships/hyperlink" Target="https://drive.google.com/file/d/12Jogu9_A0-ZolaubeIm0vbLSTxlPIwEi/view?usp=sharing" TargetMode="External"/><Relationship Id="rId66" Type="http://schemas.openxmlformats.org/officeDocument/2006/relationships/hyperlink" Target="https://drive.google.com/file/d/18Yitcyp4GBpQ34G8-T1JXSZn3F7TISaE/view?usp=sharing" TargetMode="External"/><Relationship Id="rId87" Type="http://schemas.openxmlformats.org/officeDocument/2006/relationships/hyperlink" Target="https://drive.google.com/file/d/1kMV31Pzz1wNURmEFLawoXgmFv0MC9hqZ/view?usp=share_link" TargetMode="External"/><Relationship Id="rId110" Type="http://schemas.openxmlformats.org/officeDocument/2006/relationships/hyperlink" Target="https://drive.google.com/file/d/10j_Lxm0-RTC_QazWDOesEX_LhEHDO5FF/view?usp=share_link" TargetMode="External"/><Relationship Id="rId115" Type="http://schemas.openxmlformats.org/officeDocument/2006/relationships/hyperlink" Target="https://drive.google.com/file/d/1WdqLsgKN6_PES8oY3T9f4Rhoe4q1aWbu/view?usp=share_link" TargetMode="External"/><Relationship Id="rId131" Type="http://schemas.openxmlformats.org/officeDocument/2006/relationships/hyperlink" Target="https://drive.google.com/file/d/1y_fpei09YkJQI_R_s3p4s1fI9l2QSAIN/view?usp=share_link" TargetMode="External"/><Relationship Id="rId136" Type="http://schemas.openxmlformats.org/officeDocument/2006/relationships/hyperlink" Target="https://drive.google.com/file/d/1Xat_L2QVWm7-mPX_-RsS8aMEtG-GZphP/view?usp=sharing" TargetMode="External"/><Relationship Id="rId61" Type="http://schemas.openxmlformats.org/officeDocument/2006/relationships/hyperlink" Target="https://drive.google.com/file/d/1sUwVvZparXQjJmLA45okLptLspX6NNOS/view?usp=sharing" TargetMode="External"/><Relationship Id="rId82" Type="http://schemas.openxmlformats.org/officeDocument/2006/relationships/hyperlink" Target="https://drive.google.com/file/d/1dJqPkMaUVCEnlI9_qf593phhGAPIgrw1/view?usp=share_link" TargetMode="External"/><Relationship Id="rId152" Type="http://schemas.openxmlformats.org/officeDocument/2006/relationships/vmlDrawing" Target="../drawings/vmlDrawing3.vml"/><Relationship Id="rId19" Type="http://schemas.openxmlformats.org/officeDocument/2006/relationships/hyperlink" Target="https://drive.google.com/file/d/13BOthejt69Sawwp35XwCebo83vnBNGhP/view?usp=sharing" TargetMode="External"/><Relationship Id="rId14" Type="http://schemas.openxmlformats.org/officeDocument/2006/relationships/hyperlink" Target="https://drive.google.com/file/d/1CD4Loys3GSVmnylAScXyZCsE1616kdt9/view?usp=sharing" TargetMode="External"/><Relationship Id="rId30" Type="http://schemas.openxmlformats.org/officeDocument/2006/relationships/hyperlink" Target="https://drive.google.com/file/d/1eOzehJidpquZhRly7WZJl8sKNRFI1Onj/view?usp=sharing" TargetMode="External"/><Relationship Id="rId35" Type="http://schemas.openxmlformats.org/officeDocument/2006/relationships/hyperlink" Target="https://drive.google.com/file/d/1CrwPQ62SkfEOp2YtXU1d7gjUCBOMyMih/view?usp=sharing" TargetMode="External"/><Relationship Id="rId56" Type="http://schemas.openxmlformats.org/officeDocument/2006/relationships/hyperlink" Target="https://drive.google.com/file/d/1u0WuIB10Zs5T-ThRV-0YbqCTtokGkSeO/view?usp=sharing" TargetMode="External"/><Relationship Id="rId77" Type="http://schemas.openxmlformats.org/officeDocument/2006/relationships/hyperlink" Target="https://drive.google.com/file/d/1o5JAGv2Qo85kbfJwcIfxlAnfQusArz2E/view?usp=sharing" TargetMode="External"/><Relationship Id="rId100" Type="http://schemas.openxmlformats.org/officeDocument/2006/relationships/hyperlink" Target="https://drive.google.com/file/d/1BRvyWdB0v23N2sXP-3Y9pk0YExBWIfSN/view?usp=share_link" TargetMode="External"/><Relationship Id="rId105" Type="http://schemas.openxmlformats.org/officeDocument/2006/relationships/hyperlink" Target="https://drive.google.com/file/d/1PtE91vwKCYq1Q3av0DjSkZZPVrayP4l5/view?usp=share_link" TargetMode="External"/><Relationship Id="rId126" Type="http://schemas.openxmlformats.org/officeDocument/2006/relationships/hyperlink" Target="https://drive.google.com/file/d/1ApVHLj03t49muUqWT8qVdmyyy1c7geRk/view?usp=share_link" TargetMode="External"/><Relationship Id="rId147" Type="http://schemas.openxmlformats.org/officeDocument/2006/relationships/hyperlink" Target="https://drive.google.com/file/d/1BOZiFxZIsex6whOyo8ZIgktlblQRa_wo/view?usp=share_link" TargetMode="External"/><Relationship Id="rId8" Type="http://schemas.openxmlformats.org/officeDocument/2006/relationships/hyperlink" Target="https://drive.google.com/file/d/1jLEf3PKSI3MsN2GXsj-r2p7UWernVbg0/view?usp=sharing" TargetMode="External"/><Relationship Id="rId51" Type="http://schemas.openxmlformats.org/officeDocument/2006/relationships/hyperlink" Target="https://drive.google.com/file/d/1j4fFAG5yBXZ5mJYphYJB5phigkRRMNVq/view?usp=sharing" TargetMode="External"/><Relationship Id="rId72" Type="http://schemas.openxmlformats.org/officeDocument/2006/relationships/hyperlink" Target="https://drive.google.com/file/d/1ekCACP5QXiQguwRJgFf5rmoJRc-yiUkZ/view?usp=sharing" TargetMode="External"/><Relationship Id="rId93" Type="http://schemas.openxmlformats.org/officeDocument/2006/relationships/hyperlink" Target="https://drive.google.com/file/d/1uh51ngbcHHMQHUErzNlidIELd3gcxKDN/view?usp=share_link" TargetMode="External"/><Relationship Id="rId98" Type="http://schemas.openxmlformats.org/officeDocument/2006/relationships/hyperlink" Target="https://drive.google.com/file/d/1ZWCkedkOZDQMFItERjUL_BgxsPHJT-oD/view?usp=share_link" TargetMode="External"/><Relationship Id="rId121" Type="http://schemas.openxmlformats.org/officeDocument/2006/relationships/hyperlink" Target="https://drive.google.com/file/d/1rEa_hB33FS-suRvK2qJc1aIYWeiOx1__/view?usp=share_link" TargetMode="External"/><Relationship Id="rId142" Type="http://schemas.openxmlformats.org/officeDocument/2006/relationships/hyperlink" Target="https://drive.google.com/file/d/1fpw8zKC3xYWjqmDudTqdDhEclkOnLdOH/view?usp=drive_link" TargetMode="External"/><Relationship Id="rId3" Type="http://schemas.openxmlformats.org/officeDocument/2006/relationships/hyperlink" Target="https://drive.google.com/file/d/1slc5X4akxlcf4UO_Mj4y6vsMuxAc0ka2/view?usp=sharing" TargetMode="External"/><Relationship Id="rId25" Type="http://schemas.openxmlformats.org/officeDocument/2006/relationships/hyperlink" Target="https://drive.google.com/file/d/1wZVwlz6JHrqwxvbFc1iSD4ZjLIaM275J/view?usp=sharing" TargetMode="External"/><Relationship Id="rId46" Type="http://schemas.openxmlformats.org/officeDocument/2006/relationships/hyperlink" Target="https://drive.google.com/file/d/1hTxMJVrTt4XkjQt81q89L6pJ6sd3y452/view?usp=sharing" TargetMode="External"/><Relationship Id="rId67" Type="http://schemas.openxmlformats.org/officeDocument/2006/relationships/hyperlink" Target="https://drive.google.com/file/d/1oqeycA84WArWxOqvlQGMWz_e-dfikjWa/view?usp=sharing" TargetMode="External"/><Relationship Id="rId116" Type="http://schemas.openxmlformats.org/officeDocument/2006/relationships/hyperlink" Target="https://drive.google.com/file/d/1WdqLsgKN6_PES8oY3T9f4Rhoe4q1aWbu/view?usp=share_link" TargetMode="External"/><Relationship Id="rId137" Type="http://schemas.openxmlformats.org/officeDocument/2006/relationships/hyperlink" Target="https://drive.google.com/file/d/1TZ9AcuE3FIZuKDmkck1zu0NSIQus_Kbr/view?usp=sharing" TargetMode="External"/><Relationship Id="rId20" Type="http://schemas.openxmlformats.org/officeDocument/2006/relationships/hyperlink" Target="https://drive.google.com/file/d/1craCRJ-Toxd8tQ1N9wSRBxB_D7g0klhY/view?usp=sharing" TargetMode="External"/><Relationship Id="rId41" Type="http://schemas.openxmlformats.org/officeDocument/2006/relationships/hyperlink" Target="https://drive.google.com/file/d/19NTQ6R93ON87BFOkW9AhNarMrrg2sNNY/view?usp=sharing" TargetMode="External"/><Relationship Id="rId62" Type="http://schemas.openxmlformats.org/officeDocument/2006/relationships/hyperlink" Target="https://drive.google.com/file/d/1Mz2BdCLwdCWNAe1etrjW5HrfLE51i_1Z/view?usp=sharing" TargetMode="External"/><Relationship Id="rId83" Type="http://schemas.openxmlformats.org/officeDocument/2006/relationships/hyperlink" Target="https://drive.google.com/file/d/1jZi_C8rx_A0Pk3Ujte1FXIAH3-EnGoG5/view?usp=share_link" TargetMode="External"/><Relationship Id="rId88" Type="http://schemas.openxmlformats.org/officeDocument/2006/relationships/hyperlink" Target="https://drive.google.com/file/d/1Pc8gNQVRPye0ghAi1VTaDD2EFDo7xusb/view?usp=share_link" TargetMode="External"/><Relationship Id="rId111" Type="http://schemas.openxmlformats.org/officeDocument/2006/relationships/hyperlink" Target="https://drive.google.com/file/d/1fzUgN9SfHm0jcIO3ZUWVXog-i0VUbj6F/view?usp=sharing" TargetMode="External"/><Relationship Id="rId132" Type="http://schemas.openxmlformats.org/officeDocument/2006/relationships/hyperlink" Target="https://drive.google.com/file/d/19fkH2zH0E4I-zrodSsvTUMq5SMcc6yBy/view?usp=share_link" TargetMode="External"/><Relationship Id="rId153" Type="http://schemas.openxmlformats.org/officeDocument/2006/relationships/comments" Target="../comments3.xml"/><Relationship Id="rId15" Type="http://schemas.openxmlformats.org/officeDocument/2006/relationships/hyperlink" Target="https://drive.google.com/file/d/1YX4xQhaY65LYnkBSlEGc3Ed1FWzzyj5_/view?usp=sharing" TargetMode="External"/><Relationship Id="rId36" Type="http://schemas.openxmlformats.org/officeDocument/2006/relationships/hyperlink" Target="https://drive.google.com/file/d/1TiRIRD7ydq4yBp4joVctIsxe_iyoBYtk/view?usp=sharing" TargetMode="External"/><Relationship Id="rId57" Type="http://schemas.openxmlformats.org/officeDocument/2006/relationships/hyperlink" Target="https://drive.google.com/file/d/16JjhVwWtZgSUEYcwhTTCNdZ6Vp0POoO0/view?usp=sharing" TargetMode="External"/><Relationship Id="rId106" Type="http://schemas.openxmlformats.org/officeDocument/2006/relationships/hyperlink" Target="https://drive.google.com/file/d/1435snUTiZnMK-N-5UhaRhqyof8RVIDT-/view?usp=share_link" TargetMode="External"/><Relationship Id="rId127" Type="http://schemas.openxmlformats.org/officeDocument/2006/relationships/hyperlink" Target="https://drive.google.com/file/d/1WudkE2jFzd1b400SfBntOUcENAzta6GQ/view?usp=share_link" TargetMode="External"/><Relationship Id="rId10" Type="http://schemas.openxmlformats.org/officeDocument/2006/relationships/hyperlink" Target="https://drive.google.com/file/d/1tGXxsCt2YhzzB90yYat0abd9-jPyshZu/view?usp=sharing" TargetMode="External"/><Relationship Id="rId31" Type="http://schemas.openxmlformats.org/officeDocument/2006/relationships/hyperlink" Target="https://drive.google.com/file/d/1eOzehJidpquZhRly7WZJl8sKNRFI1Onj/view?usp=sharing" TargetMode="External"/><Relationship Id="rId52" Type="http://schemas.openxmlformats.org/officeDocument/2006/relationships/hyperlink" Target="https://drive.google.com/file/d/17IFZ7PBNnIfOADbG-1uoPwX5lO8JSd8U/view?usp=sharing" TargetMode="External"/><Relationship Id="rId73" Type="http://schemas.openxmlformats.org/officeDocument/2006/relationships/hyperlink" Target="https://drive.google.com/file/d/1ir_5Wp1fsS24LOs_6kiGPpLgcyjRy70T/view?usp=sharing" TargetMode="External"/><Relationship Id="rId78" Type="http://schemas.openxmlformats.org/officeDocument/2006/relationships/hyperlink" Target="https://drive.google.com/file/d/1oYYQ_nRtTUTYHVxV2DxkxSyOEjr_itUj/view?usp=sharing" TargetMode="External"/><Relationship Id="rId94" Type="http://schemas.openxmlformats.org/officeDocument/2006/relationships/hyperlink" Target="https://drive.google.com/file/d/1y-mFgQgIB0pWqG52f-8SaMmLV9n4I7KY/view?usp=share_link" TargetMode="External"/><Relationship Id="rId99" Type="http://schemas.openxmlformats.org/officeDocument/2006/relationships/hyperlink" Target="https://drive.google.com/file/d/1o50OfexDYzinoMOSmiKkare8qkMxkgh9/view?usp=share_link" TargetMode="External"/><Relationship Id="rId101" Type="http://schemas.openxmlformats.org/officeDocument/2006/relationships/hyperlink" Target="https://drive.google.com/file/d/1-OEA2sqFImHZtI89Z4Sa1e_e3RLqVTXT/view?usp=share_link" TargetMode="External"/><Relationship Id="rId122" Type="http://schemas.openxmlformats.org/officeDocument/2006/relationships/hyperlink" Target="https://drive.google.com/file/d/1DXe0GNCsHqNb4sP8Ic2y_jOm6-4xk0DX/view?usp=share_link" TargetMode="External"/><Relationship Id="rId143" Type="http://schemas.openxmlformats.org/officeDocument/2006/relationships/hyperlink" Target="https://drive.google.com/file/d/1_9sHQrc0vtaRpruDOfztx29Szimj9-bc/view?usp=drive_link" TargetMode="External"/><Relationship Id="rId148" Type="http://schemas.openxmlformats.org/officeDocument/2006/relationships/hyperlink" Target="https://drive.google.com/file/d/1mVyNCDMfrlLmR67dwrt3sX9dP1pVtP2K/view?usp=drive_link" TargetMode="External"/><Relationship Id="rId4" Type="http://schemas.openxmlformats.org/officeDocument/2006/relationships/hyperlink" Target="https://drive.google.com/file/d/1OmW1MuEkYCMnoqKbMMhLtmqnZ_Vav9Bq/view?usp=sharing" TargetMode="External"/><Relationship Id="rId9" Type="http://schemas.openxmlformats.org/officeDocument/2006/relationships/hyperlink" Target="https://drive.google.com/file/d/1tY1T2iVpiC7-ksuEI0dftybbmOyoYfJh/view?usp=sharing" TargetMode="External"/><Relationship Id="rId26" Type="http://schemas.openxmlformats.org/officeDocument/2006/relationships/hyperlink" Target="https://drive.google.com/file/d/1Oym3Y8f7ifU941Owh36tEYnGO-uF6XJR/view?usp=sharing" TargetMode="External"/><Relationship Id="rId47" Type="http://schemas.openxmlformats.org/officeDocument/2006/relationships/hyperlink" Target="https://drive.google.com/file/d/1K6yPr0sS4ZS3CUn6C5crONzOLag5t8r2/view?usp=sharing" TargetMode="External"/><Relationship Id="rId68" Type="http://schemas.openxmlformats.org/officeDocument/2006/relationships/hyperlink" Target="https://drive.google.com/file/d/1xFquQXjC_NBhLitKK9AjGvq5qz6ZtCag/view?usp=sharing" TargetMode="External"/><Relationship Id="rId89" Type="http://schemas.openxmlformats.org/officeDocument/2006/relationships/hyperlink" Target="https://drive.google.com/file/d/1iJm1LMEknATnOA2fhyXJOJC8A7-yoA_z/view?usp=share_link" TargetMode="External"/><Relationship Id="rId112" Type="http://schemas.openxmlformats.org/officeDocument/2006/relationships/hyperlink" Target="https://drive.google.com/file/d/1sf4pdy8FC_2KID7ody5W1KX6QoJFZYqX/view?usp=share_link" TargetMode="External"/><Relationship Id="rId133" Type="http://schemas.openxmlformats.org/officeDocument/2006/relationships/hyperlink" Target="https://drive.google.com/file/d/19fkH2zH0E4I-zrodSsvTUMq5SMcc6yBy/view?usp=share_link" TargetMode="External"/><Relationship Id="rId16" Type="http://schemas.openxmlformats.org/officeDocument/2006/relationships/hyperlink" Target="https://drive.google.com/file/d/1fQBnsor6Dgc3uPv0c2nPdIt-SXHytzcF/view?usp=sharing" TargetMode="External"/><Relationship Id="rId37" Type="http://schemas.openxmlformats.org/officeDocument/2006/relationships/hyperlink" Target="https://drive.google.com/file/d/1CgqF4dz73iPrsiGITLQSnrz71OGYVvjO/view?usp=sharing" TargetMode="External"/><Relationship Id="rId58" Type="http://schemas.openxmlformats.org/officeDocument/2006/relationships/hyperlink" Target="https://drive.google.com/file/d/1mWVrmGo9ApUjh3nBanBJQ09Rto9AXZKb/view?usp=sharing" TargetMode="External"/><Relationship Id="rId79" Type="http://schemas.openxmlformats.org/officeDocument/2006/relationships/hyperlink" Target="https://drive.google.com/file/d/15IzzocwAPd91WtAQLyOKw1k_OgXeD34t/view?usp=sharing" TargetMode="External"/><Relationship Id="rId102" Type="http://schemas.openxmlformats.org/officeDocument/2006/relationships/hyperlink" Target="https://drive.google.com/file/d/1o7pyzMIoEzAP8Vv6-OnbERd-oALKViZL/view?usp=share_link" TargetMode="External"/><Relationship Id="rId123" Type="http://schemas.openxmlformats.org/officeDocument/2006/relationships/hyperlink" Target="https://drive.google.com/file/d/1DXe0GNCsHqNb4sP8Ic2y_jOm6-4xk0DX/view?usp=share_link" TargetMode="External"/><Relationship Id="rId144" Type="http://schemas.openxmlformats.org/officeDocument/2006/relationships/hyperlink" Target="https://drive.google.com/file/d/1brrk6cDIS4tqOYaRU3OnpqjyQgrzlfMV/view?usp=drive_link" TargetMode="External"/><Relationship Id="rId90" Type="http://schemas.openxmlformats.org/officeDocument/2006/relationships/hyperlink" Target="https://drive.google.com/file/d/1ZDmbx7UtnCdD1jkfAobdwc_TguHnYbzj/view?usp=share_link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j22bbRUW67zucyHmw7GE0qowqKc-7NhA/view?usp=share_link" TargetMode="External"/><Relationship Id="rId21" Type="http://schemas.openxmlformats.org/officeDocument/2006/relationships/hyperlink" Target="https://drive.google.com/file/d/1F9BB_ulUvRdK927pKVCysTNE6T9xSADn/view?usp=sharing" TargetMode="External"/><Relationship Id="rId42" Type="http://schemas.openxmlformats.org/officeDocument/2006/relationships/hyperlink" Target="https://drive.google.com/file/d/19pOhOdiuef-fTW3Hk_VmGUP8fZ9h8hNj/view?usp=sharing" TargetMode="External"/><Relationship Id="rId63" Type="http://schemas.openxmlformats.org/officeDocument/2006/relationships/hyperlink" Target="https://drive.google.com/file/d/1ekCACP5QXiQguwRJgFf5rmoJRc-yiUkZ/view?usp=sharing" TargetMode="External"/><Relationship Id="rId84" Type="http://schemas.openxmlformats.org/officeDocument/2006/relationships/hyperlink" Target="https://drive.google.com/file/d/1dxRGvwPps3UC_JwjxXVnm1dpkH69gpqL/view?usp=share_link" TargetMode="External"/><Relationship Id="rId138" Type="http://schemas.openxmlformats.org/officeDocument/2006/relationships/comments" Target="../comments4.xml"/><Relationship Id="rId16" Type="http://schemas.openxmlformats.org/officeDocument/2006/relationships/hyperlink" Target="https://drive.google.com/file/d/1KXMvxkQ0pqszMaZbPj2gOrECpb4mezFc/view?usp=sharing" TargetMode="External"/><Relationship Id="rId107" Type="http://schemas.openxmlformats.org/officeDocument/2006/relationships/hyperlink" Target="https://drive.google.com/file/d/1riApICTBhbHbAisvtaNO_7z8OA7OLpfq/view?usp=share_link" TargetMode="External"/><Relationship Id="rId11" Type="http://schemas.openxmlformats.org/officeDocument/2006/relationships/hyperlink" Target="https://drive.google.com/file/d/1hTxMJVrTt4XkjQt81q89L6pJ6sd3y452/view?usp=sharing" TargetMode="External"/><Relationship Id="rId32" Type="http://schemas.openxmlformats.org/officeDocument/2006/relationships/hyperlink" Target="https://drive.google.com/file/d/15shTmMMCHsFj0gpX7mM8iPHVo5BAvnKC/view?usp=sharing" TargetMode="External"/><Relationship Id="rId37" Type="http://schemas.openxmlformats.org/officeDocument/2006/relationships/hyperlink" Target="https://drive.google.com/file/d/1TiRIRD7ydq4yBp4joVctIsxe_iyoBYtk/view?usp=sharing" TargetMode="External"/><Relationship Id="rId53" Type="http://schemas.openxmlformats.org/officeDocument/2006/relationships/hyperlink" Target="https://drive.google.com/file/d/1sUwVvZparXQjJmLA45okLptLspX6NNOS/view?usp=sharing" TargetMode="External"/><Relationship Id="rId58" Type="http://schemas.openxmlformats.org/officeDocument/2006/relationships/hyperlink" Target="https://drive.google.com/file/d/1NdQaEo5nsJfBlPyNqalT7be5vQbF-B0X/view?usp=sharing" TargetMode="External"/><Relationship Id="rId74" Type="http://schemas.openxmlformats.org/officeDocument/2006/relationships/hyperlink" Target="https://drive.google.com/file/d/1435snUTiZnMK-N-5UhaRhqyof8RVIDT-/view?usp=share_link" TargetMode="External"/><Relationship Id="rId79" Type="http://schemas.openxmlformats.org/officeDocument/2006/relationships/hyperlink" Target="https://drive.google.com/file/d/1j8KlqKLmIhFCwB-skLBl9Y8uAmVQPZVg/view?usp=share_link" TargetMode="External"/><Relationship Id="rId102" Type="http://schemas.openxmlformats.org/officeDocument/2006/relationships/hyperlink" Target="https://drive.google.com/file/d/1wAMkY4GWUEX0g8XNzQTsJ3SXPDk7OSaK/view?usp=share_link" TargetMode="External"/><Relationship Id="rId123" Type="http://schemas.openxmlformats.org/officeDocument/2006/relationships/hyperlink" Target="https://drive.google.com/file/d/1fd3xV7QnyLBb6vAIKyuQsLYEDt5E-6ac/view?usp=sharing" TargetMode="External"/><Relationship Id="rId128" Type="http://schemas.openxmlformats.org/officeDocument/2006/relationships/hyperlink" Target="https://drive.google.com/file/d/1ils1PDxf1u52QRt0gVZ2iNGhLZehZ0qd/view?usp=sharing" TargetMode="External"/><Relationship Id="rId5" Type="http://schemas.openxmlformats.org/officeDocument/2006/relationships/hyperlink" Target="https://drive.google.com/file/d/1eOzehJidpquZhRly7WZJl8sKNRFI1Onj/view?usp=sharing" TargetMode="External"/><Relationship Id="rId90" Type="http://schemas.openxmlformats.org/officeDocument/2006/relationships/hyperlink" Target="https://drive.google.com/file/d/1rYChYjO1id1Dl0N33C_ZJ-GAjoSLGKqH/view?usp=share_link" TargetMode="External"/><Relationship Id="rId95" Type="http://schemas.openxmlformats.org/officeDocument/2006/relationships/hyperlink" Target="https://drive.google.com/file/d/1ZZB3F-tYTeKuwQAd8w6h02Yan1tetVD1/view?usp=share_link" TargetMode="External"/><Relationship Id="rId22" Type="http://schemas.openxmlformats.org/officeDocument/2006/relationships/hyperlink" Target="https://drive.google.com/file/d/1sxmDbb8B9hiWOG-EpMmdMC30O3JpzgB4/view?usp=sharing" TargetMode="External"/><Relationship Id="rId27" Type="http://schemas.openxmlformats.org/officeDocument/2006/relationships/hyperlink" Target="https://drive.google.com/file/d/1zwNcoE_wgLW0n5YjRnv2FjhGz_7OgTrt/view?usp=sharing" TargetMode="External"/><Relationship Id="rId43" Type="http://schemas.openxmlformats.org/officeDocument/2006/relationships/hyperlink" Target="https://drive.google.com/file/d/1D3lQP1V7sckbgBk7N5Qf7jQX7CEADIuP/view?usp=sharing" TargetMode="External"/><Relationship Id="rId48" Type="http://schemas.openxmlformats.org/officeDocument/2006/relationships/hyperlink" Target="https://drive.google.com/file/d/1Ph9ZDRhGgJxO3nhCFCg0PD2r1cKp_sS9/view?usp=sharing" TargetMode="External"/><Relationship Id="rId64" Type="http://schemas.openxmlformats.org/officeDocument/2006/relationships/hyperlink" Target="https://drive.google.com/file/d/1ir_5Wp1fsS24LOs_6kiGPpLgcyjRy70T/view?usp=sharing" TargetMode="External"/><Relationship Id="rId69" Type="http://schemas.openxmlformats.org/officeDocument/2006/relationships/hyperlink" Target="https://drive.google.com/file/d/1o5JAGv2Qo85kbfJwcIfxlAnfQusArz2E/view?usp=sharing" TargetMode="External"/><Relationship Id="rId113" Type="http://schemas.openxmlformats.org/officeDocument/2006/relationships/hyperlink" Target="https://drive.google.com/file/d/1WudkE2jFzd1b400SfBntOUcENAzta6GQ/view?usp=share_link" TargetMode="External"/><Relationship Id="rId118" Type="http://schemas.openxmlformats.org/officeDocument/2006/relationships/hyperlink" Target="https://drive.google.com/file/d/1W0rcveK4Gn4QNxSEKYTsEvSczRy458f7/view?usp=sharing" TargetMode="External"/><Relationship Id="rId134" Type="http://schemas.openxmlformats.org/officeDocument/2006/relationships/hyperlink" Target="https://drive.google.com/file/d/1LiY_Z5EPR7KsQOZYwcMjop5r2PSZPqmK/view?usp=share_link" TargetMode="External"/><Relationship Id="rId80" Type="http://schemas.openxmlformats.org/officeDocument/2006/relationships/hyperlink" Target="https://drive.google.com/file/d/15xIq6_Oj4P3R7jIxEtZ-r-Nw3wmb-V51/view?usp=share_link" TargetMode="External"/><Relationship Id="rId85" Type="http://schemas.openxmlformats.org/officeDocument/2006/relationships/hyperlink" Target="https://drive.google.com/file/d/1Xj-_WWQVoWSVyuU_zy2wxCgrwvlE-6iL/view?usp=share_link" TargetMode="External"/><Relationship Id="rId12" Type="http://schemas.openxmlformats.org/officeDocument/2006/relationships/hyperlink" Target="https://drive.google.com/file/d/1nb0PQ8DNDhHSy2PWs33Fk1h-JRqsKXZZ/view?usp=sharing" TargetMode="External"/><Relationship Id="rId17" Type="http://schemas.openxmlformats.org/officeDocument/2006/relationships/hyperlink" Target="https://drive.google.com/file/d/1WaV1U5nq-4Jyt7en_ZkJKMFc5PwalWwA/view?usp=sharing" TargetMode="External"/><Relationship Id="rId33" Type="http://schemas.openxmlformats.org/officeDocument/2006/relationships/hyperlink" Target="https://drive.google.com/file/d/18nMeWqsqHpnnBATVBYmk82a3kvnGJg0x/view?usp=sharing" TargetMode="External"/><Relationship Id="rId38" Type="http://schemas.openxmlformats.org/officeDocument/2006/relationships/hyperlink" Target="https://drive.google.com/file/d/1CgqF4dz73iPrsiGITLQSnrz71OGYVvjO/view?usp=sharing" TargetMode="External"/><Relationship Id="rId59" Type="http://schemas.openxmlformats.org/officeDocument/2006/relationships/hyperlink" Target="https://drive.google.com/file/d/1rdKjtuQeFOfR6eB_jk3GDznLf6SUHgrY/view?usp=sharing" TargetMode="External"/><Relationship Id="rId103" Type="http://schemas.openxmlformats.org/officeDocument/2006/relationships/hyperlink" Target="https://drive.google.com/file/d/12iFJwEFLR7dAHgPNjp-niBGoLpZUSubv/view?usp=share_link" TargetMode="External"/><Relationship Id="rId108" Type="http://schemas.openxmlformats.org/officeDocument/2006/relationships/hyperlink" Target="https://drive.google.com/file/d/1riApICTBhbHbAisvtaNO_7z8OA7OLpfq/view?usp=share_link" TargetMode="External"/><Relationship Id="rId124" Type="http://schemas.openxmlformats.org/officeDocument/2006/relationships/hyperlink" Target="https://drive.google.com/file/d/1qZr6eHDVus4oOKzyv2riYXGTWbi2VKam/view?usp=sharing" TargetMode="External"/><Relationship Id="rId129" Type="http://schemas.openxmlformats.org/officeDocument/2006/relationships/hyperlink" Target="https://drive.google.com/file/d/1VBqU6eoT0gm6ENo40Kwo5kZlftcfp62v/view?usp=sharing" TargetMode="External"/><Relationship Id="rId54" Type="http://schemas.openxmlformats.org/officeDocument/2006/relationships/hyperlink" Target="https://drive.google.com/file/d/1Mz2BdCLwdCWNAe1etrjW5HrfLE51i_1Z/view?usp=sharing" TargetMode="External"/><Relationship Id="rId70" Type="http://schemas.openxmlformats.org/officeDocument/2006/relationships/hyperlink" Target="https://drive.google.com/file/d/15IzzocwAPd91WtAQLyOKw1k_OgXeD34t/view?usp=sharing" TargetMode="External"/><Relationship Id="rId75" Type="http://schemas.openxmlformats.org/officeDocument/2006/relationships/hyperlink" Target="https://drive.google.com/file/d/1435snUTiZnMK-N-5UhaRhqyof8RVIDT-/view?usp=share_link" TargetMode="External"/><Relationship Id="rId91" Type="http://schemas.openxmlformats.org/officeDocument/2006/relationships/hyperlink" Target="https://drive.google.com/file/d/1Okj27wUROPIrewGUL3RoY8wJOkk2XNcb/view?usp=sharing" TargetMode="External"/><Relationship Id="rId96" Type="http://schemas.openxmlformats.org/officeDocument/2006/relationships/hyperlink" Target="https://drive.google.com/file/d/1CLi9ZF6973A9Xmxh27eLBnFglCr0ibOX/view?usp=share_link" TargetMode="External"/><Relationship Id="rId1" Type="http://schemas.openxmlformats.org/officeDocument/2006/relationships/hyperlink" Target="https://drive.google.com/file/d/1bCt-bTkCuTB5KJ6JVsiy2JDJQve-XHXi/view?usp=sharing" TargetMode="External"/><Relationship Id="rId6" Type="http://schemas.openxmlformats.org/officeDocument/2006/relationships/hyperlink" Target="https://drive.google.com/file/d/19NTQ6R93ON87BFOkW9AhNarMrrg2sNNY/view?usp=sharing" TargetMode="External"/><Relationship Id="rId23" Type="http://schemas.openxmlformats.org/officeDocument/2006/relationships/hyperlink" Target="https://drive.google.com/file/d/1gJBr_2JG1-N-6Kp6VjZQ8jURSaX8DXFY/view?usp=sharing" TargetMode="External"/><Relationship Id="rId28" Type="http://schemas.openxmlformats.org/officeDocument/2006/relationships/hyperlink" Target="https://drive.google.com/file/d/1h7S6fFzABswc4OvCn3Yds9CrvEeu3LzV/view?usp=sharing" TargetMode="External"/><Relationship Id="rId49" Type="http://schemas.openxmlformats.org/officeDocument/2006/relationships/hyperlink" Target="https://drive.google.com/file/d/13xI2NNYs3fsFGcyMmk9tecYCJ-lh3kGw/view?usp=sharing" TargetMode="External"/><Relationship Id="rId114" Type="http://schemas.openxmlformats.org/officeDocument/2006/relationships/hyperlink" Target="https://drive.google.com/file/d/1eksgt3NykCxJDbYe6ggnRjAlqt5JbBi1/view?usp=share_link" TargetMode="External"/><Relationship Id="rId119" Type="http://schemas.openxmlformats.org/officeDocument/2006/relationships/hyperlink" Target="https://drive.google.com/file/d/156NvD9eO7MAGI-AlKLVFbqp45sjUmgQK/view?usp=sharing" TargetMode="External"/><Relationship Id="rId44" Type="http://schemas.openxmlformats.org/officeDocument/2006/relationships/hyperlink" Target="https://drive.google.com/file/d/1JhQNLDRTlTQFVfzFDIqP-f1AZWd-N_R8/view?usp=sharing" TargetMode="External"/><Relationship Id="rId60" Type="http://schemas.openxmlformats.org/officeDocument/2006/relationships/hyperlink" Target="https://drive.google.com/file/d/1PTIgd8cWbSYuw_v5SlCW2beVSF0ycuAJ/view?usp=sharing" TargetMode="External"/><Relationship Id="rId65" Type="http://schemas.openxmlformats.org/officeDocument/2006/relationships/hyperlink" Target="https://drive.google.com/file/d/19ymHUsC4yk-B0Re5hkBuJzTkAXPmd6iI/view?usp=sharing" TargetMode="External"/><Relationship Id="rId81" Type="http://schemas.openxmlformats.org/officeDocument/2006/relationships/hyperlink" Target="https://drive.google.com/file/d/1LiY_Z5EPR7KsQOZYwcMjop5r2PSZPqmK/view?usp=share_link" TargetMode="External"/><Relationship Id="rId86" Type="http://schemas.openxmlformats.org/officeDocument/2006/relationships/hyperlink" Target="https://drive.google.com/file/d/1UM0BUstL9EF7twoqayUzkj6WmLNbQkR6/view?usp=share_link" TargetMode="External"/><Relationship Id="rId130" Type="http://schemas.openxmlformats.org/officeDocument/2006/relationships/hyperlink" Target="https://drive.google.com/file/d/1ytm8zptVQEqCiVwwxmSDJ-vgred4Ec0i/view?usp=drive_link" TargetMode="External"/><Relationship Id="rId135" Type="http://schemas.openxmlformats.org/officeDocument/2006/relationships/hyperlink" Target="https://drive.google.com/file/d/1BFE26nHEj-tBDTUVp2U7LBm-j4WRVf_i/view?usp=share_link" TargetMode="External"/><Relationship Id="rId13" Type="http://schemas.openxmlformats.org/officeDocument/2006/relationships/hyperlink" Target="https://drive.google.com/file/d/1CrwPQ62SkfEOp2YtXU1d7gjUCBOMyMih/view?usp=sharing" TargetMode="External"/><Relationship Id="rId18" Type="http://schemas.openxmlformats.org/officeDocument/2006/relationships/hyperlink" Target="https://drive.google.com/file/d/1kHbo6vjUBYxATuc2gASJGfMwvAZEQ2cm/view?usp=sharing" TargetMode="External"/><Relationship Id="rId39" Type="http://schemas.openxmlformats.org/officeDocument/2006/relationships/hyperlink" Target="https://drive.google.com/file/d/1Pw-5A-D9rvYj0x0op0ynMZNv2K_4d70Q/view?usp=sharing" TargetMode="External"/><Relationship Id="rId109" Type="http://schemas.openxmlformats.org/officeDocument/2006/relationships/hyperlink" Target="https://drive.google.com/file/d/19KnB_QSKxX2cQwtH28A_N-3X_AaBXnR4/view?usp=share_link" TargetMode="External"/><Relationship Id="rId34" Type="http://schemas.openxmlformats.org/officeDocument/2006/relationships/hyperlink" Target="https://drive.google.com/file/d/1Xy0667kDTaT6E2wK0OdvqF0steo_xRmK/view?usp=sharing" TargetMode="External"/><Relationship Id="rId50" Type="http://schemas.openxmlformats.org/officeDocument/2006/relationships/hyperlink" Target="https://drive.google.com/file/d/1h4g4NneAITRX8jG9nQ_Fg8Z4C58JQ1dq/view?usp=sharing" TargetMode="External"/><Relationship Id="rId55" Type="http://schemas.openxmlformats.org/officeDocument/2006/relationships/hyperlink" Target="https://drive.google.com/file/d/1RQvDFIJHPTYqxIzoODYtgamlfLQ9veRi/view?usp=sharing" TargetMode="External"/><Relationship Id="rId76" Type="http://schemas.openxmlformats.org/officeDocument/2006/relationships/hyperlink" Target="https://drive.google.com/file/d/1Gu630uRi-Ux1b1EB2jEa2brjCEWwBTD2/view?usp=share_link" TargetMode="External"/><Relationship Id="rId97" Type="http://schemas.openxmlformats.org/officeDocument/2006/relationships/hyperlink" Target="https://drive.google.com/file/d/1CnoxtioXTVO6MAh82CJQBBZ8_ntjFLMJ/view?usp=share_link" TargetMode="External"/><Relationship Id="rId104" Type="http://schemas.openxmlformats.org/officeDocument/2006/relationships/hyperlink" Target="https://drive.google.com/file/d/1aUXIZaMLe6msZEu-wK2Vvrtlsp4wUYuw/view?usp=share_link" TargetMode="External"/><Relationship Id="rId120" Type="http://schemas.openxmlformats.org/officeDocument/2006/relationships/hyperlink" Target="https://drive.google.com/file/d/1Xat_L2QVWm7-mPX_-RsS8aMEtG-GZphP/view?usp=sharing" TargetMode="External"/><Relationship Id="rId125" Type="http://schemas.openxmlformats.org/officeDocument/2006/relationships/hyperlink" Target="https://drive.google.com/file/d/1OdK7lOfkyWIWSpJT6VptkuYBPGbbEpwZ/view?usp=sharing" TargetMode="External"/><Relationship Id="rId7" Type="http://schemas.openxmlformats.org/officeDocument/2006/relationships/hyperlink" Target="https://drive.google.com/file/d/1xCQKwxSLW8yFBaNkZA59194YA0kSxIUR/view?usp=sharing" TargetMode="External"/><Relationship Id="rId71" Type="http://schemas.openxmlformats.org/officeDocument/2006/relationships/hyperlink" Target="https://drive.google.com/file/d/15DWrzAxzfgzE0cYZCUtD0FSVz2gIPDiq/view?usp=sharing" TargetMode="External"/><Relationship Id="rId92" Type="http://schemas.openxmlformats.org/officeDocument/2006/relationships/hyperlink" Target="https://drive.google.com/file/d/1AO30cXlYtlso8d6To5JEQ79pihssZlK9/view?usp=share_link" TargetMode="External"/><Relationship Id="rId2" Type="http://schemas.openxmlformats.org/officeDocument/2006/relationships/hyperlink" Target="https://drive.google.com/file/d/1pnB162Y997jIiGCZ9Azw171-y4cHJdCn/view?usp=sharing" TargetMode="External"/><Relationship Id="rId29" Type="http://schemas.openxmlformats.org/officeDocument/2006/relationships/hyperlink" Target="https://drive.google.com/file/d/1hJ5srj8aNmAy0l_BifkRZgM8bqvqkuF3/view?usp=sharing" TargetMode="External"/><Relationship Id="rId24" Type="http://schemas.openxmlformats.org/officeDocument/2006/relationships/hyperlink" Target="https://drive.google.com/file/d/1PMqIDHILFsKEyPtMZ_hp6-hDTuv5b2ir/view?usp=sharing" TargetMode="External"/><Relationship Id="rId40" Type="http://schemas.openxmlformats.org/officeDocument/2006/relationships/hyperlink" Target="https://drive.google.com/file/d/1j4fFAG5yBXZ5mJYphYJB5phigkRRMNVq/view?usp=sharing" TargetMode="External"/><Relationship Id="rId45" Type="http://schemas.openxmlformats.org/officeDocument/2006/relationships/hyperlink" Target="https://drive.google.com/file/d/1u0WuIB10Zs5T-ThRV-0YbqCTtokGkSeO/view?usp=sharing" TargetMode="External"/><Relationship Id="rId66" Type="http://schemas.openxmlformats.org/officeDocument/2006/relationships/hyperlink" Target="https://drive.google.com/file/d/1keKswTO5xrBNE6w9MCePo0soK59jlvtV/view?usp=sharing" TargetMode="External"/><Relationship Id="rId87" Type="http://schemas.openxmlformats.org/officeDocument/2006/relationships/hyperlink" Target="https://drive.google.com/file/d/15W_7_BpgMH7jHfZVLu56nXL4iDznsswS/view?usp=share_link" TargetMode="External"/><Relationship Id="rId110" Type="http://schemas.openxmlformats.org/officeDocument/2006/relationships/hyperlink" Target="https://drive.google.com/file/d/1GNMKPnpQGXbGn6T2r8A5NLxxIPVSnOn4/view?usp=share_link" TargetMode="External"/><Relationship Id="rId115" Type="http://schemas.openxmlformats.org/officeDocument/2006/relationships/hyperlink" Target="https://drive.google.com/file/d/1ez9BA_mNJmbaNIC6Hejkhb9wZ1l-cgWV/view?usp=share_link" TargetMode="External"/><Relationship Id="rId131" Type="http://schemas.openxmlformats.org/officeDocument/2006/relationships/hyperlink" Target="https://drive.google.com/file/d/1mVyNCDMfrlLmR67dwrt3sX9dP1pVtP2K/view?usp=drive_link" TargetMode="External"/><Relationship Id="rId136" Type="http://schemas.openxmlformats.org/officeDocument/2006/relationships/printerSettings" Target="../printerSettings/printerSettings2.bin"/><Relationship Id="rId61" Type="http://schemas.openxmlformats.org/officeDocument/2006/relationships/hyperlink" Target="https://drive.google.com/file/d/1WWW1LWMh_4I3HlWF5d9CZRritN-6bR7A/view?usp=sharing" TargetMode="External"/><Relationship Id="rId82" Type="http://schemas.openxmlformats.org/officeDocument/2006/relationships/hyperlink" Target="https://drive.google.com/file/d/1BFE26nHEj-tBDTUVp2U7LBm-j4WRVf_i/view?usp=share_link" TargetMode="External"/><Relationship Id="rId19" Type="http://schemas.openxmlformats.org/officeDocument/2006/relationships/hyperlink" Target="https://drive.google.com/file/d/1yGSKcVmwABhpe8u4RMJUMizPW_jUXj6R/view?usp=sharing" TargetMode="External"/><Relationship Id="rId14" Type="http://schemas.openxmlformats.org/officeDocument/2006/relationships/hyperlink" Target="https://drive.google.com/file/d/12Jogu9_A0-ZolaubeIm0vbLSTxlPIwEi/view?usp=sharing" TargetMode="External"/><Relationship Id="rId30" Type="http://schemas.openxmlformats.org/officeDocument/2006/relationships/hyperlink" Target="https://drive.google.com/file/d/1SwPuAm394WQkiewFwiIfmwbUbJW9RFan/view?usp=sharing" TargetMode="External"/><Relationship Id="rId35" Type="http://schemas.openxmlformats.org/officeDocument/2006/relationships/hyperlink" Target="https://drive.google.com/file/d/13kbDNnNEe50IUnVH5WwHWbKqHTR8aOxZ/view?usp=sharing" TargetMode="External"/><Relationship Id="rId56" Type="http://schemas.openxmlformats.org/officeDocument/2006/relationships/hyperlink" Target="https://drive.google.com/file/d/1q6UedV113Ougo5Q9fXLuXIB0h2BRAU0Q/view?usp=sharing" TargetMode="External"/><Relationship Id="rId77" Type="http://schemas.openxmlformats.org/officeDocument/2006/relationships/hyperlink" Target="https://drive.google.com/file/d/1Bsfw-jbM7wMdIYxnIiFnmnChXTItKcdd/view?usp=share_link" TargetMode="External"/><Relationship Id="rId100" Type="http://schemas.openxmlformats.org/officeDocument/2006/relationships/hyperlink" Target="https://drive.google.com/file/d/1nhvY91Siq3iRcDM8j6pyXr4iauxGZFcp/view?usp=share_link" TargetMode="External"/><Relationship Id="rId105" Type="http://schemas.openxmlformats.org/officeDocument/2006/relationships/hyperlink" Target="https://drive.google.com/file/d/1GB5jTUHK7tS--6XdZKVmcNZfuXMjRaL-/view?usp=share_link" TargetMode="External"/><Relationship Id="rId126" Type="http://schemas.openxmlformats.org/officeDocument/2006/relationships/hyperlink" Target="https://drive.google.com/file/d/1kAPfbzEw8O4bneir04wyX1TWdRtMuZWm/view?usp=drive_link" TargetMode="External"/><Relationship Id="rId8" Type="http://schemas.openxmlformats.org/officeDocument/2006/relationships/hyperlink" Target="https://drive.google.com/file/d/1FU-RQ-B_rjxl3oxHFfySZ1H5AQLyOx-d/view?usp=sharing" TargetMode="External"/><Relationship Id="rId51" Type="http://schemas.openxmlformats.org/officeDocument/2006/relationships/hyperlink" Target="https://drive.google.com/file/d/1AvWcVkFYt5EEBSsbxVANNJa5FTH-UNxy/view?usp=sharing" TargetMode="External"/><Relationship Id="rId72" Type="http://schemas.openxmlformats.org/officeDocument/2006/relationships/hyperlink" Target="https://drive.google.com/file/d/1gxwDRdncp1mOFX4lUuoPI9X7fEd-gAPm/view?usp=sharing" TargetMode="External"/><Relationship Id="rId93" Type="http://schemas.openxmlformats.org/officeDocument/2006/relationships/hyperlink" Target="https://drive.google.com/file/d/1gQw1rO_nhr7IiY907q_To6jimhKU3-17/view?usp=share_link" TargetMode="External"/><Relationship Id="rId98" Type="http://schemas.openxmlformats.org/officeDocument/2006/relationships/hyperlink" Target="https://drive.google.com/file/d/1Pg-4yLrv0VVF2jYBQIVoDO4wFsU0d7zR/view?usp=share_link" TargetMode="External"/><Relationship Id="rId121" Type="http://schemas.openxmlformats.org/officeDocument/2006/relationships/hyperlink" Target="https://drive.google.com/file/d/1TZ9AcuE3FIZuKDmkck1zu0NSIQus_Kbr/view?usp=sharing" TargetMode="External"/><Relationship Id="rId3" Type="http://schemas.openxmlformats.org/officeDocument/2006/relationships/hyperlink" Target="https://drive.google.com/file/d/1-9fdM3hoEPRrkFOCsrSIs5BHaLMs8bLT/view?usp=sharing" TargetMode="External"/><Relationship Id="rId25" Type="http://schemas.openxmlformats.org/officeDocument/2006/relationships/hyperlink" Target="https://drive.google.com/file/d/1natSC2hHV1zZAhBpVqYxb4lIh-wzl-dl/view?usp=sharing" TargetMode="External"/><Relationship Id="rId46" Type="http://schemas.openxmlformats.org/officeDocument/2006/relationships/hyperlink" Target="https://drive.google.com/file/d/16JjhVwWtZgSUEYcwhTTCNdZ6Vp0POoO0/view?usp=sharing" TargetMode="External"/><Relationship Id="rId67" Type="http://schemas.openxmlformats.org/officeDocument/2006/relationships/hyperlink" Target="https://drive.google.com/file/d/1keKswTO5xrBNE6w9MCePo0soK59jlvtV/view?usp=sharing" TargetMode="External"/><Relationship Id="rId116" Type="http://schemas.openxmlformats.org/officeDocument/2006/relationships/hyperlink" Target="https://drive.google.com/file/d/1qSDU84uDexeaJlj6dRf24nEOaPt8k2ng/view?usp=share_link" TargetMode="External"/><Relationship Id="rId137" Type="http://schemas.openxmlformats.org/officeDocument/2006/relationships/vmlDrawing" Target="../drawings/vmlDrawing4.vml"/><Relationship Id="rId20" Type="http://schemas.openxmlformats.org/officeDocument/2006/relationships/hyperlink" Target="https://drive.google.com/file/d/1GtzJxrtyKPEM8X1ZDIr9J47kvCJRe0XW/view?usp=sharing" TargetMode="External"/><Relationship Id="rId41" Type="http://schemas.openxmlformats.org/officeDocument/2006/relationships/hyperlink" Target="https://drive.google.com/file/d/17IFZ7PBNnIfOADbG-1uoPwX5lO8JSd8U/view?usp=sharing" TargetMode="External"/><Relationship Id="rId62" Type="http://schemas.openxmlformats.org/officeDocument/2006/relationships/hyperlink" Target="https://drive.google.com/file/d/1j0yn0FbwUTaLnn6wwtFNfMiI91oiMmHF/view?usp=sharing" TargetMode="External"/><Relationship Id="rId83" Type="http://schemas.openxmlformats.org/officeDocument/2006/relationships/hyperlink" Target="https://drive.google.com/file/d/1gJnVXTt3N0wUlNYzWrPbFU-t4fbf2Qxa/view?usp=share_link" TargetMode="External"/><Relationship Id="rId88" Type="http://schemas.openxmlformats.org/officeDocument/2006/relationships/hyperlink" Target="https://drive.google.com/file/d/15W_7_BpgMH7jHfZVLu56nXL4iDznsswS/view?usp=share_link" TargetMode="External"/><Relationship Id="rId111" Type="http://schemas.openxmlformats.org/officeDocument/2006/relationships/hyperlink" Target="https://drive.google.com/file/d/1ApVHLj03t49muUqWT8qVdmyyy1c7geRk/view?usp=share_link" TargetMode="External"/><Relationship Id="rId132" Type="http://schemas.openxmlformats.org/officeDocument/2006/relationships/hyperlink" Target="https://drive.google.com/file/d/1AwHoIp28NfAIVt_nXLzMpM6RfDxSpcGj/view?usp=sharing" TargetMode="External"/><Relationship Id="rId15" Type="http://schemas.openxmlformats.org/officeDocument/2006/relationships/hyperlink" Target="https://drive.google.com/file/d/1pDkU4l1zkT3aCaH-m-MQzu5gN6FMRSfW/view?usp=sharing" TargetMode="External"/><Relationship Id="rId36" Type="http://schemas.openxmlformats.org/officeDocument/2006/relationships/hyperlink" Target="https://drive.google.com/file/d/1SAH40E5moG9sxkOi1wKkRvlavEm-n70j/view?usp=sharing" TargetMode="External"/><Relationship Id="rId57" Type="http://schemas.openxmlformats.org/officeDocument/2006/relationships/hyperlink" Target="https://drive.google.com/file/d/1WLJ-kJbd5IH4Bw5elij_0UVd6267RaAg/view?usp=sharing" TargetMode="External"/><Relationship Id="rId106" Type="http://schemas.openxmlformats.org/officeDocument/2006/relationships/hyperlink" Target="https://drive.google.com/file/d/1EFHBd30DjLVDKYR9v_DNqyad2FsXI769/view?usp=share_link" TargetMode="External"/><Relationship Id="rId127" Type="http://schemas.openxmlformats.org/officeDocument/2006/relationships/hyperlink" Target="https://drive.google.com/file/d/1mia6cA_yOITK4ZC0bhvRnoUB_MV9ufU6/view?usp=drive_link" TargetMode="External"/><Relationship Id="rId10" Type="http://schemas.openxmlformats.org/officeDocument/2006/relationships/hyperlink" Target="https://drive.google.com/file/d/1K6yPr0sS4ZS3CUn6C5crONzOLag5t8r2/view?usp=sharing" TargetMode="External"/><Relationship Id="rId31" Type="http://schemas.openxmlformats.org/officeDocument/2006/relationships/hyperlink" Target="https://drive.google.com/file/d/1xAkiX_SXwv0X1dfQr1P0Y8Sho-qRFmea/view?usp=sharing" TargetMode="External"/><Relationship Id="rId52" Type="http://schemas.openxmlformats.org/officeDocument/2006/relationships/hyperlink" Target="https://drive.google.com/file/d/1FBKN265kM6S2dYpyCs0hP8Ev6cQljajo/view?usp=sharing" TargetMode="External"/><Relationship Id="rId73" Type="http://schemas.openxmlformats.org/officeDocument/2006/relationships/hyperlink" Target="https://drive.google.com/file/d/1zhr3AuJ7cEG6ghT6kjY8LTZ1-3rKuI6B/view?usp=share_link" TargetMode="External"/><Relationship Id="rId78" Type="http://schemas.openxmlformats.org/officeDocument/2006/relationships/hyperlink" Target="https://drive.google.com/file/d/1sj-aVuNZxvj3iZsYdfrgNZ09bSkOwtOT/view?usp=share_link" TargetMode="External"/><Relationship Id="rId94" Type="http://schemas.openxmlformats.org/officeDocument/2006/relationships/hyperlink" Target="https://drive.google.com/file/d/1SJk18Vh0Nmm9JNH-iwxx0j2VmurEGY5_/view?usp=share_link" TargetMode="External"/><Relationship Id="rId99" Type="http://schemas.openxmlformats.org/officeDocument/2006/relationships/hyperlink" Target="https://drive.google.com/file/d/1mr2v25sIJIlkhlozxU_1Mbpd6SYoUHaW/view?usp=share_link" TargetMode="External"/><Relationship Id="rId101" Type="http://schemas.openxmlformats.org/officeDocument/2006/relationships/hyperlink" Target="https://drive.google.com/file/d/1wAMkY4GWUEX0g8XNzQTsJ3SXPDk7OSaK/view?usp=share_link" TargetMode="External"/><Relationship Id="rId122" Type="http://schemas.openxmlformats.org/officeDocument/2006/relationships/hyperlink" Target="https://drive.google.com/file/d/1ScuUXDCsZN8yssY4JWYr5jcj6wLmgEuD/view?usp=sharing" TargetMode="External"/><Relationship Id="rId4" Type="http://schemas.openxmlformats.org/officeDocument/2006/relationships/hyperlink" Target="https://drive.google.com/file/d/1eOzehJidpquZhRly7WZJl8sKNRFI1Onj/view?usp=sharing" TargetMode="External"/><Relationship Id="rId9" Type="http://schemas.openxmlformats.org/officeDocument/2006/relationships/hyperlink" Target="https://drive.google.com/file/d/1rb5VOSfekwTX4ub_xRuc4FoW7K0bsHM2/view?usp=sharing" TargetMode="External"/><Relationship Id="rId26" Type="http://schemas.openxmlformats.org/officeDocument/2006/relationships/hyperlink" Target="https://drive.google.com/file/d/1IPt-BqiiRE7t6E3C0E8A31-4oTKSBq4H/view?usp=sharing" TargetMode="External"/><Relationship Id="rId47" Type="http://schemas.openxmlformats.org/officeDocument/2006/relationships/hyperlink" Target="https://drive.google.com/file/d/1mWVrmGo9ApUjh3nBanBJQ09Rto9AXZKb/view?usp=sharing" TargetMode="External"/><Relationship Id="rId68" Type="http://schemas.openxmlformats.org/officeDocument/2006/relationships/hyperlink" Target="https://drive.google.com/file/d/1o5JAGv2Qo85kbfJwcIfxlAnfQusArz2E/view?usp=sharing" TargetMode="External"/><Relationship Id="rId89" Type="http://schemas.openxmlformats.org/officeDocument/2006/relationships/hyperlink" Target="https://drive.google.com/file/d/1kYWV9T_IqOxLd6GgSdtbc6NsImOMhrmB/view?usp=share_link" TargetMode="External"/><Relationship Id="rId112" Type="http://schemas.openxmlformats.org/officeDocument/2006/relationships/hyperlink" Target="https://drive.google.com/file/d/1BOZiFxZIsex6whOyo8ZIgktlblQRa_wo/view?usp=share_link" TargetMode="External"/><Relationship Id="rId133" Type="http://schemas.openxmlformats.org/officeDocument/2006/relationships/hyperlink" Target="https://drive.google.com/file/d/1DXe0GNCsHqNb4sP8Ic2y_jOm6-4xk0DX/view?usp=share_link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eOzehJidpquZhRly7WZJl8sKNRFI1Onj/view?usp=sharing" TargetMode="External"/><Relationship Id="rId21" Type="http://schemas.openxmlformats.org/officeDocument/2006/relationships/hyperlink" Target="https://drive.google.com/file/d/1B7EGsBQuqV-rUtk1F6wklKvC1xXsQONv/view?usp=drive_link" TargetMode="External"/><Relationship Id="rId42" Type="http://schemas.openxmlformats.org/officeDocument/2006/relationships/hyperlink" Target="https://drive.google.com/file/d/1keKswTO5xrBNE6w9MCePo0soK59jlvtV/view?usp=sharing" TargetMode="External"/><Relationship Id="rId63" Type="http://schemas.openxmlformats.org/officeDocument/2006/relationships/hyperlink" Target="https://drive.google.com/file/d/1ez9BA_mNJmbaNIC6Hejkhb9wZ1l-cgWV/view?usp=share_link" TargetMode="External"/><Relationship Id="rId84" Type="http://schemas.openxmlformats.org/officeDocument/2006/relationships/hyperlink" Target="https://drive.google.com/file/d/1NdQaEo5nsJfBlPyNqalT7be5vQbF-B0X/view?usp=sharing" TargetMode="External"/><Relationship Id="rId138" Type="http://schemas.openxmlformats.org/officeDocument/2006/relationships/hyperlink" Target="https://drive.google.com/file/d/1iZjX2w7rCMSNfFoOA9lbYDiJnG5UzzIN/view?usp=sharing" TargetMode="External"/><Relationship Id="rId159" Type="http://schemas.openxmlformats.org/officeDocument/2006/relationships/hyperlink" Target="https://drive.google.com/file/d/1FUoAobBghkNqtQv2A8sBLBq2a_eL9Wpe/view?usp=drive_link" TargetMode="External"/><Relationship Id="rId170" Type="http://schemas.openxmlformats.org/officeDocument/2006/relationships/vmlDrawing" Target="../drawings/vmlDrawing5.vml"/><Relationship Id="rId107" Type="http://schemas.openxmlformats.org/officeDocument/2006/relationships/hyperlink" Target="https://drive.google.com/file/d/1Q_QzDTOjLyYF_C6NeWFfxyJQNFp6GzE-/view?usp=share_link" TargetMode="External"/><Relationship Id="rId11" Type="http://schemas.openxmlformats.org/officeDocument/2006/relationships/hyperlink" Target="https://drive.google.com/file/d/1_NnwKrP6L2X4vKtkYiNpbCEpvTRDudEW/view?usp=share_link" TargetMode="External"/><Relationship Id="rId32" Type="http://schemas.openxmlformats.org/officeDocument/2006/relationships/hyperlink" Target="https://drive.google.com/file/d/1FBKN265kM6S2dYpyCs0hP8Ev6cQljajo/view?usp=sharing" TargetMode="External"/><Relationship Id="rId53" Type="http://schemas.openxmlformats.org/officeDocument/2006/relationships/hyperlink" Target="https://drive.google.com/file/d/1nb0PQ8DNDhHSy2PWs33Fk1h-JRqsKXZZ/view?usp=sharing" TargetMode="External"/><Relationship Id="rId74" Type="http://schemas.openxmlformats.org/officeDocument/2006/relationships/hyperlink" Target="https://drive.google.com/file/d/1-K2ViQs-199D95BZ5Pv3jhjngM82LcVx/view?usp=sharing" TargetMode="External"/><Relationship Id="rId128" Type="http://schemas.openxmlformats.org/officeDocument/2006/relationships/hyperlink" Target="https://drive.google.com/file/d/1o-E8S2HSJB8SCLb2QRvLfzJQBKF9fuqC/view?usp=drive_link" TargetMode="External"/><Relationship Id="rId149" Type="http://schemas.openxmlformats.org/officeDocument/2006/relationships/hyperlink" Target="https://drive.google.com/file/d/1J0pg1qkKhVWD7sVN_lTZVU8gDmJ87wnq/view?usp=drive_link" TargetMode="External"/><Relationship Id="rId5" Type="http://schemas.openxmlformats.org/officeDocument/2006/relationships/hyperlink" Target="https://drive.google.com/file/d/1WLJ-kJbd5IH4Bw5elij_0UVd6267RaAg/view?usp=sharing" TargetMode="External"/><Relationship Id="rId95" Type="http://schemas.openxmlformats.org/officeDocument/2006/relationships/hyperlink" Target="https://drive.google.com/file/d/1zhr3AuJ7cEG6ghT6kjY8LTZ1-3rKuI6B/view?usp=share_link" TargetMode="External"/><Relationship Id="rId160" Type="http://schemas.openxmlformats.org/officeDocument/2006/relationships/hyperlink" Target="https://drive.google.com/file/d/1FUoAobBghkNqtQv2A8sBLBq2a_eL9Wpe/view?usp=drive_link" TargetMode="External"/><Relationship Id="rId22" Type="http://schemas.openxmlformats.org/officeDocument/2006/relationships/hyperlink" Target="https://drive.google.com/file/d/1Us-erAbhYBTVFL7-EKJOJkr6RK40V7hq/view?usp=share_link" TargetMode="External"/><Relationship Id="rId43" Type="http://schemas.openxmlformats.org/officeDocument/2006/relationships/hyperlink" Target="https://drive.google.com/file/d/1o5JAGv2Qo85kbfJwcIfxlAnfQusArz2E/view?usp=sharing" TargetMode="External"/><Relationship Id="rId64" Type="http://schemas.openxmlformats.org/officeDocument/2006/relationships/hyperlink" Target="https://drive.google.com/file/d/1kAPfbzEw8O4bneir04wyX1TWdRtMuZWm/view?usp=drive_link" TargetMode="External"/><Relationship Id="rId118" Type="http://schemas.openxmlformats.org/officeDocument/2006/relationships/hyperlink" Target="https://drive.google.com/file/d/1lfyUCKeAw53-tXJuN6XHiJsii1z9oXiD/view?usp=drive_link" TargetMode="External"/><Relationship Id="rId139" Type="http://schemas.openxmlformats.org/officeDocument/2006/relationships/hyperlink" Target="https://drive.google.com/file/d/1iZjX2w7rCMSNfFoOA9lbYDiJnG5UzzIN/view?usp=sharing" TargetMode="External"/><Relationship Id="rId85" Type="http://schemas.openxmlformats.org/officeDocument/2006/relationships/hyperlink" Target="https://drive.google.com/file/d/1rdKjtuQeFOfR6eB_jk3GDznLf6SUHgrY/view?usp=sharing" TargetMode="External"/><Relationship Id="rId150" Type="http://schemas.openxmlformats.org/officeDocument/2006/relationships/hyperlink" Target="https://drive.google.com/file/d/13DGmUJI1wzEssYV5aZLoGn5GNFAW50fI/view?usp=drive_link" TargetMode="External"/><Relationship Id="rId171" Type="http://schemas.openxmlformats.org/officeDocument/2006/relationships/comments" Target="../comments5.xml"/><Relationship Id="rId12" Type="http://schemas.openxmlformats.org/officeDocument/2006/relationships/hyperlink" Target="https://drive.google.com/file/d/1WwgJBsf0uEucatoOsJwUCdUgji5sS9sq/view?usp=share_link" TargetMode="External"/><Relationship Id="rId33" Type="http://schemas.openxmlformats.org/officeDocument/2006/relationships/hyperlink" Target="https://drive.google.com/file/d/1sUwVvZparXQjJmLA45okLptLspX6NNOS/view?usp=sharing" TargetMode="External"/><Relationship Id="rId108" Type="http://schemas.openxmlformats.org/officeDocument/2006/relationships/hyperlink" Target="https://drive.google.com/file/d/1AAx2wgsmGVMMI6lzxzfKjqArIxJbaT22/view?usp=share_link" TargetMode="External"/><Relationship Id="rId129" Type="http://schemas.openxmlformats.org/officeDocument/2006/relationships/hyperlink" Target="https://drive.google.com/file/d/1z-XG7eVYUR01h_0tgIlFWkO1YgyBtOGk/view?usp=drive_link" TargetMode="External"/><Relationship Id="rId54" Type="http://schemas.openxmlformats.org/officeDocument/2006/relationships/hyperlink" Target="https://drive.google.com/file/d/1xCQKwxSLW8yFBaNkZA59194YA0kSxIUR/view?usp=sharing" TargetMode="External"/><Relationship Id="rId70" Type="http://schemas.openxmlformats.org/officeDocument/2006/relationships/hyperlink" Target="https://drive.google.com/file/d/1iZjX2w7rCMSNfFoOA9lbYDiJnG5UzzIN/view?usp=sharing" TargetMode="External"/><Relationship Id="rId75" Type="http://schemas.openxmlformats.org/officeDocument/2006/relationships/hyperlink" Target="https://drive.google.com/file/d/1OgepZaldumxQK9RG5CoNsI-dhr6xaFyM/view?usp=share_link" TargetMode="External"/><Relationship Id="rId91" Type="http://schemas.openxmlformats.org/officeDocument/2006/relationships/hyperlink" Target="https://drive.google.com/file/d/17IFZ7PBNnIfOADbG-1uoPwX5lO8JSd8U/view?usp=sharing" TargetMode="External"/><Relationship Id="rId96" Type="http://schemas.openxmlformats.org/officeDocument/2006/relationships/hyperlink" Target="https://drive.google.com/file/d/1qFxDt-_xIf84i5cmsfxu6A27l1yoNW4t/view?usp=sharing" TargetMode="External"/><Relationship Id="rId140" Type="http://schemas.openxmlformats.org/officeDocument/2006/relationships/hyperlink" Target="https://drive.google.com/file/d/1iZjX2w7rCMSNfFoOA9lbYDiJnG5UzzIN/view?usp=sharing" TargetMode="External"/><Relationship Id="rId145" Type="http://schemas.openxmlformats.org/officeDocument/2006/relationships/hyperlink" Target="https://drive.google.com/file/d/1J0pg1qkKhVWD7sVN_lTZVU8gDmJ87wnq/view?usp=drive_link" TargetMode="External"/><Relationship Id="rId161" Type="http://schemas.openxmlformats.org/officeDocument/2006/relationships/hyperlink" Target="https://drive.google.com/file/d/1AwHoIp28NfAIVt_nXLzMpM6RfDxSpcGj/view?usp=sharing" TargetMode="External"/><Relationship Id="rId166" Type="http://schemas.openxmlformats.org/officeDocument/2006/relationships/hyperlink" Target="https://drive.google.com/file/d/1GEUrgBTLR6uofm6fyRt9sgKF5vRQMQ7C/view?usp=share_link" TargetMode="External"/><Relationship Id="rId1" Type="http://schemas.openxmlformats.org/officeDocument/2006/relationships/hyperlink" Target="https://drive.google.com/file/d/1ExvrB0Jeur1JPp6_IqRWoCLoJLge3HPk/view?usp=sharing" TargetMode="External"/><Relationship Id="rId6" Type="http://schemas.openxmlformats.org/officeDocument/2006/relationships/hyperlink" Target="https://drive.google.com/file/d/1I4j_1FUwlrZJrKAGkBtWNHGTsMgIpKk5/view?usp=sharing" TargetMode="External"/><Relationship Id="rId23" Type="http://schemas.openxmlformats.org/officeDocument/2006/relationships/hyperlink" Target="https://drive.google.com/file/d/1_vxrYWznL0lhgtQ6ZDzTBEu9kYba4MRT/view?usp=share_link" TargetMode="External"/><Relationship Id="rId28" Type="http://schemas.openxmlformats.org/officeDocument/2006/relationships/hyperlink" Target="https://drive.google.com/file/d/1SB5X_Cx3mC6AugNYszyoG9qaFTePYM0y/view?usp=share_link" TargetMode="External"/><Relationship Id="rId49" Type="http://schemas.openxmlformats.org/officeDocument/2006/relationships/hyperlink" Target="https://drive.google.com/file/d/1ollVEO5q3-kTkMgoaeXnFcVJ7wFeJwEe/view?usp=drive_link" TargetMode="External"/><Relationship Id="rId114" Type="http://schemas.openxmlformats.org/officeDocument/2006/relationships/hyperlink" Target="https://drive.google.com/file/d/1X6v7j4YswexchZK3hkE34bJM3WSKBdKJ/view?usp=share_link" TargetMode="External"/><Relationship Id="rId119" Type="http://schemas.openxmlformats.org/officeDocument/2006/relationships/hyperlink" Target="https://drive.google.com/file/d/1DtI2BjX3SLsH6HBr_bi3uPoowQMm1WzS/view?usp=drive_link" TargetMode="External"/><Relationship Id="rId44" Type="http://schemas.openxmlformats.org/officeDocument/2006/relationships/hyperlink" Target="https://drive.google.com/file/d/1o5JAGv2Qo85kbfJwcIfxlAnfQusArz2E/view?usp=sharing" TargetMode="External"/><Relationship Id="rId60" Type="http://schemas.openxmlformats.org/officeDocument/2006/relationships/hyperlink" Target="https://drive.google.com/file/d/1ApVHLj03t49muUqWT8qVdmyyy1c7geRk/view?usp=share_link" TargetMode="External"/><Relationship Id="rId65" Type="http://schemas.openxmlformats.org/officeDocument/2006/relationships/hyperlink" Target="https://drive.google.com/file/d/1CP47qBu66DrRlX7xnyRvWUV_ljP9bqCx/view?usp=share_link" TargetMode="External"/><Relationship Id="rId81" Type="http://schemas.openxmlformats.org/officeDocument/2006/relationships/hyperlink" Target="https://drive.google.com/file/d/1sZnPetBpmDi6IveNO-hrGYSabF7IrVYy/view?usp=drive_link" TargetMode="External"/><Relationship Id="rId86" Type="http://schemas.openxmlformats.org/officeDocument/2006/relationships/hyperlink" Target="https://drive.google.com/file/d/1435snUTiZnMK-N-5UhaRhqyof8RVIDT-/view?usp=share_link" TargetMode="External"/><Relationship Id="rId130" Type="http://schemas.openxmlformats.org/officeDocument/2006/relationships/hyperlink" Target="https://drive.google.com/file/d/17qM7AbGO9-BjL715DB5JclIj75HtzkHZ/view?usp=drive_link" TargetMode="External"/><Relationship Id="rId135" Type="http://schemas.openxmlformats.org/officeDocument/2006/relationships/hyperlink" Target="https://drive.google.com/file/d/1iZjX2w7rCMSNfFoOA9lbYDiJnG5UzzIN/view?usp=sharing" TargetMode="External"/><Relationship Id="rId151" Type="http://schemas.openxmlformats.org/officeDocument/2006/relationships/hyperlink" Target="https://drive.google.com/file/d/1fQR19nvLfg2Dhp7h0nOHsNtNnENg2khy/view?usp=sharing" TargetMode="External"/><Relationship Id="rId156" Type="http://schemas.openxmlformats.org/officeDocument/2006/relationships/hyperlink" Target="https://drive.google.com/file/d/1BOZiFxZIsex6whOyo8ZIgktlblQRa_wo/view?usp=share_link" TargetMode="External"/><Relationship Id="rId13" Type="http://schemas.openxmlformats.org/officeDocument/2006/relationships/hyperlink" Target="https://drive.google.com/file/d/1XGiTKK2Et0OiVPRR8AZwTMJmlhhJ1Zuv/view?usp=share_link" TargetMode="External"/><Relationship Id="rId18" Type="http://schemas.openxmlformats.org/officeDocument/2006/relationships/hyperlink" Target="https://drive.google.com/file/d/1V6rmf2arJq5WxfxYaCulrjVhvHqXY_K6/view?usp=share_link" TargetMode="External"/><Relationship Id="rId39" Type="http://schemas.openxmlformats.org/officeDocument/2006/relationships/hyperlink" Target="https://drive.google.com/file/d/19rpxPGFMAKD41iCL4Tz_BRsFXP67lTzN/view?usp=share_link" TargetMode="External"/><Relationship Id="rId109" Type="http://schemas.openxmlformats.org/officeDocument/2006/relationships/hyperlink" Target="https://drive.google.com/file/d/1TZ9AcuE3FIZuKDmkck1zu0NSIQus_Kbr/view?usp=sharing" TargetMode="External"/><Relationship Id="rId34" Type="http://schemas.openxmlformats.org/officeDocument/2006/relationships/hyperlink" Target="https://drive.google.com/file/d/1Mz2BdCLwdCWNAe1etrjW5HrfLE51i_1Z/view?usp=sharing" TargetMode="External"/><Relationship Id="rId50" Type="http://schemas.openxmlformats.org/officeDocument/2006/relationships/hyperlink" Target="https://drive.google.com/file/d/1bCt-bTkCuTB5KJ6JVsiy2JDJQve-XHXi/view?usp=sharing" TargetMode="External"/><Relationship Id="rId55" Type="http://schemas.openxmlformats.org/officeDocument/2006/relationships/hyperlink" Target="https://drive.google.com/file/d/1pDkU4l1zkT3aCaH-m-MQzu5gN6FMRSfW/view?usp=sharing" TargetMode="External"/><Relationship Id="rId76" Type="http://schemas.openxmlformats.org/officeDocument/2006/relationships/hyperlink" Target="https://drive.google.com/file/d/11iA1dqcvSBbrLOXWdLQ-Fehy8tLtE1RI/view?usp=sharing" TargetMode="External"/><Relationship Id="rId97" Type="http://schemas.openxmlformats.org/officeDocument/2006/relationships/hyperlink" Target="https://drive.google.com/file/d/12fulVRF0IizbmVp_a1GYcMMrCHgpfdx7/view?usp=share_link" TargetMode="External"/><Relationship Id="rId104" Type="http://schemas.openxmlformats.org/officeDocument/2006/relationships/hyperlink" Target="https://drive.google.com/file/d/1qacQr1Sxf-ulpyRuYuOuX2t9Lliy43-h/view?usp=drive_link" TargetMode="External"/><Relationship Id="rId120" Type="http://schemas.openxmlformats.org/officeDocument/2006/relationships/hyperlink" Target="https://drive.google.com/file/d/1TPdjxr5Qyz_q3a5XRJeIC113eSxfh_nf/view?usp=drive_link" TargetMode="External"/><Relationship Id="rId125" Type="http://schemas.openxmlformats.org/officeDocument/2006/relationships/hyperlink" Target="https://drive.google.com/file/d/1MG3BCri1igBMmj2Pr0_oHjC8mNN0Pnmm/view?usp=drive_link" TargetMode="External"/><Relationship Id="rId141" Type="http://schemas.openxmlformats.org/officeDocument/2006/relationships/hyperlink" Target="https://drive.google.com/file/d/1iZjX2w7rCMSNfFoOA9lbYDiJnG5UzzIN/view?usp=sharing" TargetMode="External"/><Relationship Id="rId146" Type="http://schemas.openxmlformats.org/officeDocument/2006/relationships/hyperlink" Target="https://drive.google.com/file/d/1eOzehJidpquZhRly7WZJl8sKNRFI1Onj/view?usp=sharing" TargetMode="External"/><Relationship Id="rId167" Type="http://schemas.openxmlformats.org/officeDocument/2006/relationships/hyperlink" Target="file:///C:\Users\robert.gergely\Pictures\401450.jpg" TargetMode="External"/><Relationship Id="rId7" Type="http://schemas.openxmlformats.org/officeDocument/2006/relationships/hyperlink" Target="https://drive.google.com/file/d/1k8rkc7rRaxfh_-QhHiRL1-RV9iJcjama/view?usp=sharing" TargetMode="External"/><Relationship Id="rId71" Type="http://schemas.openxmlformats.org/officeDocument/2006/relationships/hyperlink" Target="https://drive.google.com/file/d/1Us-erAbhYBTVFL7-EKJOJkr6RK40V7hq/view?usp=share_link" TargetMode="External"/><Relationship Id="rId92" Type="http://schemas.openxmlformats.org/officeDocument/2006/relationships/hyperlink" Target="https://drive.google.com/file/d/1TiRIRD7ydq4yBp4joVctIsxe_iyoBYtk/view?usp=sharing" TargetMode="External"/><Relationship Id="rId162" Type="http://schemas.openxmlformats.org/officeDocument/2006/relationships/hyperlink" Target="https://drive.google.com/file/d/1DXe0GNCsHqNb4sP8Ic2y_jOm6-4xk0DX/view?usp=share_link" TargetMode="External"/><Relationship Id="rId2" Type="http://schemas.openxmlformats.org/officeDocument/2006/relationships/hyperlink" Target="https://drive.google.com/file/d/1IbGj57dp0seHbvI62e_3roby7UT4jGY7/view?usp=drive_link" TargetMode="External"/><Relationship Id="rId29" Type="http://schemas.openxmlformats.org/officeDocument/2006/relationships/hyperlink" Target="https://drive.google.com/file/d/1nsXnR9bKcXYQfCGWZ2GDWKzizjsuWt7H/view?usp=drive_link" TargetMode="External"/><Relationship Id="rId24" Type="http://schemas.openxmlformats.org/officeDocument/2006/relationships/hyperlink" Target="https://drive.google.com/file/d/1UU3ZiX17ikBZYKvczNqEE3ooCFZsMhwf/view?usp=share_link" TargetMode="External"/><Relationship Id="rId40" Type="http://schemas.openxmlformats.org/officeDocument/2006/relationships/hyperlink" Target="https://drive.google.com/file/d/19rpxPGFMAKD41iCL4Tz_BRsFXP67lTzN/view?usp=share_link" TargetMode="External"/><Relationship Id="rId45" Type="http://schemas.openxmlformats.org/officeDocument/2006/relationships/hyperlink" Target="https://drive.google.com/file/d/15IzzocwAPd91WtAQLyOKw1k_OgXeD34t/view?usp=sharing" TargetMode="External"/><Relationship Id="rId66" Type="http://schemas.openxmlformats.org/officeDocument/2006/relationships/hyperlink" Target="https://drive.google.com/file/d/1y_FIjO8ivJ2Qy3epwzCtMHpvHKCL-GPB/view?usp=sharing" TargetMode="External"/><Relationship Id="rId87" Type="http://schemas.openxmlformats.org/officeDocument/2006/relationships/hyperlink" Target="https://drive.google.com/file/d/1435snUTiZnMK-N-5UhaRhqyof8RVIDT-/view?usp=share_link" TargetMode="External"/><Relationship Id="rId110" Type="http://schemas.openxmlformats.org/officeDocument/2006/relationships/hyperlink" Target="https://drive.google.com/file/d/1ScuUXDCsZN8yssY4JWYr5jcj6wLmgEuD/view?usp=sharing" TargetMode="External"/><Relationship Id="rId115" Type="http://schemas.openxmlformats.org/officeDocument/2006/relationships/hyperlink" Target="https://drive.google.com/file/d/1UU3ZiX17ikBZYKvczNqEE3ooCFZsMhwf/view?usp=share_link" TargetMode="External"/><Relationship Id="rId131" Type="http://schemas.openxmlformats.org/officeDocument/2006/relationships/hyperlink" Target="https://drive.google.com/file/d/18xRh3YWNoPEc0D4FzFJU_r7Qi-wywSKo/view?usp=drive_link" TargetMode="External"/><Relationship Id="rId136" Type="http://schemas.openxmlformats.org/officeDocument/2006/relationships/hyperlink" Target="https://drive.google.com/file/d/1iZjX2w7rCMSNfFoOA9lbYDiJnG5UzzIN/view?usp=sharing" TargetMode="External"/><Relationship Id="rId157" Type="http://schemas.openxmlformats.org/officeDocument/2006/relationships/hyperlink" Target="https://drive.google.com/file/d/1reWDCXzZxejDk84i2U0wxYJPEiRD4XpC/view?usp=drive_link" TargetMode="External"/><Relationship Id="rId61" Type="http://schemas.openxmlformats.org/officeDocument/2006/relationships/hyperlink" Target="https://drive.google.com/file/d/1WudkE2jFzd1b400SfBntOUcENAzta6GQ/view?usp=share_link" TargetMode="External"/><Relationship Id="rId82" Type="http://schemas.openxmlformats.org/officeDocument/2006/relationships/hyperlink" Target="https://drive.google.com/file/d/1yvGOxijCf8ZQ4h3IcoCCAF8M9WVwI6vN/view?usp=share_link" TargetMode="External"/><Relationship Id="rId152" Type="http://schemas.openxmlformats.org/officeDocument/2006/relationships/hyperlink" Target="https://drive.google.com/file/d/13daTx9G0zz-UVwPWMWHSmW_q6JMeyPLS/view" TargetMode="External"/><Relationship Id="rId19" Type="http://schemas.openxmlformats.org/officeDocument/2006/relationships/hyperlink" Target="https://drive.google.com/file/d/1sfA7UmVoSu3pKGDTRcYomG9hKh8RIIsO/view?usp=share_link" TargetMode="External"/><Relationship Id="rId14" Type="http://schemas.openxmlformats.org/officeDocument/2006/relationships/hyperlink" Target="https://drive.google.com/file/d/1hHd2tVw0hdnnKt3bdqOv0-D0vN0IiiaQ/view?usp=share_link" TargetMode="External"/><Relationship Id="rId30" Type="http://schemas.openxmlformats.org/officeDocument/2006/relationships/hyperlink" Target="https://drive.google.com/file/d/1RZrmbNdWEfqONuobIY_6fWcTP1QgsLaW/view?usp=share_link" TargetMode="External"/><Relationship Id="rId35" Type="http://schemas.openxmlformats.org/officeDocument/2006/relationships/hyperlink" Target="https://drive.google.com/file/d/1j0yn0FbwUTaLnn6wwtFNfMiI91oiMmHF/view?usp=sharing" TargetMode="External"/><Relationship Id="rId56" Type="http://schemas.openxmlformats.org/officeDocument/2006/relationships/hyperlink" Target="https://drive.google.com/file/d/12Jogu9_A0-ZolaubeIm0vbLSTxlPIwEi/view?usp=sharing" TargetMode="External"/><Relationship Id="rId77" Type="http://schemas.openxmlformats.org/officeDocument/2006/relationships/hyperlink" Target="https://drive.google.com/file/d/1vlbl3quNplak_s62HQrA_Yi8O5tJ8755/view?usp=sharing" TargetMode="External"/><Relationship Id="rId100" Type="http://schemas.openxmlformats.org/officeDocument/2006/relationships/hyperlink" Target="https://drive.google.com/file/d/1r2whtgOUl64ntAo0nMNZ6b2cZN6KgNxh/view?usp=share_link" TargetMode="External"/><Relationship Id="rId105" Type="http://schemas.openxmlformats.org/officeDocument/2006/relationships/hyperlink" Target="https://drive.google.com/file/d/1K3i2prdmXn7BFcALqYnDgyO-L-CkeA3r/view?usp=share_link" TargetMode="External"/><Relationship Id="rId126" Type="http://schemas.openxmlformats.org/officeDocument/2006/relationships/hyperlink" Target="https://drive.google.com/file/d/17pRFZ7p6RWfHmH-bPfbfiS38WVdhImjX/view?usp=drive_link" TargetMode="External"/><Relationship Id="rId147" Type="http://schemas.openxmlformats.org/officeDocument/2006/relationships/hyperlink" Target="https://drive.google.com/file/d/1vlkwS2hVbOmOILocPFge_RkxIhNIkOf_/view?usp=drive_link" TargetMode="External"/><Relationship Id="rId168" Type="http://schemas.openxmlformats.org/officeDocument/2006/relationships/hyperlink" Target="file:///C:\Users\robert.gergely\Pictures\401449.jpg" TargetMode="External"/><Relationship Id="rId8" Type="http://schemas.openxmlformats.org/officeDocument/2006/relationships/hyperlink" Target="https://drive.google.com/file/d/1liIfUqa1_Pmlw_Z-3yhEDTCpysV1jjc2/view?usp=drive_link" TargetMode="External"/><Relationship Id="rId51" Type="http://schemas.openxmlformats.org/officeDocument/2006/relationships/hyperlink" Target="https://drive.google.com/file/d/19NTQ6R93ON87BFOkW9AhNarMrrg2sNNY/view?usp=sharing" TargetMode="External"/><Relationship Id="rId72" Type="http://schemas.openxmlformats.org/officeDocument/2006/relationships/hyperlink" Target="https://drive.google.com/file/d/1xBCVmeSFr2H2G70-rZU9KaQVXyx9Hjqf/view?usp=sharing" TargetMode="External"/><Relationship Id="rId93" Type="http://schemas.openxmlformats.org/officeDocument/2006/relationships/hyperlink" Target="https://drive.google.com/file/d/1SAH40E5moG9sxkOi1wKkRvlavEm-n70j/view?usp=sharing" TargetMode="External"/><Relationship Id="rId98" Type="http://schemas.openxmlformats.org/officeDocument/2006/relationships/hyperlink" Target="https://drive.google.com/file/d/1roTDyyfW_wSAIUnthcg7ic4_w40agXq4/view?usp=drive_link" TargetMode="External"/><Relationship Id="rId121" Type="http://schemas.openxmlformats.org/officeDocument/2006/relationships/hyperlink" Target="https://drive.google.com/file/d/1S35c31etoNm1UipMxCsl6ZZFziiW1kdt/view?usp=drive_link" TargetMode="External"/><Relationship Id="rId142" Type="http://schemas.openxmlformats.org/officeDocument/2006/relationships/hyperlink" Target="https://drive.google.com/file/d/1X0jmy5e2JU3xGiUfUsz6IAld48uru1Yv/view?usp=drive_link" TargetMode="External"/><Relationship Id="rId163" Type="http://schemas.openxmlformats.org/officeDocument/2006/relationships/hyperlink" Target="https://drive.google.com/file/d/1I8xvqKeDl-dWyoMH5PWA_oCX55m6V3SE/view?usp=drive_link" TargetMode="External"/><Relationship Id="rId3" Type="http://schemas.openxmlformats.org/officeDocument/2006/relationships/hyperlink" Target="https://drive.google.com/file/d/1iZjX2w7rCMSNfFoOA9lbYDiJnG5UzzIN/view?usp=sharing" TargetMode="External"/><Relationship Id="rId25" Type="http://schemas.openxmlformats.org/officeDocument/2006/relationships/hyperlink" Target="https://drive.google.com/file/d/1sCYT-h_QP7WlkkTlwKL0I5jSGFcpjMT0/view?usp=drive_link" TargetMode="External"/><Relationship Id="rId46" Type="http://schemas.openxmlformats.org/officeDocument/2006/relationships/hyperlink" Target="https://drive.google.com/file/d/1pnB162Y997jIiGCZ9Azw171-y4cHJdCn/view?usp=sharing" TargetMode="External"/><Relationship Id="rId67" Type="http://schemas.openxmlformats.org/officeDocument/2006/relationships/hyperlink" Target="https://drive.google.com/file/d/1BJ7RXZUZTDkPC79-AOz9Orm5DRtwfqKB/view?usp=share_link" TargetMode="External"/><Relationship Id="rId116" Type="http://schemas.openxmlformats.org/officeDocument/2006/relationships/hyperlink" Target="https://drive.google.com/file/d/1CP47qBu66DrRlX7xnyRvWUV_ljP9bqCx/view?usp=share_link" TargetMode="External"/><Relationship Id="rId137" Type="http://schemas.openxmlformats.org/officeDocument/2006/relationships/hyperlink" Target="https://drive.google.com/file/d/1iZjX2w7rCMSNfFoOA9lbYDiJnG5UzzIN/view?usp=sharing" TargetMode="External"/><Relationship Id="rId158" Type="http://schemas.openxmlformats.org/officeDocument/2006/relationships/hyperlink" Target="https://drive.google.com/file/d/1reWDCXzZxejDk84i2U0wxYJPEiRD4XpC/view?usp=drive_link" TargetMode="External"/><Relationship Id="rId20" Type="http://schemas.openxmlformats.org/officeDocument/2006/relationships/hyperlink" Target="https://drive.google.com/file/d/1CP47qBu66DrRlX7xnyRvWUV_ljP9bqCx/view?usp=share_link" TargetMode="External"/><Relationship Id="rId41" Type="http://schemas.openxmlformats.org/officeDocument/2006/relationships/hyperlink" Target="https://drive.google.com/file/d/1keKswTO5xrBNE6w9MCePo0soK59jlvtV/view?usp=sharing" TargetMode="External"/><Relationship Id="rId62" Type="http://schemas.openxmlformats.org/officeDocument/2006/relationships/hyperlink" Target="https://drive.google.com/file/d/1eksgt3NykCxJDbYe6ggnRjAlqt5JbBi1/view?usp=share_link" TargetMode="External"/><Relationship Id="rId83" Type="http://schemas.openxmlformats.org/officeDocument/2006/relationships/hyperlink" Target="https://drive.google.com/file/d/1oKYCTQSIhNe3bkPI_QKnc2yZQnUT25hx/view?usp=share_link" TargetMode="External"/><Relationship Id="rId88" Type="http://schemas.openxmlformats.org/officeDocument/2006/relationships/hyperlink" Target="https://drive.google.com/file/d/19pOhOdiuef-fTW3Hk_VmGUP8fZ9h8hNj/view?usp=sharing" TargetMode="External"/><Relationship Id="rId111" Type="http://schemas.openxmlformats.org/officeDocument/2006/relationships/hyperlink" Target="https://drive.google.com/file/d/1fd3xV7QnyLBb6vAIKyuQsLYEDt5E-6ac/view?usp=sharing" TargetMode="External"/><Relationship Id="rId132" Type="http://schemas.openxmlformats.org/officeDocument/2006/relationships/hyperlink" Target="https://drive.google.com/file/d/1PLSCjB75urngy6L7REY1UEkDPIWo1u_8/view?usp=drive_link" TargetMode="External"/><Relationship Id="rId153" Type="http://schemas.openxmlformats.org/officeDocument/2006/relationships/hyperlink" Target="https://drive.google.com/file/d/13daTx9G0zz-UVwPWMWHSmW_q6JMeyPLS/view" TargetMode="External"/><Relationship Id="rId15" Type="http://schemas.openxmlformats.org/officeDocument/2006/relationships/hyperlink" Target="https://drive.google.com/file/d/15mFRlVlD0z0sqAtr_zfv8SttKWFwUW86/view?usp=share_link" TargetMode="External"/><Relationship Id="rId36" Type="http://schemas.openxmlformats.org/officeDocument/2006/relationships/hyperlink" Target="https://drive.google.com/file/d/1ekCACP5QXiQguwRJgFf5rmoJRc-yiUkZ/view?usp=sharing" TargetMode="External"/><Relationship Id="rId57" Type="http://schemas.openxmlformats.org/officeDocument/2006/relationships/hyperlink" Target="https://drive.google.com/file/d/1hTxMJVrTt4XkjQt81q89L6pJ6sd3y452/view?usp=sharing" TargetMode="External"/><Relationship Id="rId106" Type="http://schemas.openxmlformats.org/officeDocument/2006/relationships/hyperlink" Target="https://drive.google.com/file/d/1K3i2prdmXn7BFcALqYnDgyO-L-CkeA3r/view?usp=share_link" TargetMode="External"/><Relationship Id="rId127" Type="http://schemas.openxmlformats.org/officeDocument/2006/relationships/hyperlink" Target="https://drive.google.com/file/d/1vYxd2fCGfAcFuFWvNN49FGaie18xeMrN/view?usp=drive_link" TargetMode="External"/><Relationship Id="rId10" Type="http://schemas.openxmlformats.org/officeDocument/2006/relationships/hyperlink" Target="https://drive.google.com/file/d/1poSXJTvVcL9IpD4g4WHUmRcWL2gGDhm8/view?usp=share_link" TargetMode="External"/><Relationship Id="rId31" Type="http://schemas.openxmlformats.org/officeDocument/2006/relationships/hyperlink" Target="https://drive.google.com/file/d/1AvWcVkFYt5EEBSsbxVANNJa5FTH-UNxy/view?usp=sharing" TargetMode="External"/><Relationship Id="rId52" Type="http://schemas.openxmlformats.org/officeDocument/2006/relationships/hyperlink" Target="https://drive.google.com/file/d/1FU-RQ-B_rjxl3oxHFfySZ1H5AQLyOx-d/view?usp=sharing" TargetMode="External"/><Relationship Id="rId73" Type="http://schemas.openxmlformats.org/officeDocument/2006/relationships/hyperlink" Target="https://drive.google.com/file/d/1USoyBQj36f56UCyRdtZw6cwi7D4650kN/view?usp=share_link" TargetMode="External"/><Relationship Id="rId78" Type="http://schemas.openxmlformats.org/officeDocument/2006/relationships/hyperlink" Target="https://drive.google.com/file/d/1Nje_jnzUuzvNktBpa9Lky7_fWahfXzNj/view?usp=share_link" TargetMode="External"/><Relationship Id="rId94" Type="http://schemas.openxmlformats.org/officeDocument/2006/relationships/hyperlink" Target="https://drive.google.com/file/d/1Pw-5A-D9rvYj0x0op0ynMZNv2K_4d70Q/view?usp=sharing" TargetMode="External"/><Relationship Id="rId99" Type="http://schemas.openxmlformats.org/officeDocument/2006/relationships/hyperlink" Target="https://drive.google.com/file/d/1lBPF7rgu6uh04VJtbrDba3d80H26Hcit/view?usp=drive_link" TargetMode="External"/><Relationship Id="rId101" Type="http://schemas.openxmlformats.org/officeDocument/2006/relationships/hyperlink" Target="https://drive.google.com/file/d/1MLaqfMa0BYws8WcEeucrnWqWasKbvNFL/view?usp=share_link" TargetMode="External"/><Relationship Id="rId122" Type="http://schemas.openxmlformats.org/officeDocument/2006/relationships/hyperlink" Target="https://drive.google.com/file/d/1P7uTj0D0R6pSaxFlQiQ6qGbPxdtnmviJ/view?usp=drive_link" TargetMode="External"/><Relationship Id="rId143" Type="http://schemas.openxmlformats.org/officeDocument/2006/relationships/hyperlink" Target="https://drive.google.com/file/d/1qK4vIRbygfSq864vvR5myLrIX1hVAV8g/view?usp=drive_link" TargetMode="External"/><Relationship Id="rId148" Type="http://schemas.openxmlformats.org/officeDocument/2006/relationships/hyperlink" Target="https://drive.google.com/file/d/1RZrmbNdWEfqONuobIY_6fWcTP1QgsLaW/view?usp=share_link" TargetMode="External"/><Relationship Id="rId164" Type="http://schemas.openxmlformats.org/officeDocument/2006/relationships/hyperlink" Target="https://drive.google.com/file/d/1k6aF3RicnIbTNG3ZGf4pVX_6_aZuDoht/view?usp=drive_link" TargetMode="External"/><Relationship Id="rId169" Type="http://schemas.openxmlformats.org/officeDocument/2006/relationships/printerSettings" Target="../printerSettings/printerSettings3.bin"/><Relationship Id="rId4" Type="http://schemas.openxmlformats.org/officeDocument/2006/relationships/hyperlink" Target="https://drive.google.com/file/d/1eOzehJidpquZhRly7WZJl8sKNRFI1Onj/view?usp=sharing" TargetMode="External"/><Relationship Id="rId9" Type="http://schemas.openxmlformats.org/officeDocument/2006/relationships/hyperlink" Target="https://drive.google.com/file/d/1SAH40E5moG9sxkOi1wKkRvlavEm-n70j/view?usp=sharing" TargetMode="External"/><Relationship Id="rId26" Type="http://schemas.openxmlformats.org/officeDocument/2006/relationships/hyperlink" Target="https://drive.google.com/file/d/1EqFGvF-Y9O2nCRVx-Jq4_VMh2HaxJSHS/view?usp=share_link" TargetMode="External"/><Relationship Id="rId47" Type="http://schemas.openxmlformats.org/officeDocument/2006/relationships/hyperlink" Target="https://drive.google.com/file/d/156NvD9eO7MAGI-AlKLVFbqp45sjUmgQK/view?usp=sharing" TargetMode="External"/><Relationship Id="rId68" Type="http://schemas.openxmlformats.org/officeDocument/2006/relationships/hyperlink" Target="https://drive.google.com/file/d/1uq78C9NSjtmPb_aTLSZFORYcho7jp7lG/view?usp=sharing" TargetMode="External"/><Relationship Id="rId89" Type="http://schemas.openxmlformats.org/officeDocument/2006/relationships/hyperlink" Target="https://drive.google.com/file/d/1ir_5Wp1fsS24LOs_6kiGPpLgcyjRy70T/view?usp=sharing" TargetMode="External"/><Relationship Id="rId112" Type="http://schemas.openxmlformats.org/officeDocument/2006/relationships/hyperlink" Target="https://drive.google.com/file/d/1qZr6eHDVus4oOKzyv2riYXGTWbi2VKam/view?usp=sharing" TargetMode="External"/><Relationship Id="rId133" Type="http://schemas.openxmlformats.org/officeDocument/2006/relationships/hyperlink" Target="https://drive.google.com/file/d/1FIaFNI1JHPioryvJm2Y3VlJPMwWCj0zN/view?usp=sharing" TargetMode="External"/><Relationship Id="rId154" Type="http://schemas.openxmlformats.org/officeDocument/2006/relationships/hyperlink" Target="https://drive.google.com/file/d/1WRm4EN72kiFy9dQFFcrlgtgII-A6K1JK/view?usp=drive_link" TargetMode="External"/><Relationship Id="rId16" Type="http://schemas.openxmlformats.org/officeDocument/2006/relationships/hyperlink" Target="https://drive.google.com/file/d/1vF5tX2DDXQBbnF8gMEv9j_wIL8PjOuwd/view?usp=share_link" TargetMode="External"/><Relationship Id="rId37" Type="http://schemas.openxmlformats.org/officeDocument/2006/relationships/hyperlink" Target="https://drive.google.com/file/d/1K2fUa33hB32Fi596UmVvFhbSxPHkDAoF/view?usp=drive_link" TargetMode="External"/><Relationship Id="rId58" Type="http://schemas.openxmlformats.org/officeDocument/2006/relationships/hyperlink" Target="https://drive.google.com/file/d/1K6yPr0sS4ZS3CUn6C5crONzOLag5t8r2/view?usp=sharing" TargetMode="External"/><Relationship Id="rId79" Type="http://schemas.openxmlformats.org/officeDocument/2006/relationships/hyperlink" Target="https://drive.google.com/file/d/1nzpBd6aPUuGlv8iczwmZf0eE21m3iJmD/view?usp=share_link" TargetMode="External"/><Relationship Id="rId102" Type="http://schemas.openxmlformats.org/officeDocument/2006/relationships/hyperlink" Target="https://drive.google.com/file/d/1RPdNqPAjunHIvDQe8aLlp0E6Z_DqiTaa/view?usp=drive_link" TargetMode="External"/><Relationship Id="rId123" Type="http://schemas.openxmlformats.org/officeDocument/2006/relationships/hyperlink" Target="https://drive.google.com/file/d/1b6DplQ538Zmp-oyUnN7k7N-N3mi66wlT/view?usp=drive_link" TargetMode="External"/><Relationship Id="rId144" Type="http://schemas.openxmlformats.org/officeDocument/2006/relationships/hyperlink" Target="https://drive.google.com/file/d/1J0pg1qkKhVWD7sVN_lTZVU8gDmJ87wnq/view?usp=drive_link" TargetMode="External"/><Relationship Id="rId90" Type="http://schemas.openxmlformats.org/officeDocument/2006/relationships/hyperlink" Target="https://drive.google.com/file/d/1j4fFAG5yBXZ5mJYphYJB5phigkRRMNVq/view?usp=sharing" TargetMode="External"/><Relationship Id="rId165" Type="http://schemas.openxmlformats.org/officeDocument/2006/relationships/hyperlink" Target="https://drive.google.com/file/d/1CgqF4dz73iPrsiGITLQSnrz71OGYVvjO/view?usp=sharing" TargetMode="External"/><Relationship Id="rId27" Type="http://schemas.openxmlformats.org/officeDocument/2006/relationships/hyperlink" Target="https://drive.google.com/file/d/1AVdBE6Ug-cTfH5Dg3J6K8ljTK_qUaTQX/view?usp=sharing" TargetMode="External"/><Relationship Id="rId48" Type="http://schemas.openxmlformats.org/officeDocument/2006/relationships/hyperlink" Target="https://drive.google.com/file/d/1eOzehJidpquZhRly7WZJl8sKNRFI1Onj/view?usp=sharing" TargetMode="External"/><Relationship Id="rId69" Type="http://schemas.openxmlformats.org/officeDocument/2006/relationships/hyperlink" Target="https://drive.google.com/file/d/1LEjQUiGYmsCIg-BwgS31hDFDiC8Jcvp1/view?usp=share_link" TargetMode="External"/><Relationship Id="rId113" Type="http://schemas.openxmlformats.org/officeDocument/2006/relationships/hyperlink" Target="https://drive.google.com/file/d/1WTn-nNrzGqSrL-vJX2IropLkysstMgsu/view?usp=share_link" TargetMode="External"/><Relationship Id="rId134" Type="http://schemas.openxmlformats.org/officeDocument/2006/relationships/hyperlink" Target="https://drive.google.com/file/d/1MLaqfMa0BYws8WcEeucrnWqWasKbvNFL/view?usp=share_link" TargetMode="External"/><Relationship Id="rId80" Type="http://schemas.openxmlformats.org/officeDocument/2006/relationships/hyperlink" Target="https://drive.google.com/file/d/1ncvBs2cjdw55hfrtF-gDBDZlfwuoVGcR/view?usp=sharing" TargetMode="External"/><Relationship Id="rId155" Type="http://schemas.openxmlformats.org/officeDocument/2006/relationships/hyperlink" Target="https://drive.google.com/file/d/1WWW1LWMh_4I3HlWF5d9CZRritN-6bR7A/view?usp=sharing" TargetMode="External"/><Relationship Id="rId17" Type="http://schemas.openxmlformats.org/officeDocument/2006/relationships/hyperlink" Target="https://drive.google.com/file/d/1SB5X_Cx3mC6AugNYszyoG9qaFTePYM0y/view?usp=share_link" TargetMode="External"/><Relationship Id="rId38" Type="http://schemas.openxmlformats.org/officeDocument/2006/relationships/hyperlink" Target="https://drive.google.com/file/d/1OvoHic_XHvl3pTov6kWh-YGPZnAHcl6Z/view?usp=drive_link" TargetMode="External"/><Relationship Id="rId59" Type="http://schemas.openxmlformats.org/officeDocument/2006/relationships/hyperlink" Target="https://drive.google.com/file/d/1rb5VOSfekwTX4ub_xRuc4FoW7K0bsHM2/view?usp=sharing" TargetMode="External"/><Relationship Id="rId103" Type="http://schemas.openxmlformats.org/officeDocument/2006/relationships/hyperlink" Target="https://drive.google.com/file/d/1ixQII3UnPb0Lfht9n1pfxojI4ewC6Jcm/view?usp=drive_link" TargetMode="External"/><Relationship Id="rId124" Type="http://schemas.openxmlformats.org/officeDocument/2006/relationships/hyperlink" Target="https://drive.google.com/file/d/1w3D218SIbZwlQx23VRE8Nk3mL47-TmSc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eOOSyuFTZeFkMnpHnTiM6KjHCewyvZuX/view?usp=sharing" TargetMode="External"/><Relationship Id="rId21" Type="http://schemas.openxmlformats.org/officeDocument/2006/relationships/hyperlink" Target="https://drive.google.com/file/d/1FBKN265kM6S2dYpyCs0hP8Ev6cQljajo/view?usp=sharing" TargetMode="External"/><Relationship Id="rId42" Type="http://schemas.openxmlformats.org/officeDocument/2006/relationships/hyperlink" Target="https://drive.google.com/file/d/1v9H7xLhoC1VrYV2fWUBU36frcXQhi4WT/view?usp=sharing" TargetMode="External"/><Relationship Id="rId63" Type="http://schemas.openxmlformats.org/officeDocument/2006/relationships/hyperlink" Target="https://drive.google.com/file/d/1poSXJTvVcL9IpD4g4WHUmRcWL2gGDhm8/view?usp=share_link" TargetMode="External"/><Relationship Id="rId84" Type="http://schemas.openxmlformats.org/officeDocument/2006/relationships/hyperlink" Target="https://drive.google.com/file/d/1Z-HLrnj07MXmWsdSgrDPomD7EKrA0zdi/view?usp=share_link" TargetMode="External"/><Relationship Id="rId138" Type="http://schemas.openxmlformats.org/officeDocument/2006/relationships/hyperlink" Target="https://drive.google.com/file/d/1Us-erAbhYBTVFL7-EKJOJkr6RK40V7hq/view?usp=share_link" TargetMode="External"/><Relationship Id="rId159" Type="http://schemas.openxmlformats.org/officeDocument/2006/relationships/hyperlink" Target="https://drive.google.com/file/d/1j4fFAG5yBXZ5mJYphYJB5phigkRRMNVq/view?usp=sharing" TargetMode="External"/><Relationship Id="rId107" Type="http://schemas.openxmlformats.org/officeDocument/2006/relationships/hyperlink" Target="https://drive.google.com/file/d/1Fl5UZ3CCJK3jj-rJJJUTORu5Qwd-SHeh/view?usp=share_link" TargetMode="External"/><Relationship Id="rId11" Type="http://schemas.openxmlformats.org/officeDocument/2006/relationships/hyperlink" Target="https://drive.google.com/file/d/19NTQ6R93ON87BFOkW9AhNarMrrg2sNNY/view?usp=sharing" TargetMode="External"/><Relationship Id="rId32" Type="http://schemas.openxmlformats.org/officeDocument/2006/relationships/hyperlink" Target="https://drive.google.com/file/d/1j0yn0FbwUTaLnn6wwtFNfMiI91oiMmHF/view?usp=sharing" TargetMode="External"/><Relationship Id="rId53" Type="http://schemas.openxmlformats.org/officeDocument/2006/relationships/hyperlink" Target="https://drive.google.com/file/d/1en4fuTpUPwvJlIo0flwF_diP3c-zLXw5/view?usp=sharing" TargetMode="External"/><Relationship Id="rId74" Type="http://schemas.openxmlformats.org/officeDocument/2006/relationships/hyperlink" Target="https://drive.google.com/file/d/1vF5tX2DDXQBbnF8gMEv9j_wIL8PjOuwd/view?usp=share_link" TargetMode="External"/><Relationship Id="rId128" Type="http://schemas.openxmlformats.org/officeDocument/2006/relationships/hyperlink" Target="https://drive.google.com/file/d/1435snUTiZnMK-N-5UhaRhqyof8RVIDT-/view?usp=share_link" TargetMode="External"/><Relationship Id="rId149" Type="http://schemas.openxmlformats.org/officeDocument/2006/relationships/hyperlink" Target="https://drive.google.com/file/d/1WRm4EN72kiFy9dQFFcrlgtgII-A6K1JK/view?usp=drive_link" TargetMode="External"/><Relationship Id="rId5" Type="http://schemas.openxmlformats.org/officeDocument/2006/relationships/hyperlink" Target="https://drive.google.com/file/d/1NhVFyxzJjrI_HojuPRfrs6vQfTw6u7YB/view?usp=sharing" TargetMode="External"/><Relationship Id="rId95" Type="http://schemas.openxmlformats.org/officeDocument/2006/relationships/hyperlink" Target="https://drive.google.com/file/d/1V6rmf2arJq5WxfxYaCulrjVhvHqXY_K6/view?usp=share_link" TargetMode="External"/><Relationship Id="rId160" Type="http://schemas.openxmlformats.org/officeDocument/2006/relationships/hyperlink" Target="https://drive.google.com/file/d/17IFZ7PBNnIfOADbG-1uoPwX5lO8JSd8U/view?usp=sharing" TargetMode="External"/><Relationship Id="rId22" Type="http://schemas.openxmlformats.org/officeDocument/2006/relationships/hyperlink" Target="https://drive.google.com/file/d/1sUwVvZparXQjJmLA45okLptLspX6NNOS/view?usp=sharing" TargetMode="External"/><Relationship Id="rId43" Type="http://schemas.openxmlformats.org/officeDocument/2006/relationships/hyperlink" Target="https://drive.google.com/file/d/1Pe2L01WxLrpKDvMJPcJZQH06F32onylV/view?usp=sharing" TargetMode="External"/><Relationship Id="rId64" Type="http://schemas.openxmlformats.org/officeDocument/2006/relationships/hyperlink" Target="https://drive.google.com/file/d/1YEV1HYNboDe6z24JsvnHnO7FqBGn1yCh/view?usp=share_link" TargetMode="External"/><Relationship Id="rId118" Type="http://schemas.openxmlformats.org/officeDocument/2006/relationships/hyperlink" Target="https://drive.google.com/file/d/12r94YcOWtmLyQWaJEosNaBSWNsjk7-fm/view?usp=sharing" TargetMode="External"/><Relationship Id="rId139" Type="http://schemas.openxmlformats.org/officeDocument/2006/relationships/hyperlink" Target="https://drive.google.com/file/d/1CP47qBu66DrRlX7xnyRvWUV_ljP9bqCx/view?usp=share_link" TargetMode="External"/><Relationship Id="rId85" Type="http://schemas.openxmlformats.org/officeDocument/2006/relationships/hyperlink" Target="https://drive.google.com/file/d/1RZrmbNdWEfqONuobIY_6fWcTP1QgsLaW/view?usp=share_link" TargetMode="External"/><Relationship Id="rId150" Type="http://schemas.openxmlformats.org/officeDocument/2006/relationships/hyperlink" Target="https://drive.google.com/file/d/1WWW1LWMh_4I3HlWF5d9CZRritN-6bR7A/view?usp=sharing" TargetMode="External"/><Relationship Id="rId12" Type="http://schemas.openxmlformats.org/officeDocument/2006/relationships/hyperlink" Target="https://drive.google.com/file/d/1FU-RQ-B_rjxl3oxHFfySZ1H5AQLyOx-d/view?usp=sharing" TargetMode="External"/><Relationship Id="rId17" Type="http://schemas.openxmlformats.org/officeDocument/2006/relationships/hyperlink" Target="https://drive.google.com/file/d/1hTxMJVrTt4XkjQt81q89L6pJ6sd3y452/view?usp=sharing" TargetMode="External"/><Relationship Id="rId33" Type="http://schemas.openxmlformats.org/officeDocument/2006/relationships/hyperlink" Target="https://drive.google.com/file/d/1ekCACP5QXiQguwRJgFf5rmoJRc-yiUkZ/view?usp=sharing" TargetMode="External"/><Relationship Id="rId38" Type="http://schemas.openxmlformats.org/officeDocument/2006/relationships/hyperlink" Target="https://drive.google.com/file/d/1G1g_5WlcwKPpTaCpcpfI0MLSF_NGJfVZ/view?usp=sharing" TargetMode="External"/><Relationship Id="rId59" Type="http://schemas.openxmlformats.org/officeDocument/2006/relationships/hyperlink" Target="https://drive.google.com/file/d/1c71hAN0nSMIMngnyuSnoVI2q1omHq3vE/view?usp=sharing" TargetMode="External"/><Relationship Id="rId103" Type="http://schemas.openxmlformats.org/officeDocument/2006/relationships/hyperlink" Target="https://drive.google.com/file/d/1FNd9vz94WR8NF9rTC8vK73DLYX_D3RqZ/view?usp=share_link" TargetMode="External"/><Relationship Id="rId108" Type="http://schemas.openxmlformats.org/officeDocument/2006/relationships/hyperlink" Target="https://drive.google.com/file/d/1ApVHLj03t49muUqWT8qVdmyyy1c7geRk/view?usp=share_link" TargetMode="External"/><Relationship Id="rId124" Type="http://schemas.openxmlformats.org/officeDocument/2006/relationships/hyperlink" Target="https://drive.google.com/file/d/1fd3xV7QnyLBb6vAIKyuQsLYEDt5E-6ac/view?usp=sharing" TargetMode="External"/><Relationship Id="rId129" Type="http://schemas.openxmlformats.org/officeDocument/2006/relationships/hyperlink" Target="https://drive.google.com/file/d/1435snUTiZnMK-N-5UhaRhqyof8RVIDT-/view?usp=share_link" TargetMode="External"/><Relationship Id="rId54" Type="http://schemas.openxmlformats.org/officeDocument/2006/relationships/hyperlink" Target="https://drive.google.com/file/d/1TqW8GBeCsVi9qAPg4gY-WkQhdlnZo1NQ/view?usp=sharing" TargetMode="External"/><Relationship Id="rId70" Type="http://schemas.openxmlformats.org/officeDocument/2006/relationships/hyperlink" Target="https://drive.google.com/file/d/19rpxPGFMAKD41iCL4Tz_BRsFXP67lTzN/view?usp=share_link" TargetMode="External"/><Relationship Id="rId75" Type="http://schemas.openxmlformats.org/officeDocument/2006/relationships/hyperlink" Target="https://drive.google.com/file/d/1hpdPr4Dw996vw69TGkQtn1G7m_XuH5um/view?usp=share_link" TargetMode="External"/><Relationship Id="rId91" Type="http://schemas.openxmlformats.org/officeDocument/2006/relationships/hyperlink" Target="https://drive.google.com/file/d/1r2whtgOUl64ntAo0nMNZ6b2cZN6KgNxh/view?usp=share_link" TargetMode="External"/><Relationship Id="rId96" Type="http://schemas.openxmlformats.org/officeDocument/2006/relationships/hyperlink" Target="https://drive.google.com/file/d/1sfA7UmVoSu3pKGDTRcYomG9hKh8RIIsO/view?usp=share_link" TargetMode="External"/><Relationship Id="rId140" Type="http://schemas.openxmlformats.org/officeDocument/2006/relationships/hyperlink" Target="https://drive.google.com/file/d/1Fl5UZ3CCJK3jj-rJJJUTORu5Qwd-SHeh/view?usp=share_link" TargetMode="External"/><Relationship Id="rId145" Type="http://schemas.openxmlformats.org/officeDocument/2006/relationships/hyperlink" Target="https://drive.google.com/file/d/1iqUPcYKi3UPD1y0PIDRct-HmXrRYs0pV/view?usp=drive_link" TargetMode="External"/><Relationship Id="rId161" Type="http://schemas.openxmlformats.org/officeDocument/2006/relationships/hyperlink" Target="https://drive.google.com/file/d/1TiRIRD7ydq4yBp4joVctIsxe_iyoBYtk/view?usp=sharing" TargetMode="External"/><Relationship Id="rId166" Type="http://schemas.openxmlformats.org/officeDocument/2006/relationships/vmlDrawing" Target="../drawings/vmlDrawing6.vml"/><Relationship Id="rId1" Type="http://schemas.openxmlformats.org/officeDocument/2006/relationships/hyperlink" Target="https://drive.google.com/file/d/1ExvrB0Jeur1JPp6_IqRWoCLoJLge3HPk/view?usp=sharing" TargetMode="External"/><Relationship Id="rId6" Type="http://schemas.openxmlformats.org/officeDocument/2006/relationships/hyperlink" Target="https://drive.google.com/file/d/13IJTsPumGNLdsQXxCxlvYddn4NDD_ART/view?usp=sharing" TargetMode="External"/><Relationship Id="rId23" Type="http://schemas.openxmlformats.org/officeDocument/2006/relationships/hyperlink" Target="https://drive.google.com/file/d/1Mz2BdCLwdCWNAe1etrjW5HrfLE51i_1Z/view?usp=sharing" TargetMode="External"/><Relationship Id="rId28" Type="http://schemas.openxmlformats.org/officeDocument/2006/relationships/hyperlink" Target="https://drive.google.com/file/d/1iZjX2w7rCMSNfFoOA9lbYDiJnG5UzzIN/view?usp=sharing" TargetMode="External"/><Relationship Id="rId49" Type="http://schemas.openxmlformats.org/officeDocument/2006/relationships/hyperlink" Target="https://drive.google.com/file/d/1Szvg4hnpuH6Q5l9kpEtigpLMNvQFVOO0/view?usp=sharing" TargetMode="External"/><Relationship Id="rId114" Type="http://schemas.openxmlformats.org/officeDocument/2006/relationships/hyperlink" Target="https://drive.google.com/file/d/1AAx2wgsmGVMMI6lzxzfKjqArIxJbaT22/view?usp=share_link" TargetMode="External"/><Relationship Id="rId119" Type="http://schemas.openxmlformats.org/officeDocument/2006/relationships/hyperlink" Target="https://drive.google.com/file/d/1pnB162Y997jIiGCZ9Azw171-y4cHJdCn/view?usp=sharing" TargetMode="External"/><Relationship Id="rId44" Type="http://schemas.openxmlformats.org/officeDocument/2006/relationships/hyperlink" Target="https://drive.google.com/file/d/1_H2kdVOVsgOJgy-YaQyzdsrYl6LgDCyl/view?usp=sharing" TargetMode="External"/><Relationship Id="rId60" Type="http://schemas.openxmlformats.org/officeDocument/2006/relationships/hyperlink" Target="https://drive.google.com/file/d/1wQyU8_EWjCPwFCcB5sJKTsbnpOmcMKVP/view?usp=sharing" TargetMode="External"/><Relationship Id="rId65" Type="http://schemas.openxmlformats.org/officeDocument/2006/relationships/hyperlink" Target="https://drive.google.com/file/d/1r8dzMxW6Y-FJXJcSYwFFKn9QJAuO5U0q/view?usp=share_link" TargetMode="External"/><Relationship Id="rId81" Type="http://schemas.openxmlformats.org/officeDocument/2006/relationships/hyperlink" Target="https://drive.google.com/file/d/1Nje_jnzUuzvNktBpa9Lky7_fWahfXzNj/view?usp=share_link" TargetMode="External"/><Relationship Id="rId86" Type="http://schemas.openxmlformats.org/officeDocument/2006/relationships/hyperlink" Target="https://drive.google.com/file/d/1wEaJiN9KyOjELY-adJTOEYIQOH63EYsF/view?usp=share_link" TargetMode="External"/><Relationship Id="rId130" Type="http://schemas.openxmlformats.org/officeDocument/2006/relationships/hyperlink" Target="https://drive.google.com/file/d/1WTn-nNrzGqSrL-vJX2IropLkysstMgsu/view?usp=share_link" TargetMode="External"/><Relationship Id="rId135" Type="http://schemas.openxmlformats.org/officeDocument/2006/relationships/hyperlink" Target="https://drive.google.com/file/d/1wyL6146qMmiE4RUT3-UKiHwZGIvu0puq/view?usp=sharing" TargetMode="External"/><Relationship Id="rId151" Type="http://schemas.openxmlformats.org/officeDocument/2006/relationships/hyperlink" Target="https://drive.google.com/file/d/1BOZiFxZIsex6whOyo8ZIgktlblQRa_wo/view?usp=share_link" TargetMode="External"/><Relationship Id="rId156" Type="http://schemas.openxmlformats.org/officeDocument/2006/relationships/hyperlink" Target="https://drive.google.com/file/d/19pOhOdiuef-fTW3Hk_VmGUP8fZ9h8hNj/view?usp=sharing" TargetMode="External"/><Relationship Id="rId13" Type="http://schemas.openxmlformats.org/officeDocument/2006/relationships/hyperlink" Target="https://drive.google.com/file/d/1nb0PQ8DNDhHSy2PWs33Fk1h-JRqsKXZZ/view?usp=sharing" TargetMode="External"/><Relationship Id="rId18" Type="http://schemas.openxmlformats.org/officeDocument/2006/relationships/hyperlink" Target="https://drive.google.com/file/d/1K6yPr0sS4ZS3CUn6C5crONzOLag5t8r2/view?usp=sharing" TargetMode="External"/><Relationship Id="rId39" Type="http://schemas.openxmlformats.org/officeDocument/2006/relationships/hyperlink" Target="https://drive.google.com/file/d/15IzzocwAPd91WtAQLyOKw1k_OgXeD34t/view?usp=sharing" TargetMode="External"/><Relationship Id="rId109" Type="http://schemas.openxmlformats.org/officeDocument/2006/relationships/hyperlink" Target="https://drive.google.com/file/d/1WudkE2jFzd1b400SfBntOUcENAzta6GQ/view?usp=share_link" TargetMode="External"/><Relationship Id="rId34" Type="http://schemas.openxmlformats.org/officeDocument/2006/relationships/hyperlink" Target="https://drive.google.com/file/d/1keKswTO5xrBNE6w9MCePo0soK59jlvtV/view?usp=sharing" TargetMode="External"/><Relationship Id="rId50" Type="http://schemas.openxmlformats.org/officeDocument/2006/relationships/hyperlink" Target="https://drive.google.com/file/d/1Iicw9ADQKuLA5SumEKwZvrTe5RkuZsZX/view?usp=sharing" TargetMode="External"/><Relationship Id="rId55" Type="http://schemas.openxmlformats.org/officeDocument/2006/relationships/hyperlink" Target="https://drive.google.com/file/d/1zkvPqc58HZTt3n3EaiNNg5NDJ1Yc1NKL/view?usp=sharing" TargetMode="External"/><Relationship Id="rId76" Type="http://schemas.openxmlformats.org/officeDocument/2006/relationships/hyperlink" Target="https://drive.google.com/file/d/1BJ7RXZUZTDkPC79-AOz9Orm5DRtwfqKB/view?usp=share_link" TargetMode="External"/><Relationship Id="rId97" Type="http://schemas.openxmlformats.org/officeDocument/2006/relationships/hyperlink" Target="https://drive.google.com/file/d/1_vxrYWznL0lhgtQ6ZDzTBEu9kYba4MRT/view?usp=share_link" TargetMode="External"/><Relationship Id="rId104" Type="http://schemas.openxmlformats.org/officeDocument/2006/relationships/hyperlink" Target="https://drive.google.com/file/d/1n8Ip-WRYcdiWy5Qj6utWX7MoNKrS5MAi/view?usp=share_link" TargetMode="External"/><Relationship Id="rId120" Type="http://schemas.openxmlformats.org/officeDocument/2006/relationships/hyperlink" Target="https://drive.google.com/file/d/156NvD9eO7MAGI-AlKLVFbqp45sjUmgQK/view?usp=sharing" TargetMode="External"/><Relationship Id="rId125" Type="http://schemas.openxmlformats.org/officeDocument/2006/relationships/hyperlink" Target="https://drive.google.com/file/d/1qZr6eHDVus4oOKzyv2riYXGTWbi2VKam/view?usp=sharing" TargetMode="External"/><Relationship Id="rId141" Type="http://schemas.openxmlformats.org/officeDocument/2006/relationships/hyperlink" Target="https://drive.google.com/file/d/1XGiTKK2Et0OiVPRR8AZwTMJmlhhJ1Zuv/view?usp=share_link" TargetMode="External"/><Relationship Id="rId146" Type="http://schemas.openxmlformats.org/officeDocument/2006/relationships/hyperlink" Target="https://drive.google.com/file/d/1kAPfbzEw8O4bneir04wyX1TWdRtMuZWm/view?usp=drive_link" TargetMode="External"/><Relationship Id="rId167" Type="http://schemas.openxmlformats.org/officeDocument/2006/relationships/comments" Target="../comments6.xml"/><Relationship Id="rId7" Type="http://schemas.openxmlformats.org/officeDocument/2006/relationships/hyperlink" Target="https://drive.google.com/file/d/1eACyUlvqXIouxocE84K3JY18MIE8kpcG/view?usp=sharing" TargetMode="External"/><Relationship Id="rId71" Type="http://schemas.openxmlformats.org/officeDocument/2006/relationships/hyperlink" Target="https://drive.google.com/file/d/1_c8C4uYdDS2R1zzUu-7AlFixZeukYJ2E/view?usp=share_link" TargetMode="External"/><Relationship Id="rId92" Type="http://schemas.openxmlformats.org/officeDocument/2006/relationships/hyperlink" Target="https://drive.google.com/file/d/1MLaqfMa0BYws8WcEeucrnWqWasKbvNFL/view?usp=share_link" TargetMode="External"/><Relationship Id="rId162" Type="http://schemas.openxmlformats.org/officeDocument/2006/relationships/hyperlink" Target="https://drive.google.com/file/d/1SAH40E5moG9sxkOi1wKkRvlavEm-n70j/view?usp=sharing" TargetMode="External"/><Relationship Id="rId2" Type="http://schemas.openxmlformats.org/officeDocument/2006/relationships/hyperlink" Target="https://drive.google.com/file/d/1iOUEIuIhAeOtpYJX0yMx6vXDFBVJ7A25/view?usp=sharing" TargetMode="External"/><Relationship Id="rId29" Type="http://schemas.openxmlformats.org/officeDocument/2006/relationships/hyperlink" Target="https://drive.google.com/file/d/1eOzehJidpquZhRly7WZJl8sKNRFI1Onj/view?usp=sharing" TargetMode="External"/><Relationship Id="rId24" Type="http://schemas.openxmlformats.org/officeDocument/2006/relationships/hyperlink" Target="https://drive.google.com/file/d/13g0_C09gZCpQezSBDtIH9UDhj1sw_nyl/view?usp=sharing" TargetMode="External"/><Relationship Id="rId40" Type="http://schemas.openxmlformats.org/officeDocument/2006/relationships/hyperlink" Target="https://drive.google.com/file/d/1RwRCuLofVvdxiC7HAE-1JyKNOCDE4Evl/view?usp=sharing" TargetMode="External"/><Relationship Id="rId45" Type="http://schemas.openxmlformats.org/officeDocument/2006/relationships/hyperlink" Target="https://drive.google.com/file/d/1PMkUB3aG-dHBEQV3scERzKrASzQbXd38/view?usp=sharing" TargetMode="External"/><Relationship Id="rId66" Type="http://schemas.openxmlformats.org/officeDocument/2006/relationships/hyperlink" Target="https://drive.google.com/file/d/1_NnwKrP6L2X4vKtkYiNpbCEpvTRDudEW/view?usp=share_link" TargetMode="External"/><Relationship Id="rId87" Type="http://schemas.openxmlformats.org/officeDocument/2006/relationships/hyperlink" Target="https://drive.google.com/file/d/1gmNgt9hSekp5Fv6OnMrMHfp08jGiJRA2/view?usp=share_link" TargetMode="External"/><Relationship Id="rId110" Type="http://schemas.openxmlformats.org/officeDocument/2006/relationships/hyperlink" Target="https://drive.google.com/file/d/1eksgt3NykCxJDbYe6ggnRjAlqt5JbBi1/view?usp=share_link" TargetMode="External"/><Relationship Id="rId115" Type="http://schemas.openxmlformats.org/officeDocument/2006/relationships/hyperlink" Target="https://drive.google.com/file/d/1fQR19nvLfg2Dhp7h0nOHsNtNnENg2khy/view?usp=sharing" TargetMode="External"/><Relationship Id="rId131" Type="http://schemas.openxmlformats.org/officeDocument/2006/relationships/hyperlink" Target="https://drive.google.com/file/d/1X6v7j4YswexchZK3hkE34bJM3WSKBdKJ/view?usp=share_link" TargetMode="External"/><Relationship Id="rId136" Type="http://schemas.openxmlformats.org/officeDocument/2006/relationships/hyperlink" Target="https://drive.google.com/file/d/1sfA7UmVoSu3pKGDTRcYomG9hKh8RIIsO/view?usp=share_link" TargetMode="External"/><Relationship Id="rId157" Type="http://schemas.openxmlformats.org/officeDocument/2006/relationships/hyperlink" Target="https://drive.google.com/file/d/1ir_5Wp1fsS24LOs_6kiGPpLgcyjRy70T/view?usp=sharing" TargetMode="External"/><Relationship Id="rId61" Type="http://schemas.openxmlformats.org/officeDocument/2006/relationships/hyperlink" Target="https://drive.google.com/file/d/18AQ4U8-nf9sIUl_LOGkleKCkyAdtiKSV/view?usp=sharing" TargetMode="External"/><Relationship Id="rId82" Type="http://schemas.openxmlformats.org/officeDocument/2006/relationships/hyperlink" Target="https://drive.google.com/file/d/1nzpBd6aPUuGlv8iczwmZf0eE21m3iJmD/view?usp=share_link" TargetMode="External"/><Relationship Id="rId152" Type="http://schemas.openxmlformats.org/officeDocument/2006/relationships/hyperlink" Target="https://drive.google.com/file/d/1mVyNCDMfrlLmR67dwrt3sX9dP1pVtP2K/view?usp=drive_link" TargetMode="External"/><Relationship Id="rId19" Type="http://schemas.openxmlformats.org/officeDocument/2006/relationships/hyperlink" Target="https://drive.google.com/file/d/1rb5VOSfekwTX4ub_xRuc4FoW7K0bsHM2/view?usp=sharing" TargetMode="External"/><Relationship Id="rId14" Type="http://schemas.openxmlformats.org/officeDocument/2006/relationships/hyperlink" Target="https://drive.google.com/file/d/1xCQKwxSLW8yFBaNkZA59194YA0kSxIUR/view?usp=sharing" TargetMode="External"/><Relationship Id="rId30" Type="http://schemas.openxmlformats.org/officeDocument/2006/relationships/hyperlink" Target="https://drive.google.com/file/d/1WLJ-kJbd5IH4Bw5elij_0UVd6267RaAg/view?usp=sharing" TargetMode="External"/><Relationship Id="rId35" Type="http://schemas.openxmlformats.org/officeDocument/2006/relationships/hyperlink" Target="https://drive.google.com/file/d/1keKswTO5xrBNE6w9MCePo0soK59jlvtV/view?usp=sharing" TargetMode="External"/><Relationship Id="rId56" Type="http://schemas.openxmlformats.org/officeDocument/2006/relationships/hyperlink" Target="https://drive.google.com/file/d/1s74_nHru3I5kPA0McIvJ_-azbZvhceEm/view?usp=sharing" TargetMode="External"/><Relationship Id="rId77" Type="http://schemas.openxmlformats.org/officeDocument/2006/relationships/hyperlink" Target="https://drive.google.com/file/d/1CP47qBu66DrRlX7xnyRvWUV_ljP9bqCx/view?usp=share_link" TargetMode="External"/><Relationship Id="rId100" Type="http://schemas.openxmlformats.org/officeDocument/2006/relationships/hyperlink" Target="https://drive.google.com/file/d/1uJ3wHJBbhVGjR1tzY6s1Zu5s1tmmAsTd/view?usp=share_link" TargetMode="External"/><Relationship Id="rId105" Type="http://schemas.openxmlformats.org/officeDocument/2006/relationships/hyperlink" Target="https://drive.google.com/file/d/1yvGOxijCf8ZQ4h3IcoCCAF8M9WVwI6vN/view?usp=share_link" TargetMode="External"/><Relationship Id="rId126" Type="http://schemas.openxmlformats.org/officeDocument/2006/relationships/hyperlink" Target="https://drive.google.com/file/d/1NdQaEo5nsJfBlPyNqalT7be5vQbF-B0X/view?usp=sharing" TargetMode="External"/><Relationship Id="rId147" Type="http://schemas.openxmlformats.org/officeDocument/2006/relationships/hyperlink" Target="https://drive.google.com/file/d/1Bi9X0qsX0cdQDV-X4FDaEqlTICoM_6_w/view?usp=drive_link" TargetMode="External"/><Relationship Id="rId8" Type="http://schemas.openxmlformats.org/officeDocument/2006/relationships/hyperlink" Target="https://drive.google.com/file/d/1gu8AWtyB24MAXXMmeGnA7iXOo8byKa5j/view?usp=sharing" TargetMode="External"/><Relationship Id="rId51" Type="http://schemas.openxmlformats.org/officeDocument/2006/relationships/hyperlink" Target="https://drive.google.com/file/d/13nTMziR3EvYnKA--dSJ26BAF3Ir3-bYs/view?usp=sharing" TargetMode="External"/><Relationship Id="rId72" Type="http://schemas.openxmlformats.org/officeDocument/2006/relationships/hyperlink" Target="https://drive.google.com/file/d/1XGiTKK2Et0OiVPRR8AZwTMJmlhhJ1Zuv/view?usp=share_link" TargetMode="External"/><Relationship Id="rId93" Type="http://schemas.openxmlformats.org/officeDocument/2006/relationships/hyperlink" Target="https://drive.google.com/file/d/12fulVRF0IizbmVp_a1GYcMMrCHgpfdx7/view?usp=share_link" TargetMode="External"/><Relationship Id="rId98" Type="http://schemas.openxmlformats.org/officeDocument/2006/relationships/hyperlink" Target="https://drive.google.com/file/d/1XMWACz2lqsi0uIkujgZx22W-uEG8-kQ8/view?usp=share_link" TargetMode="External"/><Relationship Id="rId121" Type="http://schemas.openxmlformats.org/officeDocument/2006/relationships/hyperlink" Target="https://drive.google.com/file/d/1B7EGsBQuqV-rUtk1F6wklKvC1xXsQONv/view?usp=drive_link" TargetMode="External"/><Relationship Id="rId142" Type="http://schemas.openxmlformats.org/officeDocument/2006/relationships/hyperlink" Target="https://drive.google.com/file/d/1lN7xWJGRsGcspcQbaX2QNuOWLIIHYMbY/view?usp=drive_link" TargetMode="External"/><Relationship Id="rId163" Type="http://schemas.openxmlformats.org/officeDocument/2006/relationships/hyperlink" Target="https://drive.google.com/file/d/1Pw-5A-D9rvYj0x0op0ynMZNv2K_4d70Q/view?usp=sharing" TargetMode="External"/><Relationship Id="rId3" Type="http://schemas.openxmlformats.org/officeDocument/2006/relationships/hyperlink" Target="https://drive.google.com/file/d/1Yc64UatqSTlu17lRD27dD1PcjLnVZoL7/view?usp=sharing" TargetMode="External"/><Relationship Id="rId25" Type="http://schemas.openxmlformats.org/officeDocument/2006/relationships/hyperlink" Target="https://drive.google.com/file/d/1wyL6146qMmiE4RUT3-UKiHwZGIvu0puq/view?usp=sharing" TargetMode="External"/><Relationship Id="rId46" Type="http://schemas.openxmlformats.org/officeDocument/2006/relationships/hyperlink" Target="https://drive.google.com/file/d/1o4g1EwoNJTp1GCtz35PJyW847NmkHvKb/view?usp=sharing" TargetMode="External"/><Relationship Id="rId67" Type="http://schemas.openxmlformats.org/officeDocument/2006/relationships/hyperlink" Target="https://drive.google.com/file/d/1N7yfhWFh-ln7I1D0doXxIhVaChQoBmEw/view?usp=share_link" TargetMode="External"/><Relationship Id="rId116" Type="http://schemas.openxmlformats.org/officeDocument/2006/relationships/hyperlink" Target="https://drive.google.com/file/d/1RbEH1LOUxzcNYN8rMnwo1GmFQob3uHYX/view?usp=sharing" TargetMode="External"/><Relationship Id="rId137" Type="http://schemas.openxmlformats.org/officeDocument/2006/relationships/hyperlink" Target="https://drive.google.com/file/d/1iZjX2w7rCMSNfFoOA9lbYDiJnG5UzzIN/view?usp=sharing" TargetMode="External"/><Relationship Id="rId158" Type="http://schemas.openxmlformats.org/officeDocument/2006/relationships/hyperlink" Target="https://drive.google.com/file/d/1zhr3AuJ7cEG6ghT6kjY8LTZ1-3rKuI6B/view?usp=share_link" TargetMode="External"/><Relationship Id="rId20" Type="http://schemas.openxmlformats.org/officeDocument/2006/relationships/hyperlink" Target="https://drive.google.com/file/d/1AvWcVkFYt5EEBSsbxVANNJa5FTH-UNxy/view?usp=sharing" TargetMode="External"/><Relationship Id="rId41" Type="http://schemas.openxmlformats.org/officeDocument/2006/relationships/hyperlink" Target="https://drive.google.com/file/d/1puJoii7agUY4opbhw1Y6GKIEhaG8iF0t/view?usp=sharing" TargetMode="External"/><Relationship Id="rId62" Type="http://schemas.openxmlformats.org/officeDocument/2006/relationships/hyperlink" Target="https://drive.google.com/file/d/1z6uiR_eKaHztEah2lEtqvQL5KpeyXSo2/view?usp=sharing" TargetMode="External"/><Relationship Id="rId83" Type="http://schemas.openxmlformats.org/officeDocument/2006/relationships/hyperlink" Target="https://drive.google.com/file/d/1oKYCTQSIhNe3bkPI_QKnc2yZQnUT25hx/view?usp=share_link" TargetMode="External"/><Relationship Id="rId88" Type="http://schemas.openxmlformats.org/officeDocument/2006/relationships/hyperlink" Target="https://drive.google.com/file/d/1_KyMBAKfiVUDUxQDov_KGsyRkSOHlDS2/view?usp=share_link" TargetMode="External"/><Relationship Id="rId111" Type="http://schemas.openxmlformats.org/officeDocument/2006/relationships/hyperlink" Target="https://drive.google.com/file/d/1ez9BA_mNJmbaNIC6Hejkhb9wZ1l-cgWV/view?usp=share_link" TargetMode="External"/><Relationship Id="rId132" Type="http://schemas.openxmlformats.org/officeDocument/2006/relationships/hyperlink" Target="https://drive.google.com/file/d/1YSKVFmb8zc3C2lyTU76LXNuNHJ81ARbD/view?usp=sharing" TargetMode="External"/><Relationship Id="rId153" Type="http://schemas.openxmlformats.org/officeDocument/2006/relationships/hyperlink" Target="https://drive.google.com/file/d/1AwHoIp28NfAIVt_nXLzMpM6RfDxSpcGj/view?usp=sharing" TargetMode="External"/><Relationship Id="rId15" Type="http://schemas.openxmlformats.org/officeDocument/2006/relationships/hyperlink" Target="https://drive.google.com/file/d/1pDkU4l1zkT3aCaH-m-MQzu5gN6FMRSfW/view?usp=sharing" TargetMode="External"/><Relationship Id="rId36" Type="http://schemas.openxmlformats.org/officeDocument/2006/relationships/hyperlink" Target="https://drive.google.com/file/d/1o5JAGv2Qo85kbfJwcIfxlAnfQusArz2E/view?usp=sharing" TargetMode="External"/><Relationship Id="rId57" Type="http://schemas.openxmlformats.org/officeDocument/2006/relationships/hyperlink" Target="https://drive.google.com/file/d/1chU_FHEKTe5IRkYYviExRSB-wNuIm-32/view?usp=sharing" TargetMode="External"/><Relationship Id="rId106" Type="http://schemas.openxmlformats.org/officeDocument/2006/relationships/hyperlink" Target="https://drive.google.com/file/d/1Fl5UZ3CCJK3jj-rJJJUTORu5Qwd-SHeh/view?usp=share_link" TargetMode="External"/><Relationship Id="rId127" Type="http://schemas.openxmlformats.org/officeDocument/2006/relationships/hyperlink" Target="https://drive.google.com/file/d/1rdKjtuQeFOfR6eB_jk3GDznLf6SUHgrY/view?usp=sharing" TargetMode="External"/><Relationship Id="rId10" Type="http://schemas.openxmlformats.org/officeDocument/2006/relationships/hyperlink" Target="https://drive.google.com/file/d/1bCt-bTkCuTB5KJ6JVsiy2JDJQve-XHXi/view?usp=sharing" TargetMode="External"/><Relationship Id="rId31" Type="http://schemas.openxmlformats.org/officeDocument/2006/relationships/hyperlink" Target="https://drive.google.com/file/d/1hQ6bVI-Yz4rhvJvJBkqh4pbhmTBBoPT2/view?usp=sharing" TargetMode="External"/><Relationship Id="rId52" Type="http://schemas.openxmlformats.org/officeDocument/2006/relationships/hyperlink" Target="https://drive.google.com/file/d/12rMHFPPVrCpDBr4a6pfzfeYlotyrgDln/view?usp=sharing" TargetMode="External"/><Relationship Id="rId73" Type="http://schemas.openxmlformats.org/officeDocument/2006/relationships/hyperlink" Target="https://drive.google.com/file/d/15mFRlVlD0z0sqAtr_zfv8SttKWFwUW86/view?usp=share_link" TargetMode="External"/><Relationship Id="rId78" Type="http://schemas.openxmlformats.org/officeDocument/2006/relationships/hyperlink" Target="https://drive.google.com/file/d/1USoyBQj36f56UCyRdtZw6cwi7D4650kN/view?usp=share_link" TargetMode="External"/><Relationship Id="rId94" Type="http://schemas.openxmlformats.org/officeDocument/2006/relationships/hyperlink" Target="https://drive.google.com/file/d/1yYlW3p8E9r8CYyBC14rVQB4zVtScE17R/view?usp=share_link" TargetMode="External"/><Relationship Id="rId99" Type="http://schemas.openxmlformats.org/officeDocument/2006/relationships/hyperlink" Target="https://drive.google.com/file/d/1Uk5nTaIMgWlMXbFW7ZFdLaGbErPpEr1r/view?usp=share_link" TargetMode="External"/><Relationship Id="rId101" Type="http://schemas.openxmlformats.org/officeDocument/2006/relationships/hyperlink" Target="https://drive.google.com/file/d/1WACpp8ZReW_Yo5OG5X6TMIoQjfd-w3eR/view?usp=share_link" TargetMode="External"/><Relationship Id="rId122" Type="http://schemas.openxmlformats.org/officeDocument/2006/relationships/hyperlink" Target="https://drive.google.com/file/d/1TZ9AcuE3FIZuKDmkck1zu0NSIQus_Kbr/view?usp=sharing" TargetMode="External"/><Relationship Id="rId143" Type="http://schemas.openxmlformats.org/officeDocument/2006/relationships/hyperlink" Target="https://drive.google.com/file/d/1YEnLRaC7gpSXsODyxYhw4wQBMdcw0tjf/view?usp=sharing" TargetMode="External"/><Relationship Id="rId148" Type="http://schemas.openxmlformats.org/officeDocument/2006/relationships/hyperlink" Target="https://drive.google.com/file/d/1d_MsOtyYX6p9FG7R4Qiq-5d6xgDWz0kQ/view?usp=drive_link" TargetMode="External"/><Relationship Id="rId164" Type="http://schemas.openxmlformats.org/officeDocument/2006/relationships/hyperlink" Target="https://drive.google.com/file/d/1SAH40E5moG9sxkOi1wKkRvlavEm-n70j/view?usp=sharing" TargetMode="External"/><Relationship Id="rId4" Type="http://schemas.openxmlformats.org/officeDocument/2006/relationships/hyperlink" Target="https://drive.google.com/file/d/102LMV24yn5wVYTDWPpLrfaNYYHpUrTSV/view?usp=sharing" TargetMode="External"/><Relationship Id="rId9" Type="http://schemas.openxmlformats.org/officeDocument/2006/relationships/hyperlink" Target="https://drive.google.com/file/d/1gu8AWtyB24MAXXMmeGnA7iXOo8byKa5j/view?usp=sharing" TargetMode="External"/><Relationship Id="rId26" Type="http://schemas.openxmlformats.org/officeDocument/2006/relationships/hyperlink" Target="https://drive.google.com/file/d/1wyL6146qMmiE4RUT3-UKiHwZGIvu0puq/view?usp=sharing" TargetMode="External"/><Relationship Id="rId47" Type="http://schemas.openxmlformats.org/officeDocument/2006/relationships/hyperlink" Target="https://drive.google.com/file/d/10zRRhA7ghk80wVp56GMAeiMvqG53kYbk/view?usp=sharing" TargetMode="External"/><Relationship Id="rId68" Type="http://schemas.openxmlformats.org/officeDocument/2006/relationships/hyperlink" Target="https://drive.google.com/file/d/1N7yfhWFh-ln7I1D0doXxIhVaChQoBmEw/view?usp=share_link" TargetMode="External"/><Relationship Id="rId89" Type="http://schemas.openxmlformats.org/officeDocument/2006/relationships/hyperlink" Target="https://drive.google.com/file/d/1K3i2prdmXn7BFcALqYnDgyO-L-CkeA3r/view?usp=share_link" TargetMode="External"/><Relationship Id="rId112" Type="http://schemas.openxmlformats.org/officeDocument/2006/relationships/hyperlink" Target="https://drive.google.com/file/d/12G6qe_NjA9FKOvqy_aSdGoie51lwx39E/view?usp=share_link" TargetMode="External"/><Relationship Id="rId133" Type="http://schemas.openxmlformats.org/officeDocument/2006/relationships/hyperlink" Target="https://drive.google.com/file/d/1gu8AWtyB24MAXXMmeGnA7iXOo8byKa5j/view?usp=sharing" TargetMode="External"/><Relationship Id="rId154" Type="http://schemas.openxmlformats.org/officeDocument/2006/relationships/hyperlink" Target="https://drive.google.com/file/d/1AwHoIp28NfAIVt_nXLzMpM6RfDxSpcGj/view?usp=sharing" TargetMode="External"/><Relationship Id="rId16" Type="http://schemas.openxmlformats.org/officeDocument/2006/relationships/hyperlink" Target="https://drive.google.com/file/d/12Jogu9_A0-ZolaubeIm0vbLSTxlPIwEi/view?usp=sharing" TargetMode="External"/><Relationship Id="rId37" Type="http://schemas.openxmlformats.org/officeDocument/2006/relationships/hyperlink" Target="https://drive.google.com/file/d/1o5JAGv2Qo85kbfJwcIfxlAnfQusArz2E/view?usp=sharing" TargetMode="External"/><Relationship Id="rId58" Type="http://schemas.openxmlformats.org/officeDocument/2006/relationships/hyperlink" Target="https://drive.google.com/file/d/127CVFk3U3p3qUK6yUbG5y2wGZO9X05u0/view?usp=sharing" TargetMode="External"/><Relationship Id="rId79" Type="http://schemas.openxmlformats.org/officeDocument/2006/relationships/hyperlink" Target="https://drive.google.com/file/d/1Us-erAbhYBTVFL7-EKJOJkr6RK40V7hq/view?usp=share_link" TargetMode="External"/><Relationship Id="rId102" Type="http://schemas.openxmlformats.org/officeDocument/2006/relationships/hyperlink" Target="https://drive.google.com/file/d/1_KyMBAKfiVUDUxQDov_KGsyRkSOHlDS2/view?usp=share_link" TargetMode="External"/><Relationship Id="rId123" Type="http://schemas.openxmlformats.org/officeDocument/2006/relationships/hyperlink" Target="https://drive.google.com/file/d/1ScuUXDCsZN8yssY4JWYr5jcj6wLmgEuD/view?usp=sharing" TargetMode="External"/><Relationship Id="rId144" Type="http://schemas.openxmlformats.org/officeDocument/2006/relationships/hyperlink" Target="https://drive.google.com/file/d/1FhCwk6h7Q9LmytgaX5JVFbLubT9OUtg8/view?usp=drive_link" TargetMode="External"/><Relationship Id="rId90" Type="http://schemas.openxmlformats.org/officeDocument/2006/relationships/hyperlink" Target="https://drive.google.com/file/d/1K3i2prdmXn7BFcALqYnDgyO-L-CkeA3r/view?usp=share_link" TargetMode="External"/><Relationship Id="rId165" Type="http://schemas.openxmlformats.org/officeDocument/2006/relationships/printerSettings" Target="../printerSettings/printerSettings4.bin"/><Relationship Id="rId27" Type="http://schemas.openxmlformats.org/officeDocument/2006/relationships/hyperlink" Target="https://drive.google.com/file/d/1iZjX2w7rCMSNfFoOA9lbYDiJnG5UzzIN/view?usp=sharing" TargetMode="External"/><Relationship Id="rId48" Type="http://schemas.openxmlformats.org/officeDocument/2006/relationships/hyperlink" Target="https://drive.google.com/file/d/1ZQK-Eq__doFFyAIjhPqDB1kkGhPp-xUL/view?usp=sharing" TargetMode="External"/><Relationship Id="rId69" Type="http://schemas.openxmlformats.org/officeDocument/2006/relationships/hyperlink" Target="https://drive.google.com/file/d/19rpxPGFMAKD41iCL4Tz_BRsFXP67lTzN/view?usp=share_link" TargetMode="External"/><Relationship Id="rId113" Type="http://schemas.openxmlformats.org/officeDocument/2006/relationships/hyperlink" Target="https://drive.google.com/file/d/1Q_QzDTOjLyYF_C6NeWFfxyJQNFp6GzE-/view?usp=share_link" TargetMode="External"/><Relationship Id="rId134" Type="http://schemas.openxmlformats.org/officeDocument/2006/relationships/hyperlink" Target="https://drive.google.com/file/d/1RZrmbNdWEfqONuobIY_6fWcTP1QgsLaW/view?usp=share_link" TargetMode="External"/><Relationship Id="rId80" Type="http://schemas.openxmlformats.org/officeDocument/2006/relationships/hyperlink" Target="https://drive.google.com/file/d/1OgepZaldumxQK9RG5CoNsI-dhr6xaFyM/view?usp=share_link" TargetMode="External"/><Relationship Id="rId155" Type="http://schemas.openxmlformats.org/officeDocument/2006/relationships/hyperlink" Target="https://drive.google.com/file/d/16wwc73RD9ztlpmC7bKs-SaD30z0iXV7l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_uCh2WpNWnUs_S-1YY2kGll_x7iSTa-s/view?usp=share_link" TargetMode="External"/><Relationship Id="rId21" Type="http://schemas.openxmlformats.org/officeDocument/2006/relationships/hyperlink" Target="https://drive.google.com/file/d/1jV_zWwhSpx-dM-Ii-U5fw9xZ_8FScEYJ/view?usp=sharing" TargetMode="External"/><Relationship Id="rId42" Type="http://schemas.openxmlformats.org/officeDocument/2006/relationships/hyperlink" Target="https://drive.google.com/file/d/1xCQKwxSLW8yFBaNkZA59194YA0kSxIUR/view?usp=sharing" TargetMode="External"/><Relationship Id="rId63" Type="http://schemas.openxmlformats.org/officeDocument/2006/relationships/hyperlink" Target="https://drive.google.com/file/d/1NdQaEo5nsJfBlPyNqalT7be5vQbF-B0X/view?usp=sharing" TargetMode="External"/><Relationship Id="rId84" Type="http://schemas.openxmlformats.org/officeDocument/2006/relationships/hyperlink" Target="https://drive.google.com/file/d/1rTj-MdZ7wxzpKzf52Z5zah7DSNBI28Ki/view?usp=share_link" TargetMode="External"/><Relationship Id="rId138" Type="http://schemas.openxmlformats.org/officeDocument/2006/relationships/hyperlink" Target="https://drive.google.com/file/d/1qZr6eHDVus4oOKzyv2riYXGTWbi2VKam/view?usp=sharing" TargetMode="External"/><Relationship Id="rId107" Type="http://schemas.openxmlformats.org/officeDocument/2006/relationships/hyperlink" Target="https://drive.google.com/file/d/1sf4pdy8FC_2KID7ody5W1KX6QoJFZYqX/view?usp=share_link" TargetMode="External"/><Relationship Id="rId11" Type="http://schemas.openxmlformats.org/officeDocument/2006/relationships/hyperlink" Target="https://drive.google.com/file/d/1fzUgN9SfHm0jcIO3ZUWVXog-i0VUbj6F/view?usp=sharing" TargetMode="External"/><Relationship Id="rId32" Type="http://schemas.openxmlformats.org/officeDocument/2006/relationships/hyperlink" Target="https://drive.google.com/file/d/1AwHoIp28NfAIVt_nXLzMpM6RfDxSpcGj/view?usp=sharing" TargetMode="External"/><Relationship Id="rId53" Type="http://schemas.openxmlformats.org/officeDocument/2006/relationships/hyperlink" Target="https://drive.google.com/file/d/1nJa-T91NfwvjtUJCotcAsE8pfWNbxCRj/view?usp=sharing" TargetMode="External"/><Relationship Id="rId74" Type="http://schemas.openxmlformats.org/officeDocument/2006/relationships/hyperlink" Target="https://drive.google.com/file/d/1keKswTO5xrBNE6w9MCePo0soK59jlvtV/view?usp=sharing" TargetMode="External"/><Relationship Id="rId128" Type="http://schemas.openxmlformats.org/officeDocument/2006/relationships/hyperlink" Target="https://drive.google.com/file/d/1ez9BA_mNJmbaNIC6Hejkhb9wZ1l-cgWV/view?usp=share_link" TargetMode="External"/><Relationship Id="rId149" Type="http://schemas.openxmlformats.org/officeDocument/2006/relationships/vmlDrawing" Target="../drawings/vmlDrawing7.vml"/><Relationship Id="rId5" Type="http://schemas.openxmlformats.org/officeDocument/2006/relationships/hyperlink" Target="https://drive.google.com/file/d/13auN7nM7qDZ2RCFtDzmOMttVIdQBJQgj/view?usp=sharing" TargetMode="External"/><Relationship Id="rId95" Type="http://schemas.openxmlformats.org/officeDocument/2006/relationships/hyperlink" Target="https://drive.google.com/file/d/1QF5q7ONvEOgZND4U7ET5B4t1wQIrY3jG/view?usp=share_link" TargetMode="External"/><Relationship Id="rId22" Type="http://schemas.openxmlformats.org/officeDocument/2006/relationships/hyperlink" Target="https://drive.google.com/file/d/1WrBIYPsUunJUnV6AFfjTk-ZqCmXIFRWv/view?usp=sharing" TargetMode="External"/><Relationship Id="rId27" Type="http://schemas.openxmlformats.org/officeDocument/2006/relationships/hyperlink" Target="https://drive.google.com/file/d/18yh3UIAjiKYofwH1wn6n_iq5ysRmzMaW/view?usp=sharing" TargetMode="External"/><Relationship Id="rId43" Type="http://schemas.openxmlformats.org/officeDocument/2006/relationships/hyperlink" Target="https://drive.google.com/file/d/1pDkU4l1zkT3aCaH-m-MQzu5gN6FMRSfW/view?usp=sharing" TargetMode="External"/><Relationship Id="rId48" Type="http://schemas.openxmlformats.org/officeDocument/2006/relationships/hyperlink" Target="https://drive.google.com/file/d/1pnB162Y997jIiGCZ9Azw171-y4cHJdCn/view?usp=sharing" TargetMode="External"/><Relationship Id="rId64" Type="http://schemas.openxmlformats.org/officeDocument/2006/relationships/hyperlink" Target="https://drive.google.com/file/d/1rdKjtuQeFOfR6eB_jk3GDznLf6SUHgrY/view?usp=sharing" TargetMode="External"/><Relationship Id="rId69" Type="http://schemas.openxmlformats.org/officeDocument/2006/relationships/hyperlink" Target="https://drive.google.com/file/d/1IuGuGEjjGvDiuBjBt8gZ_Elvt_nxiQCQ/view?usp=sharing" TargetMode="External"/><Relationship Id="rId113" Type="http://schemas.openxmlformats.org/officeDocument/2006/relationships/hyperlink" Target="https://drive.google.com/file/d/1f1_Y30aV_EbTRrZs5Wiq8-8wI0kkyzg_/view?usp=share_link" TargetMode="External"/><Relationship Id="rId118" Type="http://schemas.openxmlformats.org/officeDocument/2006/relationships/hyperlink" Target="https://drive.google.com/file/d/1RYmp20g4Ivu3T1FIbp2I0BSbRLkTP__9/view?usp=share_link" TargetMode="External"/><Relationship Id="rId134" Type="http://schemas.openxmlformats.org/officeDocument/2006/relationships/hyperlink" Target="https://drive.google.com/file/d/1Xat_L2QVWm7-mPX_-RsS8aMEtG-GZphP/view?usp=sharing" TargetMode="External"/><Relationship Id="rId139" Type="http://schemas.openxmlformats.org/officeDocument/2006/relationships/hyperlink" Target="https://drive.google.com/file/d/1kAPfbzEw8O4bneir04wyX1TWdRtMuZWm/view?usp=drive_link" TargetMode="External"/><Relationship Id="rId80" Type="http://schemas.openxmlformats.org/officeDocument/2006/relationships/hyperlink" Target="https://drive.google.com/file/d/1zhr3AuJ7cEG6ghT6kjY8LTZ1-3rKuI6B/view?usp=share_link" TargetMode="External"/><Relationship Id="rId85" Type="http://schemas.openxmlformats.org/officeDocument/2006/relationships/hyperlink" Target="https://drive.google.com/file/d/1kMV31Pzz1wNURmEFLawoXgmFv0MC9hqZ/view?usp=share_link" TargetMode="External"/><Relationship Id="rId150" Type="http://schemas.openxmlformats.org/officeDocument/2006/relationships/comments" Target="../comments7.xml"/><Relationship Id="rId12" Type="http://schemas.openxmlformats.org/officeDocument/2006/relationships/hyperlink" Target="https://drive.google.com/file/d/1rTgVaku-433cWRtK001UrX0anw8aUXqB/view?usp=sharing" TargetMode="External"/><Relationship Id="rId17" Type="http://schemas.openxmlformats.org/officeDocument/2006/relationships/hyperlink" Target="https://drive.google.com/file/d/1eVel9rXiZloaLlYbRbij8hdr3DAjOWaG/view?usp=sharing" TargetMode="External"/><Relationship Id="rId33" Type="http://schemas.openxmlformats.org/officeDocument/2006/relationships/hyperlink" Target="https://drive.google.com/file/d/1Tmw6pQUQVRyIdesmGLyoRsvpOaNob487/view?usp=sharing" TargetMode="External"/><Relationship Id="rId38" Type="http://schemas.openxmlformats.org/officeDocument/2006/relationships/hyperlink" Target="https://drive.google.com/file/d/1bCt-bTkCuTB5KJ6JVsiy2JDJQve-XHXi/view?usp=sharing" TargetMode="External"/><Relationship Id="rId59" Type="http://schemas.openxmlformats.org/officeDocument/2006/relationships/hyperlink" Target="https://drive.google.com/file/d/1FBKN265kM6S2dYpyCs0hP8Ev6cQljajo/view?usp=sharing" TargetMode="External"/><Relationship Id="rId103" Type="http://schemas.openxmlformats.org/officeDocument/2006/relationships/hyperlink" Target="https://drive.google.com/file/d/1PtE91vwKCYq1Q3av0DjSkZZPVrayP4l5/view?usp=share_link" TargetMode="External"/><Relationship Id="rId108" Type="http://schemas.openxmlformats.org/officeDocument/2006/relationships/hyperlink" Target="https://drive.google.com/file/d/1IsGwGYBFUdPDIjtwACR4_vSE4JPbAUw1/view?usp=share_link" TargetMode="External"/><Relationship Id="rId124" Type="http://schemas.openxmlformats.org/officeDocument/2006/relationships/hyperlink" Target="https://drive.google.com/file/d/1GNMKPnpQGXbGn6T2r8A5NLxxIPVSnOn4/view?usp=share_link" TargetMode="External"/><Relationship Id="rId129" Type="http://schemas.openxmlformats.org/officeDocument/2006/relationships/hyperlink" Target="https://drive.google.com/file/d/1qSDU84uDexeaJlj6dRf24nEOaPt8k2ng/view?usp=share_link" TargetMode="External"/><Relationship Id="rId54" Type="http://schemas.openxmlformats.org/officeDocument/2006/relationships/hyperlink" Target="https://drive.google.com/file/d/16h8VCtmdhe-GQ3wsmGWcFcdTcBmMC2TL/view?usp=sharing" TargetMode="External"/><Relationship Id="rId70" Type="http://schemas.openxmlformats.org/officeDocument/2006/relationships/hyperlink" Target="https://drive.google.com/file/d/1j0yn0FbwUTaLnn6wwtFNfMiI91oiMmHF/view?usp=sharing" TargetMode="External"/><Relationship Id="rId75" Type="http://schemas.openxmlformats.org/officeDocument/2006/relationships/hyperlink" Target="https://drive.google.com/file/d/1o5JAGv2Qo85kbfJwcIfxlAnfQusArz2E/view?usp=sharing" TargetMode="External"/><Relationship Id="rId91" Type="http://schemas.openxmlformats.org/officeDocument/2006/relationships/hyperlink" Target="https://drive.google.com/file/d/1uh51ngbcHHMQHUErzNlidIELd3gcxKDN/view?usp=share_link" TargetMode="External"/><Relationship Id="rId96" Type="http://schemas.openxmlformats.org/officeDocument/2006/relationships/hyperlink" Target="https://drive.google.com/file/d/1PAqTT0xlaNZwoSYYLrYvZR25YN6AzYM-/view?usp=share_link" TargetMode="External"/><Relationship Id="rId140" Type="http://schemas.openxmlformats.org/officeDocument/2006/relationships/hyperlink" Target="https://drive.google.com/file/d/1fpw8zKC3xYWjqmDudTqdDhEclkOnLdOH/view?usp=drive_link" TargetMode="External"/><Relationship Id="rId145" Type="http://schemas.openxmlformats.org/officeDocument/2006/relationships/hyperlink" Target="https://drive.google.com/file/d/1BOZiFxZIsex6whOyo8ZIgktlblQRa_wo/view?usp=share_link" TargetMode="External"/><Relationship Id="rId1" Type="http://schemas.openxmlformats.org/officeDocument/2006/relationships/hyperlink" Target="https://drive.google.com/file/d/1CGVU06cN9ZyHjIr5OkAPMc81-rwKyRDB/view?usp=sharing" TargetMode="External"/><Relationship Id="rId6" Type="http://schemas.openxmlformats.org/officeDocument/2006/relationships/hyperlink" Target="https://drive.google.com/file/d/1zVg7gidOD7XK5UMiGlk5KQpLBuzdUjug/view?usp=sharing" TargetMode="External"/><Relationship Id="rId23" Type="http://schemas.openxmlformats.org/officeDocument/2006/relationships/hyperlink" Target="https://drive.google.com/file/d/12ThZVRXc0KVQiYI-ICSnQulrh9QE_9V_/view?usp=sharing" TargetMode="External"/><Relationship Id="rId28" Type="http://schemas.openxmlformats.org/officeDocument/2006/relationships/hyperlink" Target="https://drive.google.com/file/d/1tMx31bKb3fD1lvZlEgWnn-nYzZTx84nl/view?usp=sharing" TargetMode="External"/><Relationship Id="rId49" Type="http://schemas.openxmlformats.org/officeDocument/2006/relationships/hyperlink" Target="https://drive.google.com/file/d/1-9fdM3hoEPRrkFOCsrSIs5BHaLMs8bLT/view?usp=sharing" TargetMode="External"/><Relationship Id="rId114" Type="http://schemas.openxmlformats.org/officeDocument/2006/relationships/hyperlink" Target="https://drive.google.com/file/d/1WdqLsgKN6_PES8oY3T9f4Rhoe4q1aWbu/view?usp=share_link" TargetMode="External"/><Relationship Id="rId119" Type="http://schemas.openxmlformats.org/officeDocument/2006/relationships/hyperlink" Target="https://drive.google.com/file/d/1rEa_hB33FS-suRvK2qJc1aIYWeiOx1__/view?usp=share_link" TargetMode="External"/><Relationship Id="rId44" Type="http://schemas.openxmlformats.org/officeDocument/2006/relationships/hyperlink" Target="https://drive.google.com/file/d/12Jogu9_A0-ZolaubeIm0vbLSTxlPIwEi/view?usp=sharing" TargetMode="External"/><Relationship Id="rId60" Type="http://schemas.openxmlformats.org/officeDocument/2006/relationships/hyperlink" Target="https://drive.google.com/file/d/1sUwVvZparXQjJmLA45okLptLspX6NNOS/view?usp=sharing" TargetMode="External"/><Relationship Id="rId65" Type="http://schemas.openxmlformats.org/officeDocument/2006/relationships/hyperlink" Target="https://drive.google.com/file/d/18Yitcyp4GBpQ34G8-T1JXSZn3F7TISaE/view?usp=sharing" TargetMode="External"/><Relationship Id="rId81" Type="http://schemas.openxmlformats.org/officeDocument/2006/relationships/hyperlink" Target="https://drive.google.com/file/d/1dJqPkMaUVCEnlI9_qf593phhGAPIgrw1/view?usp=share_link" TargetMode="External"/><Relationship Id="rId86" Type="http://schemas.openxmlformats.org/officeDocument/2006/relationships/hyperlink" Target="https://drive.google.com/file/d/1kMV31Pzz1wNURmEFLawoXgmFv0MC9hqZ/view?usp=share_link" TargetMode="External"/><Relationship Id="rId130" Type="http://schemas.openxmlformats.org/officeDocument/2006/relationships/hyperlink" Target="https://drive.google.com/file/d/1y_fpei09YkJQI_R_s3p4s1fI9l2QSAIN/view?usp=share_link" TargetMode="External"/><Relationship Id="rId135" Type="http://schemas.openxmlformats.org/officeDocument/2006/relationships/hyperlink" Target="https://drive.google.com/file/d/1TZ9AcuE3FIZuKDmkck1zu0NSIQus_Kbr/view?usp=sharing" TargetMode="External"/><Relationship Id="rId13" Type="http://schemas.openxmlformats.org/officeDocument/2006/relationships/hyperlink" Target="https://drive.google.com/file/d/1Pwu_6sjrwjy-usl-7ztpMhUoWo3Qvg-5/view?usp=sharing" TargetMode="External"/><Relationship Id="rId18" Type="http://schemas.openxmlformats.org/officeDocument/2006/relationships/hyperlink" Target="https://drive.google.com/file/d/13BOthejt69Sawwp35XwCebo83vnBNGhP/view?usp=sharing" TargetMode="External"/><Relationship Id="rId39" Type="http://schemas.openxmlformats.org/officeDocument/2006/relationships/hyperlink" Target="https://drive.google.com/file/d/1FU-RQ-B_rjxl3oxHFfySZ1H5AQLyOx-d/view?usp=sharing" TargetMode="External"/><Relationship Id="rId109" Type="http://schemas.openxmlformats.org/officeDocument/2006/relationships/hyperlink" Target="https://drive.google.com/file/d/10j_Lxm0-RTC_QazWDOesEX_LhEHDO5FF/view?usp=share_link" TargetMode="External"/><Relationship Id="rId34" Type="http://schemas.openxmlformats.org/officeDocument/2006/relationships/hyperlink" Target="https://drive.google.com/file/d/1CrwPQ62SkfEOp2YtXU1d7gjUCBOMyMih/view?usp=sharing" TargetMode="External"/><Relationship Id="rId50" Type="http://schemas.openxmlformats.org/officeDocument/2006/relationships/hyperlink" Target="https://drive.google.com/file/d/1j4fFAG5yBXZ5mJYphYJB5phigkRRMNVq/view?usp=sharing" TargetMode="External"/><Relationship Id="rId55" Type="http://schemas.openxmlformats.org/officeDocument/2006/relationships/hyperlink" Target="https://drive.google.com/file/d/1u0WuIB10Zs5T-ThRV-0YbqCTtokGkSeO/view?usp=sharing" TargetMode="External"/><Relationship Id="rId76" Type="http://schemas.openxmlformats.org/officeDocument/2006/relationships/hyperlink" Target="https://drive.google.com/file/d/1o5JAGv2Qo85kbfJwcIfxlAnfQusArz2E/view?usp=sharing" TargetMode="External"/><Relationship Id="rId97" Type="http://schemas.openxmlformats.org/officeDocument/2006/relationships/hyperlink" Target="https://drive.google.com/file/d/1ZWCkedkOZDQMFItERjUL_BgxsPHJT-oD/view?usp=share_link" TargetMode="External"/><Relationship Id="rId104" Type="http://schemas.openxmlformats.org/officeDocument/2006/relationships/hyperlink" Target="https://drive.google.com/file/d/1PtE91vwKCYq1Q3av0DjSkZZPVrayP4l5/view?usp=share_link" TargetMode="External"/><Relationship Id="rId120" Type="http://schemas.openxmlformats.org/officeDocument/2006/relationships/hyperlink" Target="https://drive.google.com/file/d/1rEa_hB33FS-suRvK2qJc1aIYWeiOx1__/view?usp=share_link" TargetMode="External"/><Relationship Id="rId125" Type="http://schemas.openxmlformats.org/officeDocument/2006/relationships/hyperlink" Target="https://drive.google.com/file/d/1ApVHLj03t49muUqWT8qVdmyyy1c7geRk/view?usp=share_link" TargetMode="External"/><Relationship Id="rId141" Type="http://schemas.openxmlformats.org/officeDocument/2006/relationships/hyperlink" Target="https://drive.google.com/file/d/1_9sHQrc0vtaRpruDOfztx29Szimj9-bc/view?usp=drive_link" TargetMode="External"/><Relationship Id="rId146" Type="http://schemas.openxmlformats.org/officeDocument/2006/relationships/hyperlink" Target="https://drive.google.com/file/d/1mVyNCDMfrlLmR67dwrt3sX9dP1pVtP2K/view?usp=drive_link" TargetMode="External"/><Relationship Id="rId7" Type="http://schemas.openxmlformats.org/officeDocument/2006/relationships/hyperlink" Target="https://drive.google.com/file/d/1Nt6ygGMGmGCIAXaZRxG9xug7pBlIDyYa/view?usp=sharing" TargetMode="External"/><Relationship Id="rId71" Type="http://schemas.openxmlformats.org/officeDocument/2006/relationships/hyperlink" Target="https://drive.google.com/file/d/1ekCACP5QXiQguwRJgFf5rmoJRc-yiUkZ/view?usp=sharing" TargetMode="External"/><Relationship Id="rId92" Type="http://schemas.openxmlformats.org/officeDocument/2006/relationships/hyperlink" Target="https://drive.google.com/file/d/1uh51ngbcHHMQHUErzNlidIELd3gcxKDN/view?usp=share_link" TargetMode="External"/><Relationship Id="rId2" Type="http://schemas.openxmlformats.org/officeDocument/2006/relationships/hyperlink" Target="https://drive.google.com/file/d/1tMx31bKb3fD1lvZlEgWnn-nYzZTx84nl/view?usp=sharing" TargetMode="External"/><Relationship Id="rId29" Type="http://schemas.openxmlformats.org/officeDocument/2006/relationships/hyperlink" Target="https://drive.google.com/file/d/1eOzehJidpquZhRly7WZJl8sKNRFI1Onj/view?usp=sharing" TargetMode="External"/><Relationship Id="rId24" Type="http://schemas.openxmlformats.org/officeDocument/2006/relationships/hyperlink" Target="https://drive.google.com/file/d/1wZVwlz6JHrqwxvbFc1iSD4ZjLIaM275J/view?usp=sharing" TargetMode="External"/><Relationship Id="rId40" Type="http://schemas.openxmlformats.org/officeDocument/2006/relationships/hyperlink" Target="https://drive.google.com/file/d/19NTQ6R93ON87BFOkW9AhNarMrrg2sNNY/view?usp=sharing" TargetMode="External"/><Relationship Id="rId45" Type="http://schemas.openxmlformats.org/officeDocument/2006/relationships/hyperlink" Target="https://drive.google.com/file/d/1hTxMJVrTt4XkjQt81q89L6pJ6sd3y452/view?usp=sharing" TargetMode="External"/><Relationship Id="rId66" Type="http://schemas.openxmlformats.org/officeDocument/2006/relationships/hyperlink" Target="https://drive.google.com/file/d/1oqeycA84WArWxOqvlQGMWz_e-dfikjWa/view?usp=sharing" TargetMode="External"/><Relationship Id="rId87" Type="http://schemas.openxmlformats.org/officeDocument/2006/relationships/hyperlink" Target="https://drive.google.com/file/d/1Pc8gNQVRPye0ghAi1VTaDD2EFDo7xusb/view?usp=share_link" TargetMode="External"/><Relationship Id="rId110" Type="http://schemas.openxmlformats.org/officeDocument/2006/relationships/hyperlink" Target="https://drive.google.com/file/d/1fzUgN9SfHm0jcIO3ZUWVXog-i0VUbj6F/view?usp=sharing" TargetMode="External"/><Relationship Id="rId115" Type="http://schemas.openxmlformats.org/officeDocument/2006/relationships/hyperlink" Target="https://drive.google.com/file/d/1WdqLsgKN6_PES8oY3T9f4Rhoe4q1aWbu/view?usp=share_link" TargetMode="External"/><Relationship Id="rId131" Type="http://schemas.openxmlformats.org/officeDocument/2006/relationships/hyperlink" Target="https://drive.google.com/file/d/19fkH2zH0E4I-zrodSsvTUMq5SMcc6yBy/view?usp=share_link" TargetMode="External"/><Relationship Id="rId136" Type="http://schemas.openxmlformats.org/officeDocument/2006/relationships/hyperlink" Target="https://drive.google.com/file/d/1ScuUXDCsZN8yssY4JWYr5jcj6wLmgEuD/view?usp=sharing" TargetMode="External"/><Relationship Id="rId61" Type="http://schemas.openxmlformats.org/officeDocument/2006/relationships/hyperlink" Target="https://drive.google.com/file/d/1Mz2BdCLwdCWNAe1etrjW5HrfLE51i_1Z/view?usp=sharing" TargetMode="External"/><Relationship Id="rId82" Type="http://schemas.openxmlformats.org/officeDocument/2006/relationships/hyperlink" Target="https://drive.google.com/file/d/1jZi_C8rx_A0Pk3Ujte1FXIAH3-EnGoG5/view?usp=share_link" TargetMode="External"/><Relationship Id="rId19" Type="http://schemas.openxmlformats.org/officeDocument/2006/relationships/hyperlink" Target="https://drive.google.com/file/d/1craCRJ-Toxd8tQ1N9wSRBxB_D7g0klhY/view?usp=sharing" TargetMode="External"/><Relationship Id="rId14" Type="http://schemas.openxmlformats.org/officeDocument/2006/relationships/hyperlink" Target="https://drive.google.com/file/d/1CD4Loys3GSVmnylAScXyZCsE1616kdt9/view?usp=sharing" TargetMode="External"/><Relationship Id="rId30" Type="http://schemas.openxmlformats.org/officeDocument/2006/relationships/hyperlink" Target="https://drive.google.com/file/d/1eOzehJidpquZhRly7WZJl8sKNRFI1Onj/view?usp=sharing" TargetMode="External"/><Relationship Id="rId35" Type="http://schemas.openxmlformats.org/officeDocument/2006/relationships/hyperlink" Target="https://drive.google.com/file/d/1TiRIRD7ydq4yBp4joVctIsxe_iyoBYtk/view?usp=sharing" TargetMode="External"/><Relationship Id="rId56" Type="http://schemas.openxmlformats.org/officeDocument/2006/relationships/hyperlink" Target="https://drive.google.com/file/d/16JjhVwWtZgSUEYcwhTTCNdZ6Vp0POoO0/view?usp=sharing" TargetMode="External"/><Relationship Id="rId77" Type="http://schemas.openxmlformats.org/officeDocument/2006/relationships/hyperlink" Target="https://drive.google.com/file/d/1oYYQ_nRtTUTYHVxV2DxkxSyOEjr_itUj/view?usp=sharing" TargetMode="External"/><Relationship Id="rId100" Type="http://schemas.openxmlformats.org/officeDocument/2006/relationships/hyperlink" Target="https://drive.google.com/file/d/1-OEA2sqFImHZtI89Z4Sa1e_e3RLqVTXT/view?usp=share_link" TargetMode="External"/><Relationship Id="rId105" Type="http://schemas.openxmlformats.org/officeDocument/2006/relationships/hyperlink" Target="https://drive.google.com/file/d/1435snUTiZnMK-N-5UhaRhqyof8RVIDT-/view?usp=share_link" TargetMode="External"/><Relationship Id="rId126" Type="http://schemas.openxmlformats.org/officeDocument/2006/relationships/hyperlink" Target="https://drive.google.com/file/d/1WudkE2jFzd1b400SfBntOUcENAzta6GQ/view?usp=share_link" TargetMode="External"/><Relationship Id="rId147" Type="http://schemas.openxmlformats.org/officeDocument/2006/relationships/hyperlink" Target="https://drive.google.com/file/d/1DXe0GNCsHqNb4sP8Ic2y_jOm6-4xk0DX/view?usp=share_link" TargetMode="External"/><Relationship Id="rId8" Type="http://schemas.openxmlformats.org/officeDocument/2006/relationships/hyperlink" Target="https://drive.google.com/file/d/1jLEf3PKSI3MsN2GXsj-r2p7UWernVbg0/view?usp=sharing" TargetMode="External"/><Relationship Id="rId51" Type="http://schemas.openxmlformats.org/officeDocument/2006/relationships/hyperlink" Target="https://drive.google.com/file/d/17IFZ7PBNnIfOADbG-1uoPwX5lO8JSd8U/view?usp=sharing" TargetMode="External"/><Relationship Id="rId72" Type="http://schemas.openxmlformats.org/officeDocument/2006/relationships/hyperlink" Target="https://drive.google.com/file/d/1ir_5Wp1fsS24LOs_6kiGPpLgcyjRy70T/view?usp=sharing" TargetMode="External"/><Relationship Id="rId93" Type="http://schemas.openxmlformats.org/officeDocument/2006/relationships/hyperlink" Target="https://drive.google.com/file/d/1y-mFgQgIB0pWqG52f-8SaMmLV9n4I7KY/view?usp=share_link" TargetMode="External"/><Relationship Id="rId98" Type="http://schemas.openxmlformats.org/officeDocument/2006/relationships/hyperlink" Target="https://drive.google.com/file/d/1o50OfexDYzinoMOSmiKkare8qkMxkgh9/view?usp=share_link" TargetMode="External"/><Relationship Id="rId121" Type="http://schemas.openxmlformats.org/officeDocument/2006/relationships/hyperlink" Target="https://drive.google.com/file/d/1DXe0GNCsHqNb4sP8Ic2y_jOm6-4xk0DX/view?usp=share_link" TargetMode="External"/><Relationship Id="rId142" Type="http://schemas.openxmlformats.org/officeDocument/2006/relationships/hyperlink" Target="https://drive.google.com/file/d/1brrk6cDIS4tqOYaRU3OnpqjyQgrzlfMV/view?usp=drive_link" TargetMode="External"/><Relationship Id="rId3" Type="http://schemas.openxmlformats.org/officeDocument/2006/relationships/hyperlink" Target="https://drive.google.com/file/d/1slc5X4akxlcf4UO_Mj4y6vsMuxAc0ka2/view?usp=sharing" TargetMode="External"/><Relationship Id="rId25" Type="http://schemas.openxmlformats.org/officeDocument/2006/relationships/hyperlink" Target="https://drive.google.com/file/d/1Oym3Y8f7ifU941Owh36tEYnGO-uF6XJR/view?usp=sharing" TargetMode="External"/><Relationship Id="rId46" Type="http://schemas.openxmlformats.org/officeDocument/2006/relationships/hyperlink" Target="https://drive.google.com/file/d/1K6yPr0sS4ZS3CUn6C5crONzOLag5t8r2/view?usp=sharing" TargetMode="External"/><Relationship Id="rId67" Type="http://schemas.openxmlformats.org/officeDocument/2006/relationships/hyperlink" Target="https://drive.google.com/file/d/1xFquQXjC_NBhLitKK9AjGvq5qz6ZtCag/view?usp=sharing" TargetMode="External"/><Relationship Id="rId116" Type="http://schemas.openxmlformats.org/officeDocument/2006/relationships/hyperlink" Target="https://drive.google.com/file/d/1QoP8ktg-RniuejgIfB5bbPCecn7coMXh/view?usp=share_link" TargetMode="External"/><Relationship Id="rId137" Type="http://schemas.openxmlformats.org/officeDocument/2006/relationships/hyperlink" Target="https://drive.google.com/file/d/1fd3xV7QnyLBb6vAIKyuQsLYEDt5E-6ac/view?usp=sharing" TargetMode="External"/><Relationship Id="rId20" Type="http://schemas.openxmlformats.org/officeDocument/2006/relationships/hyperlink" Target="https://drive.google.com/file/d/1BeeUEZ_-cODiemHYOat6LMohARSmSOtW/view?usp=sharing" TargetMode="External"/><Relationship Id="rId41" Type="http://schemas.openxmlformats.org/officeDocument/2006/relationships/hyperlink" Target="https://drive.google.com/file/d/1nb0PQ8DNDhHSy2PWs33Fk1h-JRqsKXZZ/view?usp=sharing" TargetMode="External"/><Relationship Id="rId62" Type="http://schemas.openxmlformats.org/officeDocument/2006/relationships/hyperlink" Target="https://drive.google.com/file/d/1WLJ-kJbd5IH4Bw5elij_0UVd6267RaAg/view?usp=sharing" TargetMode="External"/><Relationship Id="rId83" Type="http://schemas.openxmlformats.org/officeDocument/2006/relationships/hyperlink" Target="https://drive.google.com/file/d/1q6pIIxqLSFmR-RkhvtexMcxScbBpNbNA/view?usp=share_link" TargetMode="External"/><Relationship Id="rId88" Type="http://schemas.openxmlformats.org/officeDocument/2006/relationships/hyperlink" Target="https://drive.google.com/file/d/1iJm1LMEknATnOA2fhyXJOJC8A7-yoA_z/view?usp=share_link" TargetMode="External"/><Relationship Id="rId111" Type="http://schemas.openxmlformats.org/officeDocument/2006/relationships/hyperlink" Target="https://drive.google.com/file/d/1sf4pdy8FC_2KID7ody5W1KX6QoJFZYqX/view?usp=share_link" TargetMode="External"/><Relationship Id="rId132" Type="http://schemas.openxmlformats.org/officeDocument/2006/relationships/hyperlink" Target="https://drive.google.com/file/d/15qdQJygc0669e4OMWogAfmD2EF-xxBNe/view?usp=sharing" TargetMode="External"/><Relationship Id="rId15" Type="http://schemas.openxmlformats.org/officeDocument/2006/relationships/hyperlink" Target="https://drive.google.com/file/d/1YX4xQhaY65LYnkBSlEGc3Ed1FWzzyj5_/view?usp=sharing" TargetMode="External"/><Relationship Id="rId36" Type="http://schemas.openxmlformats.org/officeDocument/2006/relationships/hyperlink" Target="https://drive.google.com/file/d/1CgqF4dz73iPrsiGITLQSnrz71OGYVvjO/view?usp=sharing" TargetMode="External"/><Relationship Id="rId57" Type="http://schemas.openxmlformats.org/officeDocument/2006/relationships/hyperlink" Target="https://drive.google.com/file/d/1mWVrmGo9ApUjh3nBanBJQ09Rto9AXZKb/view?usp=sharing" TargetMode="External"/><Relationship Id="rId106" Type="http://schemas.openxmlformats.org/officeDocument/2006/relationships/hyperlink" Target="https://drive.google.com/file/d/1435snUTiZnMK-N-5UhaRhqyof8RVIDT-/view?usp=share_link" TargetMode="External"/><Relationship Id="rId127" Type="http://schemas.openxmlformats.org/officeDocument/2006/relationships/hyperlink" Target="https://drive.google.com/file/d/1eksgt3NykCxJDbYe6ggnRjAlqt5JbBi1/view?usp=share_link" TargetMode="External"/><Relationship Id="rId10" Type="http://schemas.openxmlformats.org/officeDocument/2006/relationships/hyperlink" Target="https://drive.google.com/file/d/1tGXxsCt2YhzzB90yYat0abd9-jPyshZu/view?usp=sharing" TargetMode="External"/><Relationship Id="rId31" Type="http://schemas.openxmlformats.org/officeDocument/2006/relationships/hyperlink" Target="https://drive.google.com/file/d/1tY1T2iVpiC7-ksuEI0dftybbmOyoYfJh/view?usp=sharing" TargetMode="External"/><Relationship Id="rId52" Type="http://schemas.openxmlformats.org/officeDocument/2006/relationships/hyperlink" Target="https://drive.google.com/file/d/19pOhOdiuef-fTW3Hk_VmGUP8fZ9h8hNj/view?usp=sharing" TargetMode="External"/><Relationship Id="rId73" Type="http://schemas.openxmlformats.org/officeDocument/2006/relationships/hyperlink" Target="https://drive.google.com/file/d/1keKswTO5xrBNE6w9MCePo0soK59jlvtV/view?usp=sharing" TargetMode="External"/><Relationship Id="rId78" Type="http://schemas.openxmlformats.org/officeDocument/2006/relationships/hyperlink" Target="https://drive.google.com/file/d/15IzzocwAPd91WtAQLyOKw1k_OgXeD34t/view?usp=sharing" TargetMode="External"/><Relationship Id="rId94" Type="http://schemas.openxmlformats.org/officeDocument/2006/relationships/hyperlink" Target="https://drive.google.com/file/d/1y-mFgQgIB0pWqG52f-8SaMmLV9n4I7KY/view?usp=share_link" TargetMode="External"/><Relationship Id="rId99" Type="http://schemas.openxmlformats.org/officeDocument/2006/relationships/hyperlink" Target="https://drive.google.com/file/d/1BRvyWdB0v23N2sXP-3Y9pk0YExBWIfSN/view?usp=share_link" TargetMode="External"/><Relationship Id="rId101" Type="http://schemas.openxmlformats.org/officeDocument/2006/relationships/hyperlink" Target="https://drive.google.com/file/d/1o7pyzMIoEzAP8Vv6-OnbERd-oALKViZL/view?usp=share_link" TargetMode="External"/><Relationship Id="rId122" Type="http://schemas.openxmlformats.org/officeDocument/2006/relationships/hyperlink" Target="https://drive.google.com/file/d/1DXe0GNCsHqNb4sP8Ic2y_jOm6-4xk0DX/view?usp=share_link" TargetMode="External"/><Relationship Id="rId143" Type="http://schemas.openxmlformats.org/officeDocument/2006/relationships/hyperlink" Target="https://drive.google.com/file/d/1kacodKRDFBid6K1MDroJUTWsmuQXL_rG/view?usp=drive_link" TargetMode="External"/><Relationship Id="rId148" Type="http://schemas.openxmlformats.org/officeDocument/2006/relationships/printerSettings" Target="../printerSettings/printerSettings5.bin"/><Relationship Id="rId4" Type="http://schemas.openxmlformats.org/officeDocument/2006/relationships/hyperlink" Target="https://drive.google.com/file/d/1OmW1MuEkYCMnoqKbMMhLtmqnZ_Vav9Bq/view?usp=sharing" TargetMode="External"/><Relationship Id="rId9" Type="http://schemas.openxmlformats.org/officeDocument/2006/relationships/hyperlink" Target="https://drive.google.com/file/d/1tY1T2iVpiC7-ksuEI0dftybbmOyoYfJh/view?usp=sharing" TargetMode="External"/><Relationship Id="rId26" Type="http://schemas.openxmlformats.org/officeDocument/2006/relationships/hyperlink" Target="https://drive.google.com/file/d/1gZwZVpZFF8TiBhxl2kYIz6P1qnzwaDWB/view?usp=sharing" TargetMode="External"/><Relationship Id="rId47" Type="http://schemas.openxmlformats.org/officeDocument/2006/relationships/hyperlink" Target="https://drive.google.com/file/d/1rb5VOSfekwTX4ub_xRuc4FoW7K0bsHM2/view?usp=sharing" TargetMode="External"/><Relationship Id="rId68" Type="http://schemas.openxmlformats.org/officeDocument/2006/relationships/hyperlink" Target="https://drive.google.com/file/d/1IuGuGEjjGvDiuBjBt8gZ_Elvt_nxiQCQ/view?usp=sharing" TargetMode="External"/><Relationship Id="rId89" Type="http://schemas.openxmlformats.org/officeDocument/2006/relationships/hyperlink" Target="https://drive.google.com/file/d/1ZDmbx7UtnCdD1jkfAobdwc_TguHnYbzj/view?usp=share_link" TargetMode="External"/><Relationship Id="rId112" Type="http://schemas.openxmlformats.org/officeDocument/2006/relationships/hyperlink" Target="https://drive.google.com/file/d/17g23DZ9NrbLjgG6iBwGVBd8t6huxe05K/view?usp=share_link" TargetMode="External"/><Relationship Id="rId133" Type="http://schemas.openxmlformats.org/officeDocument/2006/relationships/hyperlink" Target="https://drive.google.com/file/d/156NvD9eO7MAGI-AlKLVFbqp45sjUmgQK/view?usp=sharing" TargetMode="External"/><Relationship Id="rId16" Type="http://schemas.openxmlformats.org/officeDocument/2006/relationships/hyperlink" Target="https://drive.google.com/file/d/1fQBnsor6Dgc3uPv0c2nPdIt-SXHytzcF/view?usp=sharing" TargetMode="External"/><Relationship Id="rId37" Type="http://schemas.openxmlformats.org/officeDocument/2006/relationships/hyperlink" Target="https://drive.google.com/file/d/1Pw-5A-D9rvYj0x0op0ynMZNv2K_4d70Q/view?usp=sharing" TargetMode="External"/><Relationship Id="rId58" Type="http://schemas.openxmlformats.org/officeDocument/2006/relationships/hyperlink" Target="https://drive.google.com/file/d/1AvWcVkFYt5EEBSsbxVANNJa5FTH-UNxy/view?usp=sharing" TargetMode="External"/><Relationship Id="rId79" Type="http://schemas.openxmlformats.org/officeDocument/2006/relationships/hyperlink" Target="https://drive.google.com/file/d/1VOmbHePyUFwe_XTrsf67j5Nxb5H2LfPn/view?usp=sharing" TargetMode="External"/><Relationship Id="rId102" Type="http://schemas.openxmlformats.org/officeDocument/2006/relationships/hyperlink" Target="https://drive.google.com/file/d/1o7pyzMIoEzAP8Vv6-OnbERd-oALKViZL/view?usp=share_link" TargetMode="External"/><Relationship Id="rId123" Type="http://schemas.openxmlformats.org/officeDocument/2006/relationships/hyperlink" Target="https://drive.google.com/file/d/10NObmpdT1TKPtN8I9E0GpxQTrZJmQWxC/view?usp=share_link" TargetMode="External"/><Relationship Id="rId144" Type="http://schemas.openxmlformats.org/officeDocument/2006/relationships/hyperlink" Target="https://drive.google.com/file/d/1WWW1LWMh_4I3HlWF5d9CZRritN-6bR7A/view?usp=sharing" TargetMode="External"/><Relationship Id="rId90" Type="http://schemas.openxmlformats.org/officeDocument/2006/relationships/hyperlink" Target="https://drive.google.com/file/d/1ZDmbx7UtnCdD1jkfAobdwc_TguHnYbzj/view?usp=share_link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6NvD9eO7MAGI-AlKLVFbqp45sjUmgQK/view?usp=sharing" TargetMode="External"/><Relationship Id="rId21" Type="http://schemas.openxmlformats.org/officeDocument/2006/relationships/hyperlink" Target="https://drive.google.com/file/d/1F9BB_ulUvRdK927pKVCysTNE6T9xSADn/view?usp=sharing" TargetMode="External"/><Relationship Id="rId42" Type="http://schemas.openxmlformats.org/officeDocument/2006/relationships/hyperlink" Target="https://drive.google.com/file/d/19pOhOdiuef-fTW3Hk_VmGUP8fZ9h8hNj/view?usp=sharing" TargetMode="External"/><Relationship Id="rId63" Type="http://schemas.openxmlformats.org/officeDocument/2006/relationships/hyperlink" Target="https://drive.google.com/file/d/1ir_5Wp1fsS24LOs_6kiGPpLgcyjRy70T/view?usp=sharing" TargetMode="External"/><Relationship Id="rId84" Type="http://schemas.openxmlformats.org/officeDocument/2006/relationships/hyperlink" Target="https://drive.google.com/file/d/1Xj-_WWQVoWSVyuU_zy2wxCgrwvlE-6iL/view?usp=share_link" TargetMode="External"/><Relationship Id="rId16" Type="http://schemas.openxmlformats.org/officeDocument/2006/relationships/hyperlink" Target="https://drive.google.com/file/d/1KXMvxkQ0pqszMaZbPj2gOrECpb4mezFc/view?usp=sharing" TargetMode="External"/><Relationship Id="rId107" Type="http://schemas.openxmlformats.org/officeDocument/2006/relationships/hyperlink" Target="https://drive.google.com/file/d/1riApICTBhbHbAisvtaNO_7z8OA7OLpfq/view?usp=share_link" TargetMode="External"/><Relationship Id="rId11" Type="http://schemas.openxmlformats.org/officeDocument/2006/relationships/hyperlink" Target="https://drive.google.com/file/d/1hTxMJVrTt4XkjQt81q89L6pJ6sd3y452/view?usp=sharing" TargetMode="External"/><Relationship Id="rId32" Type="http://schemas.openxmlformats.org/officeDocument/2006/relationships/hyperlink" Target="https://drive.google.com/file/d/15shTmMMCHsFj0gpX7mM8iPHVo5BAvnKC/view?usp=sharing" TargetMode="External"/><Relationship Id="rId37" Type="http://schemas.openxmlformats.org/officeDocument/2006/relationships/hyperlink" Target="https://drive.google.com/file/d/1TiRIRD7ydq4yBp4joVctIsxe_iyoBYtk/view?usp=sharing" TargetMode="External"/><Relationship Id="rId53" Type="http://schemas.openxmlformats.org/officeDocument/2006/relationships/hyperlink" Target="https://drive.google.com/file/d/1sUwVvZparXQjJmLA45okLptLspX6NNOS/view?usp=sharing" TargetMode="External"/><Relationship Id="rId58" Type="http://schemas.openxmlformats.org/officeDocument/2006/relationships/hyperlink" Target="https://drive.google.com/file/d/1NdQaEo5nsJfBlPyNqalT7be5vQbF-B0X/view?usp=sharing" TargetMode="External"/><Relationship Id="rId74" Type="http://schemas.openxmlformats.org/officeDocument/2006/relationships/hyperlink" Target="https://drive.google.com/file/d/1435snUTiZnMK-N-5UhaRhqyof8RVIDT-/view?usp=share_link" TargetMode="External"/><Relationship Id="rId79" Type="http://schemas.openxmlformats.org/officeDocument/2006/relationships/hyperlink" Target="https://drive.google.com/file/d/15xIq6_Oj4P3R7jIxEtZ-r-Nw3wmb-V51/view?usp=share_link" TargetMode="External"/><Relationship Id="rId102" Type="http://schemas.openxmlformats.org/officeDocument/2006/relationships/hyperlink" Target="https://drive.google.com/file/d/12iFJwEFLR7dAHgPNjp-niBGoLpZUSubv/view?usp=share_link" TargetMode="External"/><Relationship Id="rId123" Type="http://schemas.openxmlformats.org/officeDocument/2006/relationships/hyperlink" Target="https://drive.google.com/file/d/1OdK7lOfkyWIWSpJT6VptkuYBPGbbEpwZ/view?usp=sharing" TargetMode="External"/><Relationship Id="rId128" Type="http://schemas.openxmlformats.org/officeDocument/2006/relationships/hyperlink" Target="https://drive.google.com/file/d/1ytm8zptVQEqCiVwwxmSDJ-vgred4Ec0i/view?usp=drive_link" TargetMode="External"/><Relationship Id="rId5" Type="http://schemas.openxmlformats.org/officeDocument/2006/relationships/hyperlink" Target="https://drive.google.com/file/d/1eOzehJidpquZhRly7WZJl8sKNRFI1Onj/view?usp=sharing" TargetMode="External"/><Relationship Id="rId90" Type="http://schemas.openxmlformats.org/officeDocument/2006/relationships/hyperlink" Target="https://drive.google.com/file/d/1Okj27wUROPIrewGUL3RoY8wJOkk2XNcb/view?usp=sharing" TargetMode="External"/><Relationship Id="rId95" Type="http://schemas.openxmlformats.org/officeDocument/2006/relationships/hyperlink" Target="https://drive.google.com/file/d/1CLi9ZF6973A9Xmxh27eLBnFglCr0ibOX/view?usp=share_link" TargetMode="External"/><Relationship Id="rId22" Type="http://schemas.openxmlformats.org/officeDocument/2006/relationships/hyperlink" Target="https://drive.google.com/file/d/1sxmDbb8B9hiWOG-EpMmdMC30O3JpzgB4/view?usp=sharing" TargetMode="External"/><Relationship Id="rId27" Type="http://schemas.openxmlformats.org/officeDocument/2006/relationships/hyperlink" Target="https://drive.google.com/file/d/1zwNcoE_wgLW0n5YjRnv2FjhGz_7OgTrt/view?usp=sharing" TargetMode="External"/><Relationship Id="rId43" Type="http://schemas.openxmlformats.org/officeDocument/2006/relationships/hyperlink" Target="https://drive.google.com/file/d/1D3lQP1V7sckbgBk7N5Qf7jQX7CEADIuP/view?usp=sharing" TargetMode="External"/><Relationship Id="rId48" Type="http://schemas.openxmlformats.org/officeDocument/2006/relationships/hyperlink" Target="https://drive.google.com/file/d/1Ph9ZDRhGgJxO3nhCFCg0PD2r1cKp_sS9/view?usp=sharing" TargetMode="External"/><Relationship Id="rId64" Type="http://schemas.openxmlformats.org/officeDocument/2006/relationships/hyperlink" Target="https://drive.google.com/file/d/19ymHUsC4yk-B0Re5hkBuJzTkAXPmd6iI/view?usp=sharing" TargetMode="External"/><Relationship Id="rId69" Type="http://schemas.openxmlformats.org/officeDocument/2006/relationships/hyperlink" Target="https://drive.google.com/file/d/15IzzocwAPd91WtAQLyOKw1k_OgXeD34t/view?usp=sharing" TargetMode="External"/><Relationship Id="rId113" Type="http://schemas.openxmlformats.org/officeDocument/2006/relationships/hyperlink" Target="https://drive.google.com/file/d/1ez9BA_mNJmbaNIC6Hejkhb9wZ1l-cgWV/view?usp=share_link" TargetMode="External"/><Relationship Id="rId118" Type="http://schemas.openxmlformats.org/officeDocument/2006/relationships/hyperlink" Target="https://drive.google.com/file/d/1Xat_L2QVWm7-mPX_-RsS8aMEtG-GZphP/view?usp=sharing" TargetMode="External"/><Relationship Id="rId134" Type="http://schemas.openxmlformats.org/officeDocument/2006/relationships/printerSettings" Target="../printerSettings/printerSettings6.bin"/><Relationship Id="rId80" Type="http://schemas.openxmlformats.org/officeDocument/2006/relationships/hyperlink" Target="https://drive.google.com/file/d/1LiY_Z5EPR7KsQOZYwcMjop5r2PSZPqmK/view?usp=share_link" TargetMode="External"/><Relationship Id="rId85" Type="http://schemas.openxmlformats.org/officeDocument/2006/relationships/hyperlink" Target="https://drive.google.com/file/d/1UM0BUstL9EF7twoqayUzkj6WmLNbQkR6/view?usp=share_link" TargetMode="External"/><Relationship Id="rId12" Type="http://schemas.openxmlformats.org/officeDocument/2006/relationships/hyperlink" Target="https://drive.google.com/file/d/1nb0PQ8DNDhHSy2PWs33Fk1h-JRqsKXZZ/view?usp=sharing" TargetMode="External"/><Relationship Id="rId17" Type="http://schemas.openxmlformats.org/officeDocument/2006/relationships/hyperlink" Target="https://drive.google.com/file/d/1WaV1U5nq-4Jyt7en_ZkJKMFc5PwalWwA/view?usp=sharing" TargetMode="External"/><Relationship Id="rId33" Type="http://schemas.openxmlformats.org/officeDocument/2006/relationships/hyperlink" Target="https://drive.google.com/file/d/18nMeWqsqHpnnBATVBYmk82a3kvnGJg0x/view?usp=sharing" TargetMode="External"/><Relationship Id="rId38" Type="http://schemas.openxmlformats.org/officeDocument/2006/relationships/hyperlink" Target="https://drive.google.com/file/d/1CgqF4dz73iPrsiGITLQSnrz71OGYVvjO/view?usp=sharing" TargetMode="External"/><Relationship Id="rId59" Type="http://schemas.openxmlformats.org/officeDocument/2006/relationships/hyperlink" Target="https://drive.google.com/file/d/1rdKjtuQeFOfR6eB_jk3GDznLf6SUHgrY/view?usp=sharing" TargetMode="External"/><Relationship Id="rId103" Type="http://schemas.openxmlformats.org/officeDocument/2006/relationships/hyperlink" Target="https://drive.google.com/file/d/1aUXIZaMLe6msZEu-wK2Vvrtlsp4wUYuw/view?usp=share_link" TargetMode="External"/><Relationship Id="rId108" Type="http://schemas.openxmlformats.org/officeDocument/2006/relationships/hyperlink" Target="https://drive.google.com/file/d/19KnB_QSKxX2cQwtH28A_N-3X_AaBXnR4/view?usp=share_link" TargetMode="External"/><Relationship Id="rId124" Type="http://schemas.openxmlformats.org/officeDocument/2006/relationships/hyperlink" Target="https://drive.google.com/file/d/1kAPfbzEw8O4bneir04wyX1TWdRtMuZWm/view?usp=drive_link" TargetMode="External"/><Relationship Id="rId129" Type="http://schemas.openxmlformats.org/officeDocument/2006/relationships/hyperlink" Target="https://drive.google.com/file/d/1WWW1LWMh_4I3HlWF5d9CZRritN-6bR7A/view?usp=sharing" TargetMode="External"/><Relationship Id="rId54" Type="http://schemas.openxmlformats.org/officeDocument/2006/relationships/hyperlink" Target="https://drive.google.com/file/d/1Mz2BdCLwdCWNAe1etrjW5HrfLE51i_1Z/view?usp=sharing" TargetMode="External"/><Relationship Id="rId70" Type="http://schemas.openxmlformats.org/officeDocument/2006/relationships/hyperlink" Target="https://drive.google.com/file/d/15DWrzAxzfgzE0cYZCUtD0FSVz2gIPDiq/view?usp=sharing" TargetMode="External"/><Relationship Id="rId75" Type="http://schemas.openxmlformats.org/officeDocument/2006/relationships/hyperlink" Target="https://drive.google.com/file/d/1Gu630uRi-Ux1b1EB2jEa2brjCEWwBTD2/view?usp=share_link" TargetMode="External"/><Relationship Id="rId91" Type="http://schemas.openxmlformats.org/officeDocument/2006/relationships/hyperlink" Target="https://drive.google.com/file/d/1AO30cXlYtlso8d6To5JEQ79pihssZlK9/view?usp=share_link" TargetMode="External"/><Relationship Id="rId96" Type="http://schemas.openxmlformats.org/officeDocument/2006/relationships/hyperlink" Target="https://drive.google.com/file/d/1CnoxtioXTVO6MAh82CJQBBZ8_ntjFLMJ/view?usp=share_link" TargetMode="External"/><Relationship Id="rId1" Type="http://schemas.openxmlformats.org/officeDocument/2006/relationships/hyperlink" Target="https://drive.google.com/file/d/1bCt-bTkCuTB5KJ6JVsiy2JDJQve-XHXi/view?usp=sharing" TargetMode="External"/><Relationship Id="rId6" Type="http://schemas.openxmlformats.org/officeDocument/2006/relationships/hyperlink" Target="https://drive.google.com/file/d/19NTQ6R93ON87BFOkW9AhNarMrrg2sNNY/view?usp=sharing" TargetMode="External"/><Relationship Id="rId23" Type="http://schemas.openxmlformats.org/officeDocument/2006/relationships/hyperlink" Target="https://drive.google.com/file/d/1gJBr_2JG1-N-6Kp6VjZQ8jURSaX8DXFY/view?usp=sharing" TargetMode="External"/><Relationship Id="rId28" Type="http://schemas.openxmlformats.org/officeDocument/2006/relationships/hyperlink" Target="https://drive.google.com/file/d/1h7S6fFzABswc4OvCn3Yds9CrvEeu3LzV/view?usp=sharing" TargetMode="External"/><Relationship Id="rId49" Type="http://schemas.openxmlformats.org/officeDocument/2006/relationships/hyperlink" Target="https://drive.google.com/file/d/13xI2NNYs3fsFGcyMmk9tecYCJ-lh3kGw/view?usp=sharing" TargetMode="External"/><Relationship Id="rId114" Type="http://schemas.openxmlformats.org/officeDocument/2006/relationships/hyperlink" Target="https://drive.google.com/file/d/1qSDU84uDexeaJlj6dRf24nEOaPt8k2ng/view?usp=share_link" TargetMode="External"/><Relationship Id="rId119" Type="http://schemas.openxmlformats.org/officeDocument/2006/relationships/hyperlink" Target="https://drive.google.com/file/d/1TZ9AcuE3FIZuKDmkck1zu0NSIQus_Kbr/view?usp=sharing" TargetMode="External"/><Relationship Id="rId44" Type="http://schemas.openxmlformats.org/officeDocument/2006/relationships/hyperlink" Target="https://drive.google.com/file/d/1JhQNLDRTlTQFVfzFDIqP-f1AZWd-N_R8/view?usp=sharing" TargetMode="External"/><Relationship Id="rId60" Type="http://schemas.openxmlformats.org/officeDocument/2006/relationships/hyperlink" Target="https://drive.google.com/file/d/1PTIgd8cWbSYuw_v5SlCW2beVSF0ycuAJ/view?usp=sharing" TargetMode="External"/><Relationship Id="rId65" Type="http://schemas.openxmlformats.org/officeDocument/2006/relationships/hyperlink" Target="https://drive.google.com/file/d/1keKswTO5xrBNE6w9MCePo0soK59jlvtV/view?usp=sharing" TargetMode="External"/><Relationship Id="rId81" Type="http://schemas.openxmlformats.org/officeDocument/2006/relationships/hyperlink" Target="https://drive.google.com/file/d/1BFE26nHEj-tBDTUVp2U7LBm-j4WRVf_i/view?usp=share_link" TargetMode="External"/><Relationship Id="rId86" Type="http://schemas.openxmlformats.org/officeDocument/2006/relationships/hyperlink" Target="https://drive.google.com/file/d/15W_7_BpgMH7jHfZVLu56nXL4iDznsswS/view?usp=share_link" TargetMode="External"/><Relationship Id="rId130" Type="http://schemas.openxmlformats.org/officeDocument/2006/relationships/hyperlink" Target="https://drive.google.com/file/d/1BOZiFxZIsex6whOyo8ZIgktlblQRa_wo/view?usp=share_link" TargetMode="External"/><Relationship Id="rId135" Type="http://schemas.openxmlformats.org/officeDocument/2006/relationships/vmlDrawing" Target="../drawings/vmlDrawing8.vml"/><Relationship Id="rId13" Type="http://schemas.openxmlformats.org/officeDocument/2006/relationships/hyperlink" Target="https://drive.google.com/file/d/1CrwPQ62SkfEOp2YtXU1d7gjUCBOMyMih/view?usp=sharing" TargetMode="External"/><Relationship Id="rId18" Type="http://schemas.openxmlformats.org/officeDocument/2006/relationships/hyperlink" Target="https://drive.google.com/file/d/1kHbo6vjUBYxATuc2gASJGfMwvAZEQ2cm/view?usp=sharing" TargetMode="External"/><Relationship Id="rId39" Type="http://schemas.openxmlformats.org/officeDocument/2006/relationships/hyperlink" Target="https://drive.google.com/file/d/1Pw-5A-D9rvYj0x0op0ynMZNv2K_4d70Q/view?usp=sharing" TargetMode="External"/><Relationship Id="rId109" Type="http://schemas.openxmlformats.org/officeDocument/2006/relationships/hyperlink" Target="https://drive.google.com/file/d/1GNMKPnpQGXbGn6T2r8A5NLxxIPVSnOn4/view?usp=share_link" TargetMode="External"/><Relationship Id="rId34" Type="http://schemas.openxmlformats.org/officeDocument/2006/relationships/hyperlink" Target="https://drive.google.com/file/d/1Xy0667kDTaT6E2wK0OdvqF0steo_xRmK/view?usp=sharing" TargetMode="External"/><Relationship Id="rId50" Type="http://schemas.openxmlformats.org/officeDocument/2006/relationships/hyperlink" Target="https://drive.google.com/file/d/1h4g4NneAITRX8jG9nQ_Fg8Z4C58JQ1dq/view?usp=sharing" TargetMode="External"/><Relationship Id="rId55" Type="http://schemas.openxmlformats.org/officeDocument/2006/relationships/hyperlink" Target="https://drive.google.com/file/d/1RQvDFIJHPTYqxIzoODYtgamlfLQ9veRi/view?usp=sharing" TargetMode="External"/><Relationship Id="rId76" Type="http://schemas.openxmlformats.org/officeDocument/2006/relationships/hyperlink" Target="https://drive.google.com/file/d/1Bsfw-jbM7wMdIYxnIiFnmnChXTItKcdd/view?usp=share_link" TargetMode="External"/><Relationship Id="rId97" Type="http://schemas.openxmlformats.org/officeDocument/2006/relationships/hyperlink" Target="https://drive.google.com/file/d/1Pg-4yLrv0VVF2jYBQIVoDO4wFsU0d7zR/view?usp=share_link" TargetMode="External"/><Relationship Id="rId104" Type="http://schemas.openxmlformats.org/officeDocument/2006/relationships/hyperlink" Target="https://drive.google.com/file/d/1GB5jTUHK7tS--6XdZKVmcNZfuXMjRaL-/view?usp=share_link" TargetMode="External"/><Relationship Id="rId120" Type="http://schemas.openxmlformats.org/officeDocument/2006/relationships/hyperlink" Target="https://drive.google.com/file/d/1ScuUXDCsZN8yssY4JWYr5jcj6wLmgEuD/view?usp=sharing" TargetMode="External"/><Relationship Id="rId125" Type="http://schemas.openxmlformats.org/officeDocument/2006/relationships/hyperlink" Target="https://drive.google.com/file/d/1mia6cA_yOITK4ZC0bhvRnoUB_MV9ufU6/view?usp=drive_link" TargetMode="External"/><Relationship Id="rId7" Type="http://schemas.openxmlformats.org/officeDocument/2006/relationships/hyperlink" Target="https://drive.google.com/file/d/1xCQKwxSLW8yFBaNkZA59194YA0kSxIUR/view?usp=sharing" TargetMode="External"/><Relationship Id="rId71" Type="http://schemas.openxmlformats.org/officeDocument/2006/relationships/hyperlink" Target="https://drive.google.com/file/d/1gxwDRdncp1mOFX4lUuoPI9X7fEd-gAPm/view?usp=sharing" TargetMode="External"/><Relationship Id="rId92" Type="http://schemas.openxmlformats.org/officeDocument/2006/relationships/hyperlink" Target="https://drive.google.com/file/d/1gQw1rO_nhr7IiY907q_To6jimhKU3-17/view?usp=share_link" TargetMode="External"/><Relationship Id="rId2" Type="http://schemas.openxmlformats.org/officeDocument/2006/relationships/hyperlink" Target="https://drive.google.com/file/d/1pnB162Y997jIiGCZ9Azw171-y4cHJdCn/view?usp=sharing" TargetMode="External"/><Relationship Id="rId29" Type="http://schemas.openxmlformats.org/officeDocument/2006/relationships/hyperlink" Target="https://drive.google.com/file/d/1hJ5srj8aNmAy0l_BifkRZgM8bqvqkuF3/view?usp=sharing" TargetMode="External"/><Relationship Id="rId24" Type="http://schemas.openxmlformats.org/officeDocument/2006/relationships/hyperlink" Target="https://drive.google.com/file/d/1PMqIDHILFsKEyPtMZ_hp6-hDTuv5b2ir/view?usp=sharing" TargetMode="External"/><Relationship Id="rId40" Type="http://schemas.openxmlformats.org/officeDocument/2006/relationships/hyperlink" Target="https://drive.google.com/file/d/1j4fFAG5yBXZ5mJYphYJB5phigkRRMNVq/view?usp=sharing" TargetMode="External"/><Relationship Id="rId45" Type="http://schemas.openxmlformats.org/officeDocument/2006/relationships/hyperlink" Target="https://drive.google.com/file/d/1u0WuIB10Zs5T-ThRV-0YbqCTtokGkSeO/view?usp=sharing" TargetMode="External"/><Relationship Id="rId66" Type="http://schemas.openxmlformats.org/officeDocument/2006/relationships/hyperlink" Target="https://drive.google.com/file/d/1keKswTO5xrBNE6w9MCePo0soK59jlvtV/view?usp=sharing" TargetMode="External"/><Relationship Id="rId87" Type="http://schemas.openxmlformats.org/officeDocument/2006/relationships/hyperlink" Target="https://drive.google.com/file/d/15W_7_BpgMH7jHfZVLu56nXL4iDznsswS/view?usp=share_link" TargetMode="External"/><Relationship Id="rId110" Type="http://schemas.openxmlformats.org/officeDocument/2006/relationships/hyperlink" Target="https://drive.google.com/file/d/1ApVHLj03t49muUqWT8qVdmyyy1c7geRk/view?usp=share_link" TargetMode="External"/><Relationship Id="rId115" Type="http://schemas.openxmlformats.org/officeDocument/2006/relationships/hyperlink" Target="https://drive.google.com/file/d/1j22bbRUW67zucyHmw7GE0qowqKc-7NhA/view?usp=share_link" TargetMode="External"/><Relationship Id="rId131" Type="http://schemas.openxmlformats.org/officeDocument/2006/relationships/hyperlink" Target="https://drive.google.com/file/d/1mVyNCDMfrlLmR67dwrt3sX9dP1pVtP2K/view?usp=drive_link" TargetMode="External"/><Relationship Id="rId136" Type="http://schemas.openxmlformats.org/officeDocument/2006/relationships/comments" Target="../comments8.xml"/><Relationship Id="rId61" Type="http://schemas.openxmlformats.org/officeDocument/2006/relationships/hyperlink" Target="https://drive.google.com/file/d/1j0yn0FbwUTaLnn6wwtFNfMiI91oiMmHF/view?usp=sharing" TargetMode="External"/><Relationship Id="rId82" Type="http://schemas.openxmlformats.org/officeDocument/2006/relationships/hyperlink" Target="https://drive.google.com/file/d/1gJnVXTt3N0wUlNYzWrPbFU-t4fbf2Qxa/view?usp=share_link" TargetMode="External"/><Relationship Id="rId19" Type="http://schemas.openxmlformats.org/officeDocument/2006/relationships/hyperlink" Target="https://drive.google.com/file/d/1yGSKcVmwABhpe8u4RMJUMizPW_jUXj6R/view?usp=sharing" TargetMode="External"/><Relationship Id="rId14" Type="http://schemas.openxmlformats.org/officeDocument/2006/relationships/hyperlink" Target="https://drive.google.com/file/d/12Jogu9_A0-ZolaubeIm0vbLSTxlPIwEi/view?usp=sharing" TargetMode="External"/><Relationship Id="rId30" Type="http://schemas.openxmlformats.org/officeDocument/2006/relationships/hyperlink" Target="https://drive.google.com/file/d/1SwPuAm394WQkiewFwiIfmwbUbJW9RFan/view?usp=sharing" TargetMode="External"/><Relationship Id="rId35" Type="http://schemas.openxmlformats.org/officeDocument/2006/relationships/hyperlink" Target="https://drive.google.com/file/d/13kbDNnNEe50IUnVH5WwHWbKqHTR8aOxZ/view?usp=sharing" TargetMode="External"/><Relationship Id="rId56" Type="http://schemas.openxmlformats.org/officeDocument/2006/relationships/hyperlink" Target="https://drive.google.com/file/d/1q6UedV113Ougo5Q9fXLuXIB0h2BRAU0Q/view?usp=sharing" TargetMode="External"/><Relationship Id="rId77" Type="http://schemas.openxmlformats.org/officeDocument/2006/relationships/hyperlink" Target="https://drive.google.com/file/d/1sj-aVuNZxvj3iZsYdfrgNZ09bSkOwtOT/view?usp=share_link" TargetMode="External"/><Relationship Id="rId100" Type="http://schemas.openxmlformats.org/officeDocument/2006/relationships/hyperlink" Target="https://drive.google.com/file/d/1wAMkY4GWUEX0g8XNzQTsJ3SXPDk7OSaK/view?usp=share_link" TargetMode="External"/><Relationship Id="rId105" Type="http://schemas.openxmlformats.org/officeDocument/2006/relationships/hyperlink" Target="https://drive.google.com/file/d/1EFHBd30DjLVDKYR9v_DNqyad2FsXI769/view?usp=share_link" TargetMode="External"/><Relationship Id="rId126" Type="http://schemas.openxmlformats.org/officeDocument/2006/relationships/hyperlink" Target="https://drive.google.com/file/d/1ils1PDxf1u52QRt0gVZ2iNGhLZehZ0qd/view?usp=sharing" TargetMode="External"/><Relationship Id="rId8" Type="http://schemas.openxmlformats.org/officeDocument/2006/relationships/hyperlink" Target="https://drive.google.com/file/d/1FU-RQ-B_rjxl3oxHFfySZ1H5AQLyOx-d/view?usp=sharing" TargetMode="External"/><Relationship Id="rId51" Type="http://schemas.openxmlformats.org/officeDocument/2006/relationships/hyperlink" Target="https://drive.google.com/file/d/1AvWcVkFYt5EEBSsbxVANNJa5FTH-UNxy/view?usp=sharing" TargetMode="External"/><Relationship Id="rId72" Type="http://schemas.openxmlformats.org/officeDocument/2006/relationships/hyperlink" Target="https://drive.google.com/file/d/1zhr3AuJ7cEG6ghT6kjY8LTZ1-3rKuI6B/view?usp=share_link" TargetMode="External"/><Relationship Id="rId93" Type="http://schemas.openxmlformats.org/officeDocument/2006/relationships/hyperlink" Target="https://drive.google.com/file/d/1SJk18Vh0Nmm9JNH-iwxx0j2VmurEGY5_/view?usp=share_link" TargetMode="External"/><Relationship Id="rId98" Type="http://schemas.openxmlformats.org/officeDocument/2006/relationships/hyperlink" Target="https://drive.google.com/file/d/1mr2v25sIJIlkhlozxU_1Mbpd6SYoUHaW/view?usp=share_link" TargetMode="External"/><Relationship Id="rId121" Type="http://schemas.openxmlformats.org/officeDocument/2006/relationships/hyperlink" Target="https://drive.google.com/file/d/1fd3xV7QnyLBb6vAIKyuQsLYEDt5E-6ac/view?usp=sharing" TargetMode="External"/><Relationship Id="rId3" Type="http://schemas.openxmlformats.org/officeDocument/2006/relationships/hyperlink" Target="https://drive.google.com/file/d/1-9fdM3hoEPRrkFOCsrSIs5BHaLMs8bLT/view?usp=sharing" TargetMode="External"/><Relationship Id="rId25" Type="http://schemas.openxmlformats.org/officeDocument/2006/relationships/hyperlink" Target="https://drive.google.com/file/d/1natSC2hHV1zZAhBpVqYxb4lIh-wzl-dl/view?usp=sharing" TargetMode="External"/><Relationship Id="rId46" Type="http://schemas.openxmlformats.org/officeDocument/2006/relationships/hyperlink" Target="https://drive.google.com/file/d/16JjhVwWtZgSUEYcwhTTCNdZ6Vp0POoO0/view?usp=sharing" TargetMode="External"/><Relationship Id="rId67" Type="http://schemas.openxmlformats.org/officeDocument/2006/relationships/hyperlink" Target="https://drive.google.com/file/d/1o5JAGv2Qo85kbfJwcIfxlAnfQusArz2E/view?usp=sharing" TargetMode="External"/><Relationship Id="rId116" Type="http://schemas.openxmlformats.org/officeDocument/2006/relationships/hyperlink" Target="https://drive.google.com/file/d/1W0rcveK4Gn4QNxSEKYTsEvSczRy458f7/view?usp=sharing" TargetMode="External"/><Relationship Id="rId20" Type="http://schemas.openxmlformats.org/officeDocument/2006/relationships/hyperlink" Target="https://drive.google.com/file/d/1GtzJxrtyKPEM8X1ZDIr9J47kvCJRe0XW/view?usp=sharing" TargetMode="External"/><Relationship Id="rId41" Type="http://schemas.openxmlformats.org/officeDocument/2006/relationships/hyperlink" Target="https://drive.google.com/file/d/17IFZ7PBNnIfOADbG-1uoPwX5lO8JSd8U/view?usp=sharing" TargetMode="External"/><Relationship Id="rId62" Type="http://schemas.openxmlformats.org/officeDocument/2006/relationships/hyperlink" Target="https://drive.google.com/file/d/1ekCACP5QXiQguwRJgFf5rmoJRc-yiUkZ/view?usp=sharing" TargetMode="External"/><Relationship Id="rId83" Type="http://schemas.openxmlformats.org/officeDocument/2006/relationships/hyperlink" Target="https://drive.google.com/file/d/1dxRGvwPps3UC_JwjxXVnm1dpkH69gpqL/view?usp=share_link" TargetMode="External"/><Relationship Id="rId88" Type="http://schemas.openxmlformats.org/officeDocument/2006/relationships/hyperlink" Target="https://drive.google.com/file/d/1kYWV9T_IqOxLd6GgSdtbc6NsImOMhrmB/view?usp=share_link" TargetMode="External"/><Relationship Id="rId111" Type="http://schemas.openxmlformats.org/officeDocument/2006/relationships/hyperlink" Target="https://drive.google.com/file/d/1WudkE2jFzd1b400SfBntOUcENAzta6GQ/view?usp=share_link" TargetMode="External"/><Relationship Id="rId132" Type="http://schemas.openxmlformats.org/officeDocument/2006/relationships/hyperlink" Target="https://drive.google.com/file/d/1LiY_Z5EPR7KsQOZYwcMjop5r2PSZPqmK/view?usp=share_link" TargetMode="External"/><Relationship Id="rId15" Type="http://schemas.openxmlformats.org/officeDocument/2006/relationships/hyperlink" Target="https://drive.google.com/file/d/1pDkU4l1zkT3aCaH-m-MQzu5gN6FMRSfW/view?usp=sharing" TargetMode="External"/><Relationship Id="rId36" Type="http://schemas.openxmlformats.org/officeDocument/2006/relationships/hyperlink" Target="https://drive.google.com/file/d/1SAH40E5moG9sxkOi1wKkRvlavEm-n70j/view?usp=sharing" TargetMode="External"/><Relationship Id="rId57" Type="http://schemas.openxmlformats.org/officeDocument/2006/relationships/hyperlink" Target="https://drive.google.com/file/d/1WLJ-kJbd5IH4Bw5elij_0UVd6267RaAg/view?usp=sharing" TargetMode="External"/><Relationship Id="rId106" Type="http://schemas.openxmlformats.org/officeDocument/2006/relationships/hyperlink" Target="https://drive.google.com/file/d/1riApICTBhbHbAisvtaNO_7z8OA7OLpfq/view?usp=share_link" TargetMode="External"/><Relationship Id="rId127" Type="http://schemas.openxmlformats.org/officeDocument/2006/relationships/hyperlink" Target="https://drive.google.com/file/d/1VBqU6eoT0gm6ENo40Kwo5kZlftcfp62v/view?usp=sharing" TargetMode="External"/><Relationship Id="rId10" Type="http://schemas.openxmlformats.org/officeDocument/2006/relationships/hyperlink" Target="https://drive.google.com/file/d/1K6yPr0sS4ZS3CUn6C5crONzOLag5t8r2/view?usp=sharing" TargetMode="External"/><Relationship Id="rId31" Type="http://schemas.openxmlformats.org/officeDocument/2006/relationships/hyperlink" Target="https://drive.google.com/file/d/1xAkiX_SXwv0X1dfQr1P0Y8Sho-qRFmea/view?usp=sharing" TargetMode="External"/><Relationship Id="rId52" Type="http://schemas.openxmlformats.org/officeDocument/2006/relationships/hyperlink" Target="https://drive.google.com/file/d/1FBKN265kM6S2dYpyCs0hP8Ev6cQljajo/view?usp=sharing" TargetMode="External"/><Relationship Id="rId73" Type="http://schemas.openxmlformats.org/officeDocument/2006/relationships/hyperlink" Target="https://drive.google.com/file/d/1435snUTiZnMK-N-5UhaRhqyof8RVIDT-/view?usp=share_link" TargetMode="External"/><Relationship Id="rId78" Type="http://schemas.openxmlformats.org/officeDocument/2006/relationships/hyperlink" Target="https://drive.google.com/file/d/1j8KlqKLmIhFCwB-skLBl9Y8uAmVQPZVg/view?usp=share_link" TargetMode="External"/><Relationship Id="rId94" Type="http://schemas.openxmlformats.org/officeDocument/2006/relationships/hyperlink" Target="https://drive.google.com/file/d/1ZZB3F-tYTeKuwQAd8w6h02Yan1tetVD1/view?usp=share_link" TargetMode="External"/><Relationship Id="rId99" Type="http://schemas.openxmlformats.org/officeDocument/2006/relationships/hyperlink" Target="https://drive.google.com/file/d/1nhvY91Siq3iRcDM8j6pyXr4iauxGZFcp/view?usp=share_link" TargetMode="External"/><Relationship Id="rId101" Type="http://schemas.openxmlformats.org/officeDocument/2006/relationships/hyperlink" Target="https://drive.google.com/file/d/1wAMkY4GWUEX0g8XNzQTsJ3SXPDk7OSaK/view?usp=share_link" TargetMode="External"/><Relationship Id="rId122" Type="http://schemas.openxmlformats.org/officeDocument/2006/relationships/hyperlink" Target="https://drive.google.com/file/d/1qZr6eHDVus4oOKzyv2riYXGTWbi2VKam/view?usp=sharing" TargetMode="External"/><Relationship Id="rId4" Type="http://schemas.openxmlformats.org/officeDocument/2006/relationships/hyperlink" Target="https://drive.google.com/file/d/1eOzehJidpquZhRly7WZJl8sKNRFI1Onj/view?usp=sharing" TargetMode="External"/><Relationship Id="rId9" Type="http://schemas.openxmlformats.org/officeDocument/2006/relationships/hyperlink" Target="https://drive.google.com/file/d/1rb5VOSfekwTX4ub_xRuc4FoW7K0bsHM2/view?usp=sharing" TargetMode="External"/><Relationship Id="rId26" Type="http://schemas.openxmlformats.org/officeDocument/2006/relationships/hyperlink" Target="https://drive.google.com/file/d/1IPt-BqiiRE7t6E3C0E8A31-4oTKSBq4H/view?usp=sharing" TargetMode="External"/><Relationship Id="rId47" Type="http://schemas.openxmlformats.org/officeDocument/2006/relationships/hyperlink" Target="https://drive.google.com/file/d/1mWVrmGo9ApUjh3nBanBJQ09Rto9AXZKb/view?usp=sharing" TargetMode="External"/><Relationship Id="rId68" Type="http://schemas.openxmlformats.org/officeDocument/2006/relationships/hyperlink" Target="https://drive.google.com/file/d/1o5JAGv2Qo85kbfJwcIfxlAnfQusArz2E/view?usp=sharing" TargetMode="External"/><Relationship Id="rId89" Type="http://schemas.openxmlformats.org/officeDocument/2006/relationships/hyperlink" Target="https://drive.google.com/file/d/1rYChYjO1id1Dl0N33C_ZJ-GAjoSLGKqH/view?usp=share_link" TargetMode="External"/><Relationship Id="rId112" Type="http://schemas.openxmlformats.org/officeDocument/2006/relationships/hyperlink" Target="https://drive.google.com/file/d/1eksgt3NykCxJDbYe6ggnRjAlqt5JbBi1/view?usp=share_link" TargetMode="External"/><Relationship Id="rId133" Type="http://schemas.openxmlformats.org/officeDocument/2006/relationships/hyperlink" Target="https://drive.google.com/file/d/1BFE26nHEj-tBDTUVp2U7LBm-j4WRVf_i/view?usp=share_link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fQR19nvLfg2Dhp7h0nOHsNtNnENg2khy/view?usp=sharing" TargetMode="External"/><Relationship Id="rId21" Type="http://schemas.openxmlformats.org/officeDocument/2006/relationships/hyperlink" Target="https://drive.google.com/file/d/1FBKN265kM6S2dYpyCs0hP8Ev6cQljajo/view?usp=sharing" TargetMode="External"/><Relationship Id="rId42" Type="http://schemas.openxmlformats.org/officeDocument/2006/relationships/hyperlink" Target="https://drive.google.com/file/d/1puJoii7agUY4opbhw1Y6GKIEhaG8iF0t/view?usp=sharing" TargetMode="External"/><Relationship Id="rId63" Type="http://schemas.openxmlformats.org/officeDocument/2006/relationships/hyperlink" Target="https://drive.google.com/file/d/18AQ4U8-nf9sIUl_LOGkleKCkyAdtiKSV/view?usp=sharing" TargetMode="External"/><Relationship Id="rId84" Type="http://schemas.openxmlformats.org/officeDocument/2006/relationships/hyperlink" Target="https://drive.google.com/file/d/1nzpBd6aPUuGlv8iczwmZf0eE21m3iJmD/view?usp=share_link" TargetMode="External"/><Relationship Id="rId138" Type="http://schemas.openxmlformats.org/officeDocument/2006/relationships/hyperlink" Target="https://drive.google.com/file/d/1mVyNCDMfrlLmR67dwrt3sX9dP1pVtP2K/view?usp=drive_link" TargetMode="External"/><Relationship Id="rId107" Type="http://schemas.openxmlformats.org/officeDocument/2006/relationships/hyperlink" Target="https://drive.google.com/file/d/1yvGOxijCf8ZQ4h3IcoCCAF8M9WVwI6vN/view?usp=share_link" TargetMode="External"/><Relationship Id="rId11" Type="http://schemas.openxmlformats.org/officeDocument/2006/relationships/hyperlink" Target="https://drive.google.com/file/d/19NTQ6R93ON87BFOkW9AhNarMrrg2sNNY/view?usp=sharing" TargetMode="External"/><Relationship Id="rId32" Type="http://schemas.openxmlformats.org/officeDocument/2006/relationships/hyperlink" Target="https://drive.google.com/file/d/1hQ6bVI-Yz4rhvJvJBkqh4pbhmTBBoPT2/view?usp=sharing" TargetMode="External"/><Relationship Id="rId53" Type="http://schemas.openxmlformats.org/officeDocument/2006/relationships/hyperlink" Target="https://drive.google.com/file/d/13nTMziR3EvYnKA--dSJ26BAF3Ir3-bYs/view?usp=sharing" TargetMode="External"/><Relationship Id="rId74" Type="http://schemas.openxmlformats.org/officeDocument/2006/relationships/hyperlink" Target="https://drive.google.com/file/d/1XGiTKK2Et0OiVPRR8AZwTMJmlhhJ1Zuv/view?usp=share_link" TargetMode="External"/><Relationship Id="rId128" Type="http://schemas.openxmlformats.org/officeDocument/2006/relationships/hyperlink" Target="https://drive.google.com/file/d/1NdQaEo5nsJfBlPyNqalT7be5vQbF-B0X/view?usp=sharing" TargetMode="External"/><Relationship Id="rId149" Type="http://schemas.openxmlformats.org/officeDocument/2006/relationships/printerSettings" Target="../printerSettings/printerSettings7.bin"/><Relationship Id="rId5" Type="http://schemas.openxmlformats.org/officeDocument/2006/relationships/hyperlink" Target="https://drive.google.com/file/d/1NhVFyxzJjrI_HojuPRfrs6vQfTw6u7YB/view?usp=sharing" TargetMode="External"/><Relationship Id="rId95" Type="http://schemas.openxmlformats.org/officeDocument/2006/relationships/hyperlink" Target="https://drive.google.com/file/d/12fulVRF0IizbmVp_a1GYcMMrCHgpfdx7/view?usp=share_link" TargetMode="External"/><Relationship Id="rId22" Type="http://schemas.openxmlformats.org/officeDocument/2006/relationships/hyperlink" Target="https://drive.google.com/file/d/1sUwVvZparXQjJmLA45okLptLspX6NNOS/view?usp=sharing" TargetMode="External"/><Relationship Id="rId27" Type="http://schemas.openxmlformats.org/officeDocument/2006/relationships/hyperlink" Target="https://drive.google.com/file/d/1iZjX2w7rCMSNfFoOA9lbYDiJnG5UzzIN/view?usp=sharing" TargetMode="External"/><Relationship Id="rId43" Type="http://schemas.openxmlformats.org/officeDocument/2006/relationships/hyperlink" Target="https://drive.google.com/file/d/1v9H7xLhoC1VrYV2fWUBU36frcXQhi4WT/view?usp=sharing" TargetMode="External"/><Relationship Id="rId48" Type="http://schemas.openxmlformats.org/officeDocument/2006/relationships/hyperlink" Target="https://drive.google.com/file/d/10zRRhA7ghk80wVp56GMAeiMvqG53kYbk/view?usp=sharing" TargetMode="External"/><Relationship Id="rId64" Type="http://schemas.openxmlformats.org/officeDocument/2006/relationships/hyperlink" Target="https://drive.google.com/file/d/1z6uiR_eKaHztEah2lEtqvQL5KpeyXSo2/view?usp=sharing" TargetMode="External"/><Relationship Id="rId69" Type="http://schemas.openxmlformats.org/officeDocument/2006/relationships/hyperlink" Target="https://drive.google.com/file/d/1N7yfhWFh-ln7I1D0doXxIhVaChQoBmEw/view?usp=share_link" TargetMode="External"/><Relationship Id="rId113" Type="http://schemas.openxmlformats.org/officeDocument/2006/relationships/hyperlink" Target="https://drive.google.com/file/d/1ez9BA_mNJmbaNIC6Hejkhb9wZ1l-cgWV/view?usp=share_link" TargetMode="External"/><Relationship Id="rId118" Type="http://schemas.openxmlformats.org/officeDocument/2006/relationships/hyperlink" Target="https://drive.google.com/file/d/1RbEH1LOUxzcNYN8rMnwo1GmFQob3uHYX/view?usp=sharing" TargetMode="External"/><Relationship Id="rId134" Type="http://schemas.openxmlformats.org/officeDocument/2006/relationships/hyperlink" Target="https://drive.google.com/file/d/1YSKVFmb8zc3C2lyTU76LXNuNHJ81ARbD/view?usp=sharing" TargetMode="External"/><Relationship Id="rId139" Type="http://schemas.openxmlformats.org/officeDocument/2006/relationships/hyperlink" Target="https://drive.google.com/file/d/16wwc73RD9ztlpmC7bKs-SaD30z0iXV7l/view?usp=drive_link" TargetMode="External"/><Relationship Id="rId80" Type="http://schemas.openxmlformats.org/officeDocument/2006/relationships/hyperlink" Target="https://drive.google.com/file/d/1USoyBQj36f56UCyRdtZw6cwi7D4650kN/view?usp=share_link" TargetMode="External"/><Relationship Id="rId85" Type="http://schemas.openxmlformats.org/officeDocument/2006/relationships/hyperlink" Target="https://drive.google.com/file/d/1oKYCTQSIhNe3bkPI_QKnc2yZQnUT25hx/view?usp=share_link" TargetMode="External"/><Relationship Id="rId150" Type="http://schemas.openxmlformats.org/officeDocument/2006/relationships/vmlDrawing" Target="../drawings/vmlDrawing9.vml"/><Relationship Id="rId12" Type="http://schemas.openxmlformats.org/officeDocument/2006/relationships/hyperlink" Target="https://drive.google.com/file/d/1FU-RQ-B_rjxl3oxHFfySZ1H5AQLyOx-d/view?usp=sharing" TargetMode="External"/><Relationship Id="rId17" Type="http://schemas.openxmlformats.org/officeDocument/2006/relationships/hyperlink" Target="https://drive.google.com/file/d/1hTxMJVrTt4XkjQt81q89L6pJ6sd3y452/view?usp=sharing" TargetMode="External"/><Relationship Id="rId33" Type="http://schemas.openxmlformats.org/officeDocument/2006/relationships/hyperlink" Target="https://drive.google.com/file/d/1j0yn0FbwUTaLnn6wwtFNfMiI91oiMmHF/view?usp=sharing" TargetMode="External"/><Relationship Id="rId38" Type="http://schemas.openxmlformats.org/officeDocument/2006/relationships/hyperlink" Target="https://drive.google.com/file/d/1o5JAGv2Qo85kbfJwcIfxlAnfQusArz2E/view?usp=sharing" TargetMode="External"/><Relationship Id="rId59" Type="http://schemas.openxmlformats.org/officeDocument/2006/relationships/hyperlink" Target="https://drive.google.com/file/d/1chU_FHEKTe5IRkYYviExRSB-wNuIm-32/view?usp=sharing" TargetMode="External"/><Relationship Id="rId103" Type="http://schemas.openxmlformats.org/officeDocument/2006/relationships/hyperlink" Target="https://drive.google.com/file/d/1WACpp8ZReW_Yo5OG5X6TMIoQjfd-w3eR/view?usp=share_link" TargetMode="External"/><Relationship Id="rId108" Type="http://schemas.openxmlformats.org/officeDocument/2006/relationships/hyperlink" Target="https://drive.google.com/file/d/1Fl5UZ3CCJK3jj-rJJJUTORu5Qwd-SHeh/view?usp=share_link" TargetMode="External"/><Relationship Id="rId124" Type="http://schemas.openxmlformats.org/officeDocument/2006/relationships/hyperlink" Target="https://drive.google.com/file/d/1TZ9AcuE3FIZuKDmkck1zu0NSIQus_Kbr/view?usp=sharing" TargetMode="External"/><Relationship Id="rId129" Type="http://schemas.openxmlformats.org/officeDocument/2006/relationships/hyperlink" Target="https://drive.google.com/file/d/1rdKjtuQeFOfR6eB_jk3GDznLf6SUHgrY/view?usp=sharing" TargetMode="External"/><Relationship Id="rId54" Type="http://schemas.openxmlformats.org/officeDocument/2006/relationships/hyperlink" Target="https://drive.google.com/file/d/12rMHFPPVrCpDBr4a6pfzfeYlotyrgDln/view?usp=sharing" TargetMode="External"/><Relationship Id="rId70" Type="http://schemas.openxmlformats.org/officeDocument/2006/relationships/hyperlink" Target="https://drive.google.com/file/d/1N7yfhWFh-ln7I1D0doXxIhVaChQoBmEw/view?usp=share_link" TargetMode="External"/><Relationship Id="rId75" Type="http://schemas.openxmlformats.org/officeDocument/2006/relationships/hyperlink" Target="https://drive.google.com/file/d/15mFRlVlD0z0sqAtr_zfv8SttKWFwUW86/view?usp=share_link" TargetMode="External"/><Relationship Id="rId91" Type="http://schemas.openxmlformats.org/officeDocument/2006/relationships/hyperlink" Target="https://drive.google.com/file/d/1K3i2prdmXn7BFcALqYnDgyO-L-CkeA3r/view?usp=share_link" TargetMode="External"/><Relationship Id="rId96" Type="http://schemas.openxmlformats.org/officeDocument/2006/relationships/hyperlink" Target="https://drive.google.com/file/d/1yYlW3p8E9r8CYyBC14rVQB4zVtScE17R/view?usp=share_link" TargetMode="External"/><Relationship Id="rId140" Type="http://schemas.openxmlformats.org/officeDocument/2006/relationships/hyperlink" Target="https://drive.google.com/file/d/19pOhOdiuef-fTW3Hk_VmGUP8fZ9h8hNj/view?usp=sharing" TargetMode="External"/><Relationship Id="rId145" Type="http://schemas.openxmlformats.org/officeDocument/2006/relationships/hyperlink" Target="https://drive.google.com/file/d/1TiRIRD7ydq4yBp4joVctIsxe_iyoBYtk/view?usp=sharing" TargetMode="External"/><Relationship Id="rId1" Type="http://schemas.openxmlformats.org/officeDocument/2006/relationships/hyperlink" Target="https://drive.google.com/file/d/1ExvrB0Jeur1JPp6_IqRWoCLoJLge3HPk/view?usp=sharing" TargetMode="External"/><Relationship Id="rId6" Type="http://schemas.openxmlformats.org/officeDocument/2006/relationships/hyperlink" Target="https://drive.google.com/file/d/13IJTsPumGNLdsQXxCxlvYddn4NDD_ART/view?usp=sharing" TargetMode="External"/><Relationship Id="rId23" Type="http://schemas.openxmlformats.org/officeDocument/2006/relationships/hyperlink" Target="https://drive.google.com/file/d/1Mz2BdCLwdCWNAe1etrjW5HrfLE51i_1Z/view?usp=sharing" TargetMode="External"/><Relationship Id="rId28" Type="http://schemas.openxmlformats.org/officeDocument/2006/relationships/hyperlink" Target="https://drive.google.com/file/d/1iZjX2w7rCMSNfFoOA9lbYDiJnG5UzzIN/view?usp=sharing" TargetMode="External"/><Relationship Id="rId49" Type="http://schemas.openxmlformats.org/officeDocument/2006/relationships/hyperlink" Target="https://drive.google.com/file/d/1ZQK-Eq__doFFyAIjhPqDB1kkGhPp-xUL/view?usp=sharing" TargetMode="External"/><Relationship Id="rId114" Type="http://schemas.openxmlformats.org/officeDocument/2006/relationships/hyperlink" Target="https://drive.google.com/file/d/12G6qe_NjA9FKOvqy_aSdGoie51lwx39E/view?usp=share_link" TargetMode="External"/><Relationship Id="rId119" Type="http://schemas.openxmlformats.org/officeDocument/2006/relationships/hyperlink" Target="https://drive.google.com/file/d/1eOOSyuFTZeFkMnpHnTiM6KjHCewyvZuX/view?usp=sharing" TargetMode="External"/><Relationship Id="rId44" Type="http://schemas.openxmlformats.org/officeDocument/2006/relationships/hyperlink" Target="https://drive.google.com/file/d/1Pe2L01WxLrpKDvMJPcJZQH06F32onylV/view?usp=sharing" TargetMode="External"/><Relationship Id="rId60" Type="http://schemas.openxmlformats.org/officeDocument/2006/relationships/hyperlink" Target="https://drive.google.com/file/d/127CVFk3U3p3qUK6yUbG5y2wGZO9X05u0/view?usp=sharing" TargetMode="External"/><Relationship Id="rId65" Type="http://schemas.openxmlformats.org/officeDocument/2006/relationships/hyperlink" Target="https://drive.google.com/file/d/1poSXJTvVcL9IpD4g4WHUmRcWL2gGDhm8/view?usp=share_link" TargetMode="External"/><Relationship Id="rId81" Type="http://schemas.openxmlformats.org/officeDocument/2006/relationships/hyperlink" Target="https://drive.google.com/file/d/1Us-erAbhYBTVFL7-EKJOJkr6RK40V7hq/view?usp=share_link" TargetMode="External"/><Relationship Id="rId86" Type="http://schemas.openxmlformats.org/officeDocument/2006/relationships/hyperlink" Target="https://drive.google.com/file/d/1Z-HLrnj07MXmWsdSgrDPomD7EKrA0zdi/view?usp=share_link" TargetMode="External"/><Relationship Id="rId130" Type="http://schemas.openxmlformats.org/officeDocument/2006/relationships/hyperlink" Target="https://drive.google.com/file/d/1435snUTiZnMK-N-5UhaRhqyof8RVIDT-/view?usp=share_link" TargetMode="External"/><Relationship Id="rId135" Type="http://schemas.openxmlformats.org/officeDocument/2006/relationships/hyperlink" Target="https://drive.google.com/file/d/1WRm4EN72kiFy9dQFFcrlgtgII-A6K1JK/view?usp=drive_link" TargetMode="External"/><Relationship Id="rId151" Type="http://schemas.openxmlformats.org/officeDocument/2006/relationships/comments" Target="../comments9.xml"/><Relationship Id="rId13" Type="http://schemas.openxmlformats.org/officeDocument/2006/relationships/hyperlink" Target="https://drive.google.com/file/d/1nb0PQ8DNDhHSy2PWs33Fk1h-JRqsKXZZ/view?usp=sharing" TargetMode="External"/><Relationship Id="rId18" Type="http://schemas.openxmlformats.org/officeDocument/2006/relationships/hyperlink" Target="https://drive.google.com/file/d/1K6yPr0sS4ZS3CUn6C5crONzOLag5t8r2/view?usp=sharing" TargetMode="External"/><Relationship Id="rId39" Type="http://schemas.openxmlformats.org/officeDocument/2006/relationships/hyperlink" Target="https://drive.google.com/file/d/1G1g_5WlcwKPpTaCpcpfI0MLSF_NGJfVZ/view?usp=sharing" TargetMode="External"/><Relationship Id="rId109" Type="http://schemas.openxmlformats.org/officeDocument/2006/relationships/hyperlink" Target="https://drive.google.com/file/d/1Fl5UZ3CCJK3jj-rJJJUTORu5Qwd-SHeh/view?usp=share_link" TargetMode="External"/><Relationship Id="rId34" Type="http://schemas.openxmlformats.org/officeDocument/2006/relationships/hyperlink" Target="https://drive.google.com/file/d/1ekCACP5QXiQguwRJgFf5rmoJRc-yiUkZ/view?usp=sharing" TargetMode="External"/><Relationship Id="rId50" Type="http://schemas.openxmlformats.org/officeDocument/2006/relationships/hyperlink" Target="https://drive.google.com/file/d/1Szvg4hnpuH6Q5l9kpEtigpLMNvQFVOO0/view?usp=sharing" TargetMode="External"/><Relationship Id="rId55" Type="http://schemas.openxmlformats.org/officeDocument/2006/relationships/hyperlink" Target="https://drive.google.com/file/d/1en4fuTpUPwvJlIo0flwF_diP3c-zLXw5/view?usp=sharing" TargetMode="External"/><Relationship Id="rId76" Type="http://schemas.openxmlformats.org/officeDocument/2006/relationships/hyperlink" Target="https://drive.google.com/file/d/1vF5tX2DDXQBbnF8gMEv9j_wIL8PjOuwd/view?usp=share_link" TargetMode="External"/><Relationship Id="rId97" Type="http://schemas.openxmlformats.org/officeDocument/2006/relationships/hyperlink" Target="https://drive.google.com/file/d/1V6rmf2arJq5WxfxYaCulrjVhvHqXY_K6/view?usp=share_link" TargetMode="External"/><Relationship Id="rId104" Type="http://schemas.openxmlformats.org/officeDocument/2006/relationships/hyperlink" Target="https://drive.google.com/file/d/1_KyMBAKfiVUDUxQDov_KGsyRkSOHlDS2/view?usp=share_link" TargetMode="External"/><Relationship Id="rId120" Type="http://schemas.openxmlformats.org/officeDocument/2006/relationships/hyperlink" Target="https://drive.google.com/file/d/12r94YcOWtmLyQWaJEosNaBSWNsjk7-fm/view?usp=sharing" TargetMode="External"/><Relationship Id="rId125" Type="http://schemas.openxmlformats.org/officeDocument/2006/relationships/hyperlink" Target="https://drive.google.com/file/d/1ScuUXDCsZN8yssY4JWYr5jcj6wLmgEuD/view?usp=sharing" TargetMode="External"/><Relationship Id="rId141" Type="http://schemas.openxmlformats.org/officeDocument/2006/relationships/hyperlink" Target="https://drive.google.com/file/d/1ir_5Wp1fsS24LOs_6kiGPpLgcyjRy70T/view?usp=sharing" TargetMode="External"/><Relationship Id="rId146" Type="http://schemas.openxmlformats.org/officeDocument/2006/relationships/hyperlink" Target="https://drive.google.com/file/d/1SAH40E5moG9sxkOi1wKkRvlavEm-n70j/view?usp=sharing" TargetMode="External"/><Relationship Id="rId7" Type="http://schemas.openxmlformats.org/officeDocument/2006/relationships/hyperlink" Target="https://drive.google.com/file/d/1eACyUlvqXIouxocE84K3JY18MIE8kpcG/view?usp=sharing" TargetMode="External"/><Relationship Id="rId71" Type="http://schemas.openxmlformats.org/officeDocument/2006/relationships/hyperlink" Target="https://drive.google.com/file/d/19rpxPGFMAKD41iCL4Tz_BRsFXP67lTzN/view?usp=share_link" TargetMode="External"/><Relationship Id="rId92" Type="http://schemas.openxmlformats.org/officeDocument/2006/relationships/hyperlink" Target="https://drive.google.com/file/d/1K3i2prdmXn7BFcALqYnDgyO-L-CkeA3r/view?usp=share_link" TargetMode="External"/><Relationship Id="rId2" Type="http://schemas.openxmlformats.org/officeDocument/2006/relationships/hyperlink" Target="https://drive.google.com/file/d/1iOUEIuIhAeOtpYJX0yMx6vXDFBVJ7A25/view?usp=sharing" TargetMode="External"/><Relationship Id="rId29" Type="http://schemas.openxmlformats.org/officeDocument/2006/relationships/hyperlink" Target="https://drive.google.com/file/d/1eOzehJidpquZhRly7WZJl8sKNRFI1Onj/view?usp=sharing" TargetMode="External"/><Relationship Id="rId24" Type="http://schemas.openxmlformats.org/officeDocument/2006/relationships/hyperlink" Target="https://drive.google.com/file/d/13g0_C09gZCpQezSBDtIH9UDhj1sw_nyl/view?usp=sharing" TargetMode="External"/><Relationship Id="rId40" Type="http://schemas.openxmlformats.org/officeDocument/2006/relationships/hyperlink" Target="https://drive.google.com/file/d/15IzzocwAPd91WtAQLyOKw1k_OgXeD34t/view?usp=sharing" TargetMode="External"/><Relationship Id="rId45" Type="http://schemas.openxmlformats.org/officeDocument/2006/relationships/hyperlink" Target="https://drive.google.com/file/d/1_H2kdVOVsgOJgy-YaQyzdsrYl6LgDCyl/view?usp=sharing" TargetMode="External"/><Relationship Id="rId66" Type="http://schemas.openxmlformats.org/officeDocument/2006/relationships/hyperlink" Target="https://drive.google.com/file/d/1YEV1HYNboDe6z24JsvnHnO7FqBGn1yCh/view?usp=share_link" TargetMode="External"/><Relationship Id="rId87" Type="http://schemas.openxmlformats.org/officeDocument/2006/relationships/hyperlink" Target="https://drive.google.com/file/d/1RZrmbNdWEfqONuobIY_6fWcTP1QgsLaW/view?usp=share_link" TargetMode="External"/><Relationship Id="rId110" Type="http://schemas.openxmlformats.org/officeDocument/2006/relationships/hyperlink" Target="https://drive.google.com/file/d/1ApVHLj03t49muUqWT8qVdmyyy1c7geRk/view?usp=share_link" TargetMode="External"/><Relationship Id="rId115" Type="http://schemas.openxmlformats.org/officeDocument/2006/relationships/hyperlink" Target="https://drive.google.com/file/d/1Q_QzDTOjLyYF_C6NeWFfxyJQNFp6GzE-/view?usp=share_link" TargetMode="External"/><Relationship Id="rId131" Type="http://schemas.openxmlformats.org/officeDocument/2006/relationships/hyperlink" Target="https://drive.google.com/file/d/1435snUTiZnMK-N-5UhaRhqyof8RVIDT-/view?usp=share_link" TargetMode="External"/><Relationship Id="rId136" Type="http://schemas.openxmlformats.org/officeDocument/2006/relationships/hyperlink" Target="https://drive.google.com/file/d/1WWW1LWMh_4I3HlWF5d9CZRritN-6bR7A/view?usp=sharing" TargetMode="External"/><Relationship Id="rId61" Type="http://schemas.openxmlformats.org/officeDocument/2006/relationships/hyperlink" Target="https://drive.google.com/file/d/1c71hAN0nSMIMngnyuSnoVI2q1omHq3vE/view?usp=sharing" TargetMode="External"/><Relationship Id="rId82" Type="http://schemas.openxmlformats.org/officeDocument/2006/relationships/hyperlink" Target="https://drive.google.com/file/d/1OgepZaldumxQK9RG5CoNsI-dhr6xaFyM/view?usp=share_link" TargetMode="External"/><Relationship Id="rId19" Type="http://schemas.openxmlformats.org/officeDocument/2006/relationships/hyperlink" Target="https://drive.google.com/file/d/1rb5VOSfekwTX4ub_xRuc4FoW7K0bsHM2/view?usp=sharing" TargetMode="External"/><Relationship Id="rId14" Type="http://schemas.openxmlformats.org/officeDocument/2006/relationships/hyperlink" Target="https://drive.google.com/file/d/1xCQKwxSLW8yFBaNkZA59194YA0kSxIUR/view?usp=sharing" TargetMode="External"/><Relationship Id="rId30" Type="http://schemas.openxmlformats.org/officeDocument/2006/relationships/hyperlink" Target="https://drive.google.com/file/d/1eOzehJidpquZhRly7WZJl8sKNRFI1Onj/view?usp=sharing" TargetMode="External"/><Relationship Id="rId35" Type="http://schemas.openxmlformats.org/officeDocument/2006/relationships/hyperlink" Target="https://drive.google.com/file/d/1keKswTO5xrBNE6w9MCePo0soK59jlvtV/view?usp=sharing" TargetMode="External"/><Relationship Id="rId56" Type="http://schemas.openxmlformats.org/officeDocument/2006/relationships/hyperlink" Target="https://drive.google.com/file/d/1TqW8GBeCsVi9qAPg4gY-WkQhdlnZo1NQ/view?usp=sharing" TargetMode="External"/><Relationship Id="rId77" Type="http://schemas.openxmlformats.org/officeDocument/2006/relationships/hyperlink" Target="https://drive.google.com/file/d/1hpdPr4Dw996vw69TGkQtn1G7m_XuH5um/view?usp=share_link" TargetMode="External"/><Relationship Id="rId100" Type="http://schemas.openxmlformats.org/officeDocument/2006/relationships/hyperlink" Target="https://drive.google.com/file/d/1XMWACz2lqsi0uIkujgZx22W-uEG8-kQ8/view?usp=share_link" TargetMode="External"/><Relationship Id="rId105" Type="http://schemas.openxmlformats.org/officeDocument/2006/relationships/hyperlink" Target="https://drive.google.com/file/d/1FNd9vz94WR8NF9rTC8vK73DLYX_D3RqZ/view?usp=share_link" TargetMode="External"/><Relationship Id="rId126" Type="http://schemas.openxmlformats.org/officeDocument/2006/relationships/hyperlink" Target="https://drive.google.com/file/d/1fd3xV7QnyLBb6vAIKyuQsLYEDt5E-6ac/view?usp=sharing" TargetMode="External"/><Relationship Id="rId147" Type="http://schemas.openxmlformats.org/officeDocument/2006/relationships/hyperlink" Target="https://drive.google.com/file/d/1Pw-5A-D9rvYj0x0op0ynMZNv2K_4d70Q/view?usp=sharing" TargetMode="External"/><Relationship Id="rId8" Type="http://schemas.openxmlformats.org/officeDocument/2006/relationships/hyperlink" Target="https://drive.google.com/file/d/1gu8AWtyB24MAXXMmeGnA7iXOo8byKa5j/view?usp=sharing" TargetMode="External"/><Relationship Id="rId51" Type="http://schemas.openxmlformats.org/officeDocument/2006/relationships/hyperlink" Target="https://drive.google.com/file/d/1Iicw9ADQKuLA5SumEKwZvrTe5RkuZsZX/view?usp=sharing" TargetMode="External"/><Relationship Id="rId72" Type="http://schemas.openxmlformats.org/officeDocument/2006/relationships/hyperlink" Target="https://drive.google.com/file/d/19rpxPGFMAKD41iCL4Tz_BRsFXP67lTzN/view?usp=share_link" TargetMode="External"/><Relationship Id="rId93" Type="http://schemas.openxmlformats.org/officeDocument/2006/relationships/hyperlink" Target="https://drive.google.com/file/d/1r2whtgOUl64ntAo0nMNZ6b2cZN6KgNxh/view?usp=share_link" TargetMode="External"/><Relationship Id="rId98" Type="http://schemas.openxmlformats.org/officeDocument/2006/relationships/hyperlink" Target="https://drive.google.com/file/d/1sfA7UmVoSu3pKGDTRcYomG9hKh8RIIsO/view?usp=share_link" TargetMode="External"/><Relationship Id="rId121" Type="http://schemas.openxmlformats.org/officeDocument/2006/relationships/hyperlink" Target="https://drive.google.com/file/d/1pnB162Y997jIiGCZ9Azw171-y4cHJdCn/view?usp=sharing" TargetMode="External"/><Relationship Id="rId142" Type="http://schemas.openxmlformats.org/officeDocument/2006/relationships/hyperlink" Target="https://drive.google.com/file/d/1zhr3AuJ7cEG6ghT6kjY8LTZ1-3rKuI6B/view?usp=share_link" TargetMode="External"/><Relationship Id="rId3" Type="http://schemas.openxmlformats.org/officeDocument/2006/relationships/hyperlink" Target="https://drive.google.com/file/d/1Yc64UatqSTlu17lRD27dD1PcjLnVZoL7/view?usp=sharing" TargetMode="External"/><Relationship Id="rId25" Type="http://schemas.openxmlformats.org/officeDocument/2006/relationships/hyperlink" Target="https://drive.google.com/file/d/1wyL6146qMmiE4RUT3-UKiHwZGIvu0puq/view?usp=sharing" TargetMode="External"/><Relationship Id="rId46" Type="http://schemas.openxmlformats.org/officeDocument/2006/relationships/hyperlink" Target="https://drive.google.com/file/d/1PMkUB3aG-dHBEQV3scERzKrASzQbXd38/view?usp=sharing" TargetMode="External"/><Relationship Id="rId67" Type="http://schemas.openxmlformats.org/officeDocument/2006/relationships/hyperlink" Target="https://drive.google.com/file/d/1r8dzMxW6Y-FJXJcSYwFFKn9QJAuO5U0q/view?usp=share_link" TargetMode="External"/><Relationship Id="rId116" Type="http://schemas.openxmlformats.org/officeDocument/2006/relationships/hyperlink" Target="https://drive.google.com/file/d/1AAx2wgsmGVMMI6lzxzfKjqArIxJbaT22/view?usp=share_link" TargetMode="External"/><Relationship Id="rId137" Type="http://schemas.openxmlformats.org/officeDocument/2006/relationships/hyperlink" Target="https://drive.google.com/file/d/1BOZiFxZIsex6whOyo8ZIgktlblQRa_wo/view?usp=share_link" TargetMode="External"/><Relationship Id="rId20" Type="http://schemas.openxmlformats.org/officeDocument/2006/relationships/hyperlink" Target="https://drive.google.com/file/d/1AvWcVkFYt5EEBSsbxVANNJa5FTH-UNxy/view?usp=sharing" TargetMode="External"/><Relationship Id="rId41" Type="http://schemas.openxmlformats.org/officeDocument/2006/relationships/hyperlink" Target="https://drive.google.com/file/d/1RwRCuLofVvdxiC7HAE-1JyKNOCDE4Evl/view?usp=sharing" TargetMode="External"/><Relationship Id="rId62" Type="http://schemas.openxmlformats.org/officeDocument/2006/relationships/hyperlink" Target="https://drive.google.com/file/d/1wQyU8_EWjCPwFCcB5sJKTsbnpOmcMKVP/view?usp=sharing" TargetMode="External"/><Relationship Id="rId83" Type="http://schemas.openxmlformats.org/officeDocument/2006/relationships/hyperlink" Target="https://drive.google.com/file/d/1Nje_jnzUuzvNktBpa9Lky7_fWahfXzNj/view?usp=share_link" TargetMode="External"/><Relationship Id="rId88" Type="http://schemas.openxmlformats.org/officeDocument/2006/relationships/hyperlink" Target="https://drive.google.com/file/d/1wEaJiN9KyOjELY-adJTOEYIQOH63EYsF/view?usp=share_link" TargetMode="External"/><Relationship Id="rId111" Type="http://schemas.openxmlformats.org/officeDocument/2006/relationships/hyperlink" Target="https://drive.google.com/file/d/1WudkE2jFzd1b400SfBntOUcENAzta6GQ/view?usp=share_link" TargetMode="External"/><Relationship Id="rId132" Type="http://schemas.openxmlformats.org/officeDocument/2006/relationships/hyperlink" Target="https://drive.google.com/file/d/1WTn-nNrzGqSrL-vJX2IropLkysstMgsu/view?usp=share_link" TargetMode="External"/><Relationship Id="rId15" Type="http://schemas.openxmlformats.org/officeDocument/2006/relationships/hyperlink" Target="https://drive.google.com/file/d/1pDkU4l1zkT3aCaH-m-MQzu5gN6FMRSfW/view?usp=sharing" TargetMode="External"/><Relationship Id="rId36" Type="http://schemas.openxmlformats.org/officeDocument/2006/relationships/hyperlink" Target="https://drive.google.com/file/d/1keKswTO5xrBNE6w9MCePo0soK59jlvtV/view?usp=sharing" TargetMode="External"/><Relationship Id="rId57" Type="http://schemas.openxmlformats.org/officeDocument/2006/relationships/hyperlink" Target="https://drive.google.com/file/d/1zkvPqc58HZTt3n3EaiNNg5NDJ1Yc1NKL/view?usp=sharing" TargetMode="External"/><Relationship Id="rId106" Type="http://schemas.openxmlformats.org/officeDocument/2006/relationships/hyperlink" Target="https://drive.google.com/file/d/1n8Ip-WRYcdiWy5Qj6utWX7MoNKrS5MAi/view?usp=share_link" TargetMode="External"/><Relationship Id="rId127" Type="http://schemas.openxmlformats.org/officeDocument/2006/relationships/hyperlink" Target="https://drive.google.com/file/d/1qZr6eHDVus4oOKzyv2riYXGTWbi2VKam/view?usp=sharing" TargetMode="External"/><Relationship Id="rId10" Type="http://schemas.openxmlformats.org/officeDocument/2006/relationships/hyperlink" Target="https://drive.google.com/file/d/1bCt-bTkCuTB5KJ6JVsiy2JDJQve-XHXi/view?usp=sharing" TargetMode="External"/><Relationship Id="rId31" Type="http://schemas.openxmlformats.org/officeDocument/2006/relationships/hyperlink" Target="https://drive.google.com/file/d/1WLJ-kJbd5IH4Bw5elij_0UVd6267RaAg/view?usp=sharing" TargetMode="External"/><Relationship Id="rId52" Type="http://schemas.openxmlformats.org/officeDocument/2006/relationships/hyperlink" Target="https://drive.google.com/file/d/1YEnLRaC7gpSXsODyxYhw4wQBMdcw0tjf/view?usp=sharing" TargetMode="External"/><Relationship Id="rId73" Type="http://schemas.openxmlformats.org/officeDocument/2006/relationships/hyperlink" Target="https://drive.google.com/file/d/1_c8C4uYdDS2R1zzUu-7AlFixZeukYJ2E/view?usp=share_link" TargetMode="External"/><Relationship Id="rId78" Type="http://schemas.openxmlformats.org/officeDocument/2006/relationships/hyperlink" Target="https://drive.google.com/file/d/1BJ7RXZUZTDkPC79-AOz9Orm5DRtwfqKB/view?usp=share_link" TargetMode="External"/><Relationship Id="rId94" Type="http://schemas.openxmlformats.org/officeDocument/2006/relationships/hyperlink" Target="https://drive.google.com/file/d/1MLaqfMa0BYws8WcEeucrnWqWasKbvNFL/view?usp=share_link" TargetMode="External"/><Relationship Id="rId99" Type="http://schemas.openxmlformats.org/officeDocument/2006/relationships/hyperlink" Target="https://drive.google.com/file/d/1_vxrYWznL0lhgtQ6ZDzTBEu9kYba4MRT/view?usp=share_link" TargetMode="External"/><Relationship Id="rId101" Type="http://schemas.openxmlformats.org/officeDocument/2006/relationships/hyperlink" Target="https://drive.google.com/file/d/1Uk5nTaIMgWlMXbFW7ZFdLaGbErPpEr1r/view?usp=share_link" TargetMode="External"/><Relationship Id="rId122" Type="http://schemas.openxmlformats.org/officeDocument/2006/relationships/hyperlink" Target="https://drive.google.com/file/d/156NvD9eO7MAGI-AlKLVFbqp45sjUmgQK/view?usp=sharing" TargetMode="External"/><Relationship Id="rId143" Type="http://schemas.openxmlformats.org/officeDocument/2006/relationships/hyperlink" Target="https://drive.google.com/file/d/1j4fFAG5yBXZ5mJYphYJB5phigkRRMNVq/view?usp=sharing" TargetMode="External"/><Relationship Id="rId148" Type="http://schemas.openxmlformats.org/officeDocument/2006/relationships/hyperlink" Target="https://drive.google.com/file/d/1SAH40E5moG9sxkOi1wKkRvlavEm-n70j/view?usp=sharing" TargetMode="External"/><Relationship Id="rId4" Type="http://schemas.openxmlformats.org/officeDocument/2006/relationships/hyperlink" Target="https://drive.google.com/file/d/102LMV24yn5wVYTDWPpLrfaNYYHpUrTSV/view?usp=sharing" TargetMode="External"/><Relationship Id="rId9" Type="http://schemas.openxmlformats.org/officeDocument/2006/relationships/hyperlink" Target="https://drive.google.com/file/d/1gu8AWtyB24MAXXMmeGnA7iXOo8byKa5j/view?usp=sharing" TargetMode="External"/><Relationship Id="rId26" Type="http://schemas.openxmlformats.org/officeDocument/2006/relationships/hyperlink" Target="https://drive.google.com/file/d/1wyL6146qMmiE4RUT3-UKiHwZGIvu0puq/view?usp=sharing" TargetMode="External"/><Relationship Id="rId47" Type="http://schemas.openxmlformats.org/officeDocument/2006/relationships/hyperlink" Target="https://drive.google.com/file/d/1o4g1EwoNJTp1GCtz35PJyW847NmkHvKb/view?usp=sharing" TargetMode="External"/><Relationship Id="rId68" Type="http://schemas.openxmlformats.org/officeDocument/2006/relationships/hyperlink" Target="https://drive.google.com/file/d/1_NnwKrP6L2X4vKtkYiNpbCEpvTRDudEW/view?usp=share_link" TargetMode="External"/><Relationship Id="rId89" Type="http://schemas.openxmlformats.org/officeDocument/2006/relationships/hyperlink" Target="https://drive.google.com/file/d/1gmNgt9hSekp5Fv6OnMrMHfp08jGiJRA2/view?usp=share_link" TargetMode="External"/><Relationship Id="rId112" Type="http://schemas.openxmlformats.org/officeDocument/2006/relationships/hyperlink" Target="https://drive.google.com/file/d/1eksgt3NykCxJDbYe6ggnRjAlqt5JbBi1/view?usp=share_link" TargetMode="External"/><Relationship Id="rId133" Type="http://schemas.openxmlformats.org/officeDocument/2006/relationships/hyperlink" Target="https://drive.google.com/file/d/1X6v7j4YswexchZK3hkE34bJM3WSKBdKJ/view?usp=share_link" TargetMode="External"/><Relationship Id="rId16" Type="http://schemas.openxmlformats.org/officeDocument/2006/relationships/hyperlink" Target="https://drive.google.com/file/d/12Jogu9_A0-ZolaubeIm0vbLSTxlPIwEi/view?usp=sharing" TargetMode="External"/><Relationship Id="rId37" Type="http://schemas.openxmlformats.org/officeDocument/2006/relationships/hyperlink" Target="https://drive.google.com/file/d/1o5JAGv2Qo85kbfJwcIfxlAnfQusArz2E/view?usp=sharing" TargetMode="External"/><Relationship Id="rId58" Type="http://schemas.openxmlformats.org/officeDocument/2006/relationships/hyperlink" Target="https://drive.google.com/file/d/1s74_nHru3I5kPA0McIvJ_-azbZvhceEm/view?usp=sharing" TargetMode="External"/><Relationship Id="rId79" Type="http://schemas.openxmlformats.org/officeDocument/2006/relationships/hyperlink" Target="https://drive.google.com/file/d/1CP47qBu66DrRlX7xnyRvWUV_ljP9bqCx/view?usp=share_link" TargetMode="External"/><Relationship Id="rId102" Type="http://schemas.openxmlformats.org/officeDocument/2006/relationships/hyperlink" Target="https://drive.google.com/file/d/1uJ3wHJBbhVGjR1tzY6s1Zu5s1tmmAsTd/view?usp=share_link" TargetMode="External"/><Relationship Id="rId123" Type="http://schemas.openxmlformats.org/officeDocument/2006/relationships/hyperlink" Target="https://drive.google.com/file/d/1B7EGsBQuqV-rUtk1F6wklKvC1xXsQONv/view?usp=drive_link" TargetMode="External"/><Relationship Id="rId144" Type="http://schemas.openxmlformats.org/officeDocument/2006/relationships/hyperlink" Target="https://drive.google.com/file/d/17IFZ7PBNnIfOADbG-1uoPwX5lO8JSd8U/view?usp=sharing" TargetMode="External"/><Relationship Id="rId90" Type="http://schemas.openxmlformats.org/officeDocument/2006/relationships/hyperlink" Target="https://drive.google.com/file/d/1_KyMBAKfiVUDUxQDov_KGsyRkSOHlDS2/view?usp=share_link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AvWcVkFYt5EEBSsbxVANNJa5FTH-UNxy/view?usp=sharing" TargetMode="External"/><Relationship Id="rId117" Type="http://schemas.openxmlformats.org/officeDocument/2006/relationships/hyperlink" Target="https://drive.google.com/file/d/13kFOu7Vd3QtPUeszg9hmKHlGlpsg3OUM/view?usp=sharing" TargetMode="External"/><Relationship Id="rId21" Type="http://schemas.openxmlformats.org/officeDocument/2006/relationships/hyperlink" Target="https://drive.google.com/file/d/1W-DEYxhth5fc3OSxwH3P4AQ05IUtbhFx/view?usp=sharing" TargetMode="External"/><Relationship Id="rId42" Type="http://schemas.openxmlformats.org/officeDocument/2006/relationships/hyperlink" Target="https://drive.google.com/file/d/1j0yn0FbwUTaLnn6wwtFNfMiI91oiMmHF/view?usp=sharing" TargetMode="External"/><Relationship Id="rId47" Type="http://schemas.openxmlformats.org/officeDocument/2006/relationships/hyperlink" Target="https://drive.google.com/file/d/1Pw-5A-D9rvYj0x0op0ynMZNv2K_4d70Q/view?usp=sharing" TargetMode="External"/><Relationship Id="rId63" Type="http://schemas.openxmlformats.org/officeDocument/2006/relationships/hyperlink" Target="https://drive.google.com/file/d/118VG3fvbm9GnnmLY7euhujMeqKcWfTle/view?usp=share_link" TargetMode="External"/><Relationship Id="rId68" Type="http://schemas.openxmlformats.org/officeDocument/2006/relationships/hyperlink" Target="https://drive.google.com/file/d/16uwP5hFUBw8Bvi_tNww5hzKkI-S5aoT9/view?usp=share_link" TargetMode="External"/><Relationship Id="rId84" Type="http://schemas.openxmlformats.org/officeDocument/2006/relationships/hyperlink" Target="https://drive.google.com/file/d/14Z7OHGG41GnXNNI71efb-j944q-GkG8z/view?usp=share_link" TargetMode="External"/><Relationship Id="rId89" Type="http://schemas.openxmlformats.org/officeDocument/2006/relationships/hyperlink" Target="https://drive.google.com/file/d/153U2S6RPNxN51J3RMzvmAG1YSTtHutwe/view?usp=share_link" TargetMode="External"/><Relationship Id="rId112" Type="http://schemas.openxmlformats.org/officeDocument/2006/relationships/hyperlink" Target="https://drive.google.com/file/d/1ScuUXDCsZN8yssY4JWYr5jcj6wLmgEuD/view?usp=sharing" TargetMode="External"/><Relationship Id="rId16" Type="http://schemas.openxmlformats.org/officeDocument/2006/relationships/hyperlink" Target="https://drive.google.com/file/d/1-9fdM3hoEPRrkFOCsrSIs5BHaLMs8bLT/view?usp=sharing" TargetMode="External"/><Relationship Id="rId107" Type="http://schemas.openxmlformats.org/officeDocument/2006/relationships/hyperlink" Target="https://drive.google.com/file/d/1keKswTO5xrBNE6w9MCePo0soK59jlvtV/view?usp=sharing" TargetMode="External"/><Relationship Id="rId11" Type="http://schemas.openxmlformats.org/officeDocument/2006/relationships/hyperlink" Target="https://drive.google.com/file/d/1HPc5HBzHgzlL0w9AgB1SeXEH9WomhKuq/view?usp=sharing" TargetMode="External"/><Relationship Id="rId32" Type="http://schemas.openxmlformats.org/officeDocument/2006/relationships/hyperlink" Target="https://drive.google.com/file/d/1YQSE6GgYrZKVvgs8Hn4piXkrYr-8_LJD/view?usp=sharing" TargetMode="External"/><Relationship Id="rId37" Type="http://schemas.openxmlformats.org/officeDocument/2006/relationships/hyperlink" Target="https://drive.google.com/file/d/1OMBalpf5ZpFbIJXNnd5OyFw0pzCnLXmR/view?usp=sharing" TargetMode="External"/><Relationship Id="rId53" Type="http://schemas.openxmlformats.org/officeDocument/2006/relationships/hyperlink" Target="https://drive.google.com/file/d/1S-dwNo_qfAq3MBMS3e7kHPF_c5gljskG/view?usp=sharing" TargetMode="External"/><Relationship Id="rId58" Type="http://schemas.openxmlformats.org/officeDocument/2006/relationships/hyperlink" Target="https://drive.google.com/file/d/11WRu4zrXkgyOT_aRgeYH2x7L7mpgW4wW/view?usp=share_link" TargetMode="External"/><Relationship Id="rId74" Type="http://schemas.openxmlformats.org/officeDocument/2006/relationships/hyperlink" Target="https://drive.google.com/file/d/1-baMv4ov9qpATWyKzcvfzi1JodsM9hnz/view?usp=share_link" TargetMode="External"/><Relationship Id="rId79" Type="http://schemas.openxmlformats.org/officeDocument/2006/relationships/hyperlink" Target="https://drive.google.com/file/d/111SkPU8u87grdOCCN0rCvPnVHnqAzSl4/view?usp=share_link" TargetMode="External"/><Relationship Id="rId102" Type="http://schemas.openxmlformats.org/officeDocument/2006/relationships/hyperlink" Target="https://drive.google.com/file/d/1UmHGlIDXxzUZwzbmSmbxc-nHSYlaAvQa/view?usp=share_link" TargetMode="External"/><Relationship Id="rId123" Type="http://schemas.openxmlformats.org/officeDocument/2006/relationships/comments" Target="../comments10.xml"/><Relationship Id="rId5" Type="http://schemas.openxmlformats.org/officeDocument/2006/relationships/hyperlink" Target="https://drive.google.com/file/d/1U4dO-4lGG7i8dUFH0oD4W6BN2MYseTae/view?usp=sharing" TargetMode="External"/><Relationship Id="rId90" Type="http://schemas.openxmlformats.org/officeDocument/2006/relationships/hyperlink" Target="https://drive.google.com/file/d/1Ks695COaXeZdWUXq1NjiNlisYojfn6bD/view?usp=share_link" TargetMode="External"/><Relationship Id="rId95" Type="http://schemas.openxmlformats.org/officeDocument/2006/relationships/hyperlink" Target="https://drive.google.com/file/d/1OMBalpf5ZpFbIJXNnd5OyFw0pzCnLXmR/view?usp=sharing" TargetMode="External"/><Relationship Id="rId22" Type="http://schemas.openxmlformats.org/officeDocument/2006/relationships/hyperlink" Target="https://drive.google.com/file/d/1cW05pA9uXJzP8HzWYjKZMA_wZ_-fWPd6/view?usp=sharing" TargetMode="External"/><Relationship Id="rId27" Type="http://schemas.openxmlformats.org/officeDocument/2006/relationships/hyperlink" Target="https://drive.google.com/file/d/1FBKN265kM6S2dYpyCs0hP8Ev6cQljajo/view?usp=sharing" TargetMode="External"/><Relationship Id="rId43" Type="http://schemas.openxmlformats.org/officeDocument/2006/relationships/hyperlink" Target="https://drive.google.com/file/d/1ekCACP5QXiQguwRJgFf5rmoJRc-yiUkZ/view?usp=sharing" TargetMode="External"/><Relationship Id="rId48" Type="http://schemas.openxmlformats.org/officeDocument/2006/relationships/hyperlink" Target="https://drive.google.com/file/d/1j4fFAG5yBXZ5mJYphYJB5phigkRRMNVq/view?usp=sharing" TargetMode="External"/><Relationship Id="rId64" Type="http://schemas.openxmlformats.org/officeDocument/2006/relationships/hyperlink" Target="https://drive.google.com/file/d/118VG3fvbm9GnnmLY7euhujMeqKcWfTle/view?usp=share_link" TargetMode="External"/><Relationship Id="rId69" Type="http://schemas.openxmlformats.org/officeDocument/2006/relationships/hyperlink" Target="https://drive.google.com/file/d/16uwP5hFUBw8Bvi_tNww5hzKkI-S5aoT9/view?usp=share_link" TargetMode="External"/><Relationship Id="rId113" Type="http://schemas.openxmlformats.org/officeDocument/2006/relationships/hyperlink" Target="https://drive.google.com/file/d/1fd3xV7QnyLBb6vAIKyuQsLYEDt5E-6ac/view?usp=sharing" TargetMode="External"/><Relationship Id="rId118" Type="http://schemas.openxmlformats.org/officeDocument/2006/relationships/hyperlink" Target="https://drive.google.com/file/d/13kFOu7Vd3QtPUeszg9hmKHlGlpsg3OUM/view?usp=sharing" TargetMode="External"/><Relationship Id="rId80" Type="http://schemas.openxmlformats.org/officeDocument/2006/relationships/hyperlink" Target="https://drive.google.com/file/d/1ZfgnFtaj3m9czVAdh4pya7Zu8k956mvY/view?usp=share_link" TargetMode="External"/><Relationship Id="rId85" Type="http://schemas.openxmlformats.org/officeDocument/2006/relationships/hyperlink" Target="https://drive.google.com/file/d/1nhvY91Siq3iRcDM8j6pyXr4iauxGZFcp/view?usp=share_link" TargetMode="External"/><Relationship Id="rId12" Type="http://schemas.openxmlformats.org/officeDocument/2006/relationships/hyperlink" Target="https://drive.google.com/file/d/1sNoNdBKAJ2cz_5GefDrVndF5UAYsiBar/view?usp=sharing" TargetMode="External"/><Relationship Id="rId17" Type="http://schemas.openxmlformats.org/officeDocument/2006/relationships/hyperlink" Target="https://drive.google.com/file/d/1Ph9ZDRhGgJxO3nhCFCg0PD2r1cKp_sS9/view?usp=sharing" TargetMode="External"/><Relationship Id="rId33" Type="http://schemas.openxmlformats.org/officeDocument/2006/relationships/hyperlink" Target="https://drive.google.com/file/d/12bu_KIS4AbzAh5eEy2f2c8GwJi0IzN3c/view?usp=sharing" TargetMode="External"/><Relationship Id="rId38" Type="http://schemas.openxmlformats.org/officeDocument/2006/relationships/hyperlink" Target="https://drive.google.com/file/d/1YQrGwNZxZuIwQYt4sEU7Ci8-edIhv9Mu/view?usp=sharing" TargetMode="External"/><Relationship Id="rId59" Type="http://schemas.openxmlformats.org/officeDocument/2006/relationships/hyperlink" Target="https://drive.google.com/file/d/1GFK4iAN41RqWgI-VnbaqNVTwr-gtuq2_/view?usp=share_link" TargetMode="External"/><Relationship Id="rId103" Type="http://schemas.openxmlformats.org/officeDocument/2006/relationships/hyperlink" Target="https://drive.google.com/file/d/1UmHGlIDXxzUZwzbmSmbxc-nHSYlaAvQa/view?usp=share_link" TargetMode="External"/><Relationship Id="rId108" Type="http://schemas.openxmlformats.org/officeDocument/2006/relationships/hyperlink" Target="https://drive.google.com/file/d/1o5JAGv2Qo85kbfJwcIfxlAnfQusArz2E/view?usp=sharing" TargetMode="External"/><Relationship Id="rId54" Type="http://schemas.openxmlformats.org/officeDocument/2006/relationships/hyperlink" Target="https://drive.google.com/file/d/1zhr3AuJ7cEG6ghT6kjY8LTZ1-3rKuI6B/view?usp=share_link" TargetMode="External"/><Relationship Id="rId70" Type="http://schemas.openxmlformats.org/officeDocument/2006/relationships/hyperlink" Target="https://drive.google.com/file/d/1hYxXlPP5nRD8hODDTL2CHEBfb0l2B8G8/view?usp=share_link" TargetMode="External"/><Relationship Id="rId75" Type="http://schemas.openxmlformats.org/officeDocument/2006/relationships/hyperlink" Target="https://drive.google.com/file/d/1U0cnw-tKw5LF4_uSim4OM6Kk8TpQ6y-r/view?usp=share_link" TargetMode="External"/><Relationship Id="rId91" Type="http://schemas.openxmlformats.org/officeDocument/2006/relationships/hyperlink" Target="https://drive.google.com/file/d/1Yy7MziykiPMuH4beCVKgkwVE_yY0QEbi/view?usp=share_link" TargetMode="External"/><Relationship Id="rId96" Type="http://schemas.openxmlformats.org/officeDocument/2006/relationships/hyperlink" Target="https://drive.google.com/file/d/1OMBalpf5ZpFbIJXNnd5OyFw0pzCnLXmR/view?usp=sharing" TargetMode="External"/><Relationship Id="rId1" Type="http://schemas.openxmlformats.org/officeDocument/2006/relationships/hyperlink" Target="https://drive.google.com/file/d/1YMTYulWGX31PGhrjx5abL-V7_j2jTGfg/view?usp=sharing" TargetMode="External"/><Relationship Id="rId6" Type="http://schemas.openxmlformats.org/officeDocument/2006/relationships/hyperlink" Target="https://drive.google.com/file/d/1QG9ksjmBujwEwq9fgUlBml2nru3hMXjL/view?usp=sharing" TargetMode="External"/><Relationship Id="rId23" Type="http://schemas.openxmlformats.org/officeDocument/2006/relationships/hyperlink" Target="https://drive.google.com/file/d/1cHMa05c6OydUTErTR5SP2fT-ct4fBTf0/view?usp=sharing" TargetMode="External"/><Relationship Id="rId28" Type="http://schemas.openxmlformats.org/officeDocument/2006/relationships/hyperlink" Target="https://drive.google.com/file/d/1sUwVvZparXQjJmLA45okLptLspX6NNOS/view?usp=sharing" TargetMode="External"/><Relationship Id="rId49" Type="http://schemas.openxmlformats.org/officeDocument/2006/relationships/hyperlink" Target="https://drive.google.com/file/d/17IFZ7PBNnIfOADbG-1uoPwX5lO8JSd8U/view?usp=sharing" TargetMode="External"/><Relationship Id="rId114" Type="http://schemas.openxmlformats.org/officeDocument/2006/relationships/hyperlink" Target="https://drive.google.com/file/d/1qZr6eHDVus4oOKzyv2riYXGTWbi2VKam/view?usp=sharing" TargetMode="External"/><Relationship Id="rId119" Type="http://schemas.openxmlformats.org/officeDocument/2006/relationships/hyperlink" Target="https://drive.google.com/file/d/1JDi6QasN0dFfpFjgErcRiukWgRuajrvq/view?usp=sharing" TargetMode="External"/><Relationship Id="rId44" Type="http://schemas.openxmlformats.org/officeDocument/2006/relationships/hyperlink" Target="https://drive.google.com/file/d/1SAH40E5moG9sxkOi1wKkRvlavEm-n70j/view?usp=sharing" TargetMode="External"/><Relationship Id="rId60" Type="http://schemas.openxmlformats.org/officeDocument/2006/relationships/hyperlink" Target="https://drive.google.com/file/d/14wDJfRjBIbJXyI184g0QxScBZkEwzu6d/view?usp=share_link" TargetMode="External"/><Relationship Id="rId65" Type="http://schemas.openxmlformats.org/officeDocument/2006/relationships/hyperlink" Target="https://drive.google.com/file/d/1THhu8dn9F49PP4nvN-XkkdLoPXpZMdD9/view?usp=share_link" TargetMode="External"/><Relationship Id="rId81" Type="http://schemas.openxmlformats.org/officeDocument/2006/relationships/hyperlink" Target="https://drive.google.com/file/d/1ZfgnFtaj3m9czVAdh4pya7Zu8k956mvY/view?usp=share_link" TargetMode="External"/><Relationship Id="rId86" Type="http://schemas.openxmlformats.org/officeDocument/2006/relationships/hyperlink" Target="https://drive.google.com/file/d/1UmHGlIDXxzUZwzbmSmbxc-nHSYlaAvQa/view?usp=share_link" TargetMode="External"/><Relationship Id="rId4" Type="http://schemas.openxmlformats.org/officeDocument/2006/relationships/hyperlink" Target="https://drive.google.com/file/d/1tp7An8tll2ej9tud1GCKgMaM2x4AR2so/view?usp=sharing" TargetMode="External"/><Relationship Id="rId9" Type="http://schemas.openxmlformats.org/officeDocument/2006/relationships/hyperlink" Target="https://drive.google.com/file/d/16JjhVwWtZgSUEYcwhTTCNdZ6Vp0POoO0/view?usp=sharing" TargetMode="External"/><Relationship Id="rId13" Type="http://schemas.openxmlformats.org/officeDocument/2006/relationships/hyperlink" Target="https://drive.google.com/file/d/1R2bGWAe1ZPg9qEAHvY_mUTEciNYzYBCs/view?usp=sharing" TargetMode="External"/><Relationship Id="rId18" Type="http://schemas.openxmlformats.org/officeDocument/2006/relationships/hyperlink" Target="https://drive.google.com/file/d/1dwDdcmeCnb_V5G5nN7b4snoF0XCfQmMP/view?usp=sharing" TargetMode="External"/><Relationship Id="rId39" Type="http://schemas.openxmlformats.org/officeDocument/2006/relationships/hyperlink" Target="https://drive.google.com/file/d/1iF7eBjgj6BczRuFJ4rbFUdexYIAjvCpW/view?usp=sharing" TargetMode="External"/><Relationship Id="rId109" Type="http://schemas.openxmlformats.org/officeDocument/2006/relationships/hyperlink" Target="https://drive.google.com/file/d/1o5JAGv2Qo85kbfJwcIfxlAnfQusArz2E/view?usp=sharing" TargetMode="External"/><Relationship Id="rId34" Type="http://schemas.openxmlformats.org/officeDocument/2006/relationships/hyperlink" Target="https://drive.google.com/file/d/1jRS92bGbUdCxxxIefWfeKX21R1SshUXv/view?usp=sharing" TargetMode="External"/><Relationship Id="rId50" Type="http://schemas.openxmlformats.org/officeDocument/2006/relationships/hyperlink" Target="https://drive.google.com/file/d/19pOhOdiuef-fTW3Hk_VmGUP8fZ9h8hNj/view?usp=sharing" TargetMode="External"/><Relationship Id="rId55" Type="http://schemas.openxmlformats.org/officeDocument/2006/relationships/hyperlink" Target="https://drive.google.com/file/d/1cNi77vatUy2A9NrgmDIRxYbDr18zYcaO/view?usp=share_link" TargetMode="External"/><Relationship Id="rId76" Type="http://schemas.openxmlformats.org/officeDocument/2006/relationships/hyperlink" Target="https://drive.google.com/file/d/1A6ZVP2r1B05YgnXxVeTLw48s8dIfWl3O/view?usp=share_link" TargetMode="External"/><Relationship Id="rId97" Type="http://schemas.openxmlformats.org/officeDocument/2006/relationships/hyperlink" Target="https://drive.google.com/file/d/1ctWVLfY3IigKOebgTZIqiYx-R7lulfOe/view?usp=share_link" TargetMode="External"/><Relationship Id="rId104" Type="http://schemas.openxmlformats.org/officeDocument/2006/relationships/hyperlink" Target="https://drive.google.com/file/d/1pnB162Y997jIiGCZ9Azw171-y4cHJdCn/view?usp=sharing" TargetMode="External"/><Relationship Id="rId120" Type="http://schemas.openxmlformats.org/officeDocument/2006/relationships/hyperlink" Target="https://drive.google.com/file/d/1zpxfg3yDkaUYTLCi5Xj9A_gYMZ9xMq9-/view?usp=sharing" TargetMode="External"/><Relationship Id="rId7" Type="http://schemas.openxmlformats.org/officeDocument/2006/relationships/hyperlink" Target="https://drive.google.com/file/d/1NDkETjuCu36mSCjCwtjeWu5QN3w_a3JY/view?usp=sharing" TargetMode="External"/><Relationship Id="rId71" Type="http://schemas.openxmlformats.org/officeDocument/2006/relationships/hyperlink" Target="https://drive.google.com/file/d/1c5vSy7M89pVU5Nwwf3yKdjF__i1MRmhy/view?usp=share_link" TargetMode="External"/><Relationship Id="rId92" Type="http://schemas.openxmlformats.org/officeDocument/2006/relationships/hyperlink" Target="https://drive.google.com/file/d/1Amb8TWiV2--9AFdUnvIKuN2oDqJuUt7d/view?usp=sharing" TargetMode="External"/><Relationship Id="rId2" Type="http://schemas.openxmlformats.org/officeDocument/2006/relationships/hyperlink" Target="https://drive.google.com/file/d/1n-_k7Cfqq8vpfVJVf7Nulc1uEh39d7k9/view?usp=sharing" TargetMode="External"/><Relationship Id="rId29" Type="http://schemas.openxmlformats.org/officeDocument/2006/relationships/hyperlink" Target="https://drive.google.com/file/d/1Mz2BdCLwdCWNAe1etrjW5HrfLE51i_1Z/view?usp=sharing" TargetMode="External"/><Relationship Id="rId24" Type="http://schemas.openxmlformats.org/officeDocument/2006/relationships/hyperlink" Target="https://drive.google.com/file/d/1DWNMrSxnRP2ddoGgKa372Mj_3oCAVM1J/view?usp=sharing" TargetMode="External"/><Relationship Id="rId40" Type="http://schemas.openxmlformats.org/officeDocument/2006/relationships/hyperlink" Target="https://drive.google.com/file/d/1Iz_h7vHvasaCRJ0HkBDC2rhf3VVCJyss/view?usp=sharing" TargetMode="External"/><Relationship Id="rId45" Type="http://schemas.openxmlformats.org/officeDocument/2006/relationships/hyperlink" Target="https://drive.google.com/file/d/1TiRIRD7ydq4yBp4joVctIsxe_iyoBYtk/view?usp=sharing" TargetMode="External"/><Relationship Id="rId66" Type="http://schemas.openxmlformats.org/officeDocument/2006/relationships/hyperlink" Target="https://drive.google.com/file/d/1ctWVLfY3IigKOebgTZIqiYx-R7lulfOe/view?usp=share_link" TargetMode="External"/><Relationship Id="rId87" Type="http://schemas.openxmlformats.org/officeDocument/2006/relationships/hyperlink" Target="https://drive.google.com/file/d/1UmHGlIDXxzUZwzbmSmbxc-nHSYlaAvQa/view?usp=share_link" TargetMode="External"/><Relationship Id="rId110" Type="http://schemas.openxmlformats.org/officeDocument/2006/relationships/hyperlink" Target="https://drive.google.com/file/d/156NvD9eO7MAGI-AlKLVFbqp45sjUmgQK/view?usp=sharing" TargetMode="External"/><Relationship Id="rId115" Type="http://schemas.openxmlformats.org/officeDocument/2006/relationships/hyperlink" Target="https://drive.google.com/file/d/1j4JwAoBnOsvh6CvcOQpOALnTDg1osXNZ/view?usp=sharing" TargetMode="External"/><Relationship Id="rId61" Type="http://schemas.openxmlformats.org/officeDocument/2006/relationships/hyperlink" Target="https://drive.google.com/file/d/1QIwOj4watGmAkgx4GDoA6rMTALoVsVCx/view?usp=share_link" TargetMode="External"/><Relationship Id="rId82" Type="http://schemas.openxmlformats.org/officeDocument/2006/relationships/hyperlink" Target="https://drive.google.com/file/d/1Vey_lGGY11T1_WD0Kzk5sbqreu1zEm39/view?usp=share_link" TargetMode="External"/><Relationship Id="rId19" Type="http://schemas.openxmlformats.org/officeDocument/2006/relationships/hyperlink" Target="https://drive.google.com/file/d/1-XmTlr1m3EVE99tekDGXrI2hbwIgWYnu/view?usp=sharing" TargetMode="External"/><Relationship Id="rId14" Type="http://schemas.openxmlformats.org/officeDocument/2006/relationships/hyperlink" Target="https://drive.google.com/file/d/1eCCer83885bUI-R5GZcQvTLeV9WaSNAP/view?usp=sharing" TargetMode="External"/><Relationship Id="rId30" Type="http://schemas.openxmlformats.org/officeDocument/2006/relationships/hyperlink" Target="https://drive.google.com/file/d/1_pyAdUfUS-x_5_ZYmGqltk-FY0xrnuXt/view?usp=sharing" TargetMode="External"/><Relationship Id="rId35" Type="http://schemas.openxmlformats.org/officeDocument/2006/relationships/hyperlink" Target="https://drive.google.com/file/d/1Amb8TWiV2--9AFdUnvIKuN2oDqJuUt7d/view?usp=sharing" TargetMode="External"/><Relationship Id="rId56" Type="http://schemas.openxmlformats.org/officeDocument/2006/relationships/hyperlink" Target="https://drive.google.com/file/d/1E8fW6n2VYVkBdEYOf-8sF7PXuiGm-yq0/view?usp=share_link" TargetMode="External"/><Relationship Id="rId77" Type="http://schemas.openxmlformats.org/officeDocument/2006/relationships/hyperlink" Target="https://drive.google.com/file/d/111SkPU8u87grdOCCN0rCvPnVHnqAzSl4/view?usp=share_link" TargetMode="External"/><Relationship Id="rId100" Type="http://schemas.openxmlformats.org/officeDocument/2006/relationships/hyperlink" Target="https://drive.google.com/file/d/111SkPU8u87grdOCCN0rCvPnVHnqAzSl4/view?usp=share_link" TargetMode="External"/><Relationship Id="rId105" Type="http://schemas.openxmlformats.org/officeDocument/2006/relationships/hyperlink" Target="https://drive.google.com/file/d/15IzzocwAPd91WtAQLyOKw1k_OgXeD34t/view?usp=sharing" TargetMode="External"/><Relationship Id="rId8" Type="http://schemas.openxmlformats.org/officeDocument/2006/relationships/hyperlink" Target="https://drive.google.com/file/d/1u0WuIB10Zs5T-ThRV-0YbqCTtokGkSeO/view?usp=sharing" TargetMode="External"/><Relationship Id="rId51" Type="http://schemas.openxmlformats.org/officeDocument/2006/relationships/hyperlink" Target="https://drive.google.com/file/d/1ir_5Wp1fsS24LOs_6kiGPpLgcyjRy70T/view?usp=sharing" TargetMode="External"/><Relationship Id="rId72" Type="http://schemas.openxmlformats.org/officeDocument/2006/relationships/hyperlink" Target="https://drive.google.com/file/d/14Nntsn6KYoZfMHL3lxJ2FWMxcD9dO2ay/view?usp=share_link" TargetMode="External"/><Relationship Id="rId93" Type="http://schemas.openxmlformats.org/officeDocument/2006/relationships/hyperlink" Target="https://drive.google.com/file/d/17EJWd8Wxf7U3tXX9tidkLB5LfFAOgO9u/view?usp=share_link" TargetMode="External"/><Relationship Id="rId98" Type="http://schemas.openxmlformats.org/officeDocument/2006/relationships/hyperlink" Target="https://drive.google.com/file/d/1ctWVLfY3IigKOebgTZIqiYx-R7lulfOe/view?usp=share_link" TargetMode="External"/><Relationship Id="rId121" Type="http://schemas.openxmlformats.org/officeDocument/2006/relationships/printerSettings" Target="../printerSettings/printerSettings8.bin"/><Relationship Id="rId3" Type="http://schemas.openxmlformats.org/officeDocument/2006/relationships/hyperlink" Target="https://drive.google.com/file/d/1JDi6QasN0dFfpFjgErcRiukWgRuajrvq/view?usp=sharing" TargetMode="External"/><Relationship Id="rId25" Type="http://schemas.openxmlformats.org/officeDocument/2006/relationships/hyperlink" Target="https://drive.google.com/file/d/1Xxjjy1EF-hFni-Vd8QsmkOBizKpetMwE/view?usp=sharing" TargetMode="External"/><Relationship Id="rId46" Type="http://schemas.openxmlformats.org/officeDocument/2006/relationships/hyperlink" Target="https://drive.google.com/file/d/1CgqF4dz73iPrsiGITLQSnrz71OGYVvjO/view?usp=sharing" TargetMode="External"/><Relationship Id="rId67" Type="http://schemas.openxmlformats.org/officeDocument/2006/relationships/hyperlink" Target="https://drive.google.com/file/d/1ctWVLfY3IigKOebgTZIqiYx-R7lulfOe/view?usp=share_link" TargetMode="External"/><Relationship Id="rId116" Type="http://schemas.openxmlformats.org/officeDocument/2006/relationships/hyperlink" Target="https://drive.google.com/file/d/1j4JwAoBnOsvh6CvcOQpOALnTDg1osXNZ/view?usp=sharing" TargetMode="External"/><Relationship Id="rId20" Type="http://schemas.openxmlformats.org/officeDocument/2006/relationships/hyperlink" Target="https://drive.google.com/file/d/1uV1oXhFjif3jwo5Bp9ipDrR4EhZHX2LD/view?usp=sharing" TargetMode="External"/><Relationship Id="rId41" Type="http://schemas.openxmlformats.org/officeDocument/2006/relationships/hyperlink" Target="https://drive.google.com/file/d/1WLJ-kJbd5IH4Bw5elij_0UVd6267RaAg/view?usp=sharing" TargetMode="External"/><Relationship Id="rId62" Type="http://schemas.openxmlformats.org/officeDocument/2006/relationships/hyperlink" Target="https://drive.google.com/file/d/1BqPqH-pAEN3-XG1-dtl6_s1gu2FOHGMq/view?usp=share_link" TargetMode="External"/><Relationship Id="rId83" Type="http://schemas.openxmlformats.org/officeDocument/2006/relationships/hyperlink" Target="https://drive.google.com/file/d/1ayi8yxdj0_ShI4gb1nvjTIcy_EhxKa9A/view?usp=share_link" TargetMode="External"/><Relationship Id="rId88" Type="http://schemas.openxmlformats.org/officeDocument/2006/relationships/hyperlink" Target="https://drive.google.com/file/d/153U2S6RPNxN51J3RMzvmAG1YSTtHutwe/view?usp=share_link" TargetMode="External"/><Relationship Id="rId111" Type="http://schemas.openxmlformats.org/officeDocument/2006/relationships/hyperlink" Target="https://drive.google.com/file/d/1TZ9AcuE3FIZuKDmkck1zu0NSIQus_Kbr/view?usp=sharing" TargetMode="External"/><Relationship Id="rId15" Type="http://schemas.openxmlformats.org/officeDocument/2006/relationships/hyperlink" Target="https://drive.google.com/file/d/1bCt-bTkCuTB5KJ6JVsiy2JDJQve-XHXi/view?usp=sharing" TargetMode="External"/><Relationship Id="rId36" Type="http://schemas.openxmlformats.org/officeDocument/2006/relationships/hyperlink" Target="https://drive.google.com/file/d/1OMBalpf5ZpFbIJXNnd5OyFw0pzCnLXmR/view?usp=sharing" TargetMode="External"/><Relationship Id="rId57" Type="http://schemas.openxmlformats.org/officeDocument/2006/relationships/hyperlink" Target="https://drive.google.com/file/d/1uxF7Hm5LY7ZGQMj64Jh3dgBrjhGk_nr2/view?usp=share_link" TargetMode="External"/><Relationship Id="rId106" Type="http://schemas.openxmlformats.org/officeDocument/2006/relationships/hyperlink" Target="https://drive.google.com/file/d/1keKswTO5xrBNE6w9MCePo0soK59jlvtV/view?usp=sharing" TargetMode="External"/><Relationship Id="rId10" Type="http://schemas.openxmlformats.org/officeDocument/2006/relationships/hyperlink" Target="https://drive.google.com/file/d/1mWVrmGo9ApUjh3nBanBJQ09Rto9AXZKb/view?usp=sharing" TargetMode="External"/><Relationship Id="rId31" Type="http://schemas.openxmlformats.org/officeDocument/2006/relationships/hyperlink" Target="https://drive.google.com/file/d/1Qqe3w6KvHpMo319mymwlCUYXCkkUwQGA/view?usp=sharing" TargetMode="External"/><Relationship Id="rId52" Type="http://schemas.openxmlformats.org/officeDocument/2006/relationships/hyperlink" Target="https://drive.google.com/file/d/19PNFTiz13mDiig9vH2Xup6j_ty1BtIoM/view?usp=sharing" TargetMode="External"/><Relationship Id="rId73" Type="http://schemas.openxmlformats.org/officeDocument/2006/relationships/hyperlink" Target="https://drive.google.com/file/d/1oeMptDnS5nqXmG665cqEBmHW8Vtft0R9/view?usp=share_link" TargetMode="External"/><Relationship Id="rId78" Type="http://schemas.openxmlformats.org/officeDocument/2006/relationships/hyperlink" Target="https://drive.google.com/file/d/111SkPU8u87grdOCCN0rCvPnVHnqAzSl4/view?usp=share_link" TargetMode="External"/><Relationship Id="rId94" Type="http://schemas.openxmlformats.org/officeDocument/2006/relationships/hyperlink" Target="https://drive.google.com/file/d/15B6N3UGK8LpPZggRuGCwz7rWO13k_juF/view?usp=sharing" TargetMode="External"/><Relationship Id="rId99" Type="http://schemas.openxmlformats.org/officeDocument/2006/relationships/hyperlink" Target="https://drive.google.com/file/d/1eOzehJidpquZhRly7WZJl8sKNRFI1Onj/view?usp=sharing" TargetMode="External"/><Relationship Id="rId101" Type="http://schemas.openxmlformats.org/officeDocument/2006/relationships/hyperlink" Target="https://drive.google.com/file/d/1ZfgnFtaj3m9czVAdh4pya7Zu8k956mvY/view?usp=share_link" TargetMode="External"/><Relationship Id="rId122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Pw-5A-D9rvYj0x0op0ynMZNv2K_4d70Q/view?usp=sharing" TargetMode="External"/><Relationship Id="rId21" Type="http://schemas.openxmlformats.org/officeDocument/2006/relationships/hyperlink" Target="https://drive.google.com/file/d/1F9BB_ulUvRdK927pKVCysTNE6T9xSADn/view?usp=sharing" TargetMode="External"/><Relationship Id="rId42" Type="http://schemas.openxmlformats.org/officeDocument/2006/relationships/hyperlink" Target="https://drive.google.com/file/d/1h7S6fFzABswc4OvCn3Yds9CrvEeu3LzV/view?usp=sharing" TargetMode="External"/><Relationship Id="rId47" Type="http://schemas.openxmlformats.org/officeDocument/2006/relationships/hyperlink" Target="https://drive.google.com/file/d/1D3lQP1V7sckbgBk7N5Qf7jQX7CEADIuP/view?usp=sharing" TargetMode="External"/><Relationship Id="rId63" Type="http://schemas.openxmlformats.org/officeDocument/2006/relationships/hyperlink" Target="https://drive.google.com/file/d/1RQvDFIJHPTYqxIzoODYtgamlfLQ9veRi/view?usp=sharing" TargetMode="External"/><Relationship Id="rId68" Type="http://schemas.openxmlformats.org/officeDocument/2006/relationships/hyperlink" Target="https://drive.google.com/file/d/1VBqU6eoT0gm6ENo40Kwo5kZlftcfp62v/view?usp=sharing" TargetMode="External"/><Relationship Id="rId16" Type="http://schemas.openxmlformats.org/officeDocument/2006/relationships/hyperlink" Target="https://drive.google.com/file/d/17A4FyxBCdw8isfA5Uz1LKxxl4E96G6yK/view?usp=sharing" TargetMode="External"/><Relationship Id="rId11" Type="http://schemas.openxmlformats.org/officeDocument/2006/relationships/hyperlink" Target="https://drive.google.com/file/d/1CrwPQ62SkfEOp2YtXU1d7gjUCBOMyMih/view?usp=sharing" TargetMode="External"/><Relationship Id="rId32" Type="http://schemas.openxmlformats.org/officeDocument/2006/relationships/hyperlink" Target="https://drive.google.com/file/d/1mWVrmGo9ApUjh3nBanBJQ09Rto9AXZKb/view?usp=sharing" TargetMode="External"/><Relationship Id="rId37" Type="http://schemas.openxmlformats.org/officeDocument/2006/relationships/hyperlink" Target="https://drive.google.com/file/d/1PMqIDHILFsKEyPtMZ_hp6-hDTuv5b2ir/view?usp=sharing" TargetMode="External"/><Relationship Id="rId53" Type="http://schemas.openxmlformats.org/officeDocument/2006/relationships/hyperlink" Target="https://drive.google.com/file/d/1FBKN265kM6S2dYpyCs0hP8Ev6cQljajo/view?usp=sharing" TargetMode="External"/><Relationship Id="rId58" Type="http://schemas.openxmlformats.org/officeDocument/2006/relationships/hyperlink" Target="https://drive.google.com/file/d/1JBPlHKyjMyG29W0yXKYEkZcNVd7t4lNU/view?usp=sharing" TargetMode="External"/><Relationship Id="rId74" Type="http://schemas.openxmlformats.org/officeDocument/2006/relationships/hyperlink" Target="https://drive.google.com/file/d/1M0BZTrXgGeNzGryYiz8WqV1hQYK2Drv7/view?usp=sharing" TargetMode="External"/><Relationship Id="rId79" Type="http://schemas.openxmlformats.org/officeDocument/2006/relationships/printerSettings" Target="../printerSettings/printerSettings10.bin"/><Relationship Id="rId5" Type="http://schemas.openxmlformats.org/officeDocument/2006/relationships/hyperlink" Target="https://drive.google.com/file/d/18hFzKmu75XysfdLS0-kwqHUYIw8jkkk9/view?usp=sharing" TargetMode="External"/><Relationship Id="rId61" Type="http://schemas.openxmlformats.org/officeDocument/2006/relationships/hyperlink" Target="https://drive.google.com/file/d/1FcMpv7pbZDms7dxeKSTfUzd-uAe5wP-e/view?usp=sharing" TargetMode="External"/><Relationship Id="rId19" Type="http://schemas.openxmlformats.org/officeDocument/2006/relationships/hyperlink" Target="https://drive.google.com/file/d/1K6yPr0sS4ZS3CUn6C5crONzOLag5t8r2/view?usp=sharing" TargetMode="External"/><Relationship Id="rId14" Type="http://schemas.openxmlformats.org/officeDocument/2006/relationships/hyperlink" Target="https://drive.google.com/file/d/12Jogu9_A0-ZolaubeIm0vbLSTxlPIwEi/view?usp=sharing" TargetMode="External"/><Relationship Id="rId22" Type="http://schemas.openxmlformats.org/officeDocument/2006/relationships/hyperlink" Target="https://drive.google.com/file/d/18nMeWqsqHpnnBATVBYmk82a3kvnGJg0x/view?usp=sharing" TargetMode="External"/><Relationship Id="rId27" Type="http://schemas.openxmlformats.org/officeDocument/2006/relationships/hyperlink" Target="https://drive.google.com/file/d/1j4fFAG5yBXZ5mJYphYJB5phigkRRMNVq/view?usp=sharing" TargetMode="External"/><Relationship Id="rId30" Type="http://schemas.openxmlformats.org/officeDocument/2006/relationships/hyperlink" Target="https://drive.google.com/file/d/1u0WuIB10Zs5T-ThRV-0YbqCTtokGkSeO/view?usp=sharing" TargetMode="External"/><Relationship Id="rId35" Type="http://schemas.openxmlformats.org/officeDocument/2006/relationships/hyperlink" Target="https://drive.google.com/file/d/1Ph9ZDRhGgJxO3nhCFCg0PD2r1cKp_sS9/view?usp=sharing" TargetMode="External"/><Relationship Id="rId43" Type="http://schemas.openxmlformats.org/officeDocument/2006/relationships/hyperlink" Target="https://drive.google.com/file/d/1xAkiX_SXwv0X1dfQr1P0Y8Sho-qRFmea/view?usp=sharing" TargetMode="External"/><Relationship Id="rId48" Type="http://schemas.openxmlformats.org/officeDocument/2006/relationships/hyperlink" Target="https://drive.google.com/file/d/1ils1PDxf1u52QRt0gVZ2iNGhLZehZ0qd/view?usp=sharing" TargetMode="External"/><Relationship Id="rId56" Type="http://schemas.openxmlformats.org/officeDocument/2006/relationships/hyperlink" Target="https://drive.google.com/file/d/1Xy0667kDTaT6E2wK0OdvqF0steo_xRmK/view?usp=sharing" TargetMode="External"/><Relationship Id="rId64" Type="http://schemas.openxmlformats.org/officeDocument/2006/relationships/hyperlink" Target="https://drive.google.com/file/d/1gxwDRdncp1mOFX4lUuoPI9X7fEd-gAPm/view?usp=sharing" TargetMode="External"/><Relationship Id="rId69" Type="http://schemas.openxmlformats.org/officeDocument/2006/relationships/hyperlink" Target="https://drive.google.com/file/d/1WLJ-kJbd5IH4Bw5elij_0UVd6267RaAg/view?usp=sharing" TargetMode="External"/><Relationship Id="rId77" Type="http://schemas.openxmlformats.org/officeDocument/2006/relationships/hyperlink" Target="https://drive.google.com/file/d/1ir_5Wp1fsS24LOs_6kiGPpLgcyjRy70T/view?usp=sharing" TargetMode="External"/><Relationship Id="rId8" Type="http://schemas.openxmlformats.org/officeDocument/2006/relationships/hyperlink" Target="https://drive.google.com/file/d/1bCt-bTkCuTB5KJ6JVsiy2JDJQve-XHXi/view?usp=sharing" TargetMode="External"/><Relationship Id="rId51" Type="http://schemas.openxmlformats.org/officeDocument/2006/relationships/hyperlink" Target="https://drive.google.com/file/d/1KXMvxkQ0pqszMaZbPj2gOrECpb4mezFc/view?usp=sharing" TargetMode="External"/><Relationship Id="rId72" Type="http://schemas.openxmlformats.org/officeDocument/2006/relationships/hyperlink" Target="https://drive.google.com/file/d/1PTIgd8cWbSYuw_v5SlCW2beVSF0ycuAJ/view?usp=sharing" TargetMode="External"/><Relationship Id="rId80" Type="http://schemas.openxmlformats.org/officeDocument/2006/relationships/vmlDrawing" Target="../drawings/vmlDrawing11.vml"/><Relationship Id="rId3" Type="http://schemas.openxmlformats.org/officeDocument/2006/relationships/hyperlink" Target="https://drive.google.com/file/d/1pnB162Y997jIiGCZ9Azw171-y4cHJdCn/view?usp=sharing" TargetMode="External"/><Relationship Id="rId12" Type="http://schemas.openxmlformats.org/officeDocument/2006/relationships/hyperlink" Target="https://drive.google.com/file/d/1xCQKwxSLW8yFBaNkZA59194YA0kSxIUR/view?usp=sharing" TargetMode="External"/><Relationship Id="rId17" Type="http://schemas.openxmlformats.org/officeDocument/2006/relationships/hyperlink" Target="https://drive.google.com/file/d/1rb5VOSfekwTX4ub_xRuc4FoW7K0bsHM2/view?usp=sharing" TargetMode="External"/><Relationship Id="rId25" Type="http://schemas.openxmlformats.org/officeDocument/2006/relationships/hyperlink" Target="https://drive.google.com/file/d/1CgqF4dz73iPrsiGITLQSnrz71OGYVvjO/view?usp=sharing" TargetMode="External"/><Relationship Id="rId33" Type="http://schemas.openxmlformats.org/officeDocument/2006/relationships/hyperlink" Target="https://drive.google.com/file/d/1gJBr_2JG1-N-6Kp6VjZQ8jURSaX8DXFY/view?usp=sharing" TargetMode="External"/><Relationship Id="rId38" Type="http://schemas.openxmlformats.org/officeDocument/2006/relationships/hyperlink" Target="https://drive.google.com/file/d/1zwNcoE_wgLW0n5YjRnv2FjhGz_7OgTrt/view?usp=sharing" TargetMode="External"/><Relationship Id="rId46" Type="http://schemas.openxmlformats.org/officeDocument/2006/relationships/hyperlink" Target="https://drive.google.com/file/d/1D3lQP1V7sckbgBk7N5Qf7jQX7CEADIuP/view?usp=sharing" TargetMode="External"/><Relationship Id="rId59" Type="http://schemas.openxmlformats.org/officeDocument/2006/relationships/hyperlink" Target="https://drive.google.com/file/d/1GtzJxrtyKPEM8X1ZDIr9J47kvCJRe0XW/view?usp=sharing" TargetMode="External"/><Relationship Id="rId67" Type="http://schemas.openxmlformats.org/officeDocument/2006/relationships/hyperlink" Target="https://drive.google.com/file/d/1WaV1U5nq-4Jyt7en_ZkJKMFc5PwalWwA/view?usp=sharing" TargetMode="External"/><Relationship Id="rId20" Type="http://schemas.openxmlformats.org/officeDocument/2006/relationships/hyperlink" Target="https://drive.google.com/file/d/1hTxMJVrTt4XkjQt81q89L6pJ6sd3y452/view?usp=sharing" TargetMode="External"/><Relationship Id="rId41" Type="http://schemas.openxmlformats.org/officeDocument/2006/relationships/hyperlink" Target="https://drive.google.com/file/d/1hJ5srj8aNmAy0l_BifkRZgM8bqvqkuF3/view?usp=sharing" TargetMode="External"/><Relationship Id="rId54" Type="http://schemas.openxmlformats.org/officeDocument/2006/relationships/hyperlink" Target="https://drive.google.com/file/d/1sUwVvZparXQjJmLA45okLptLspX6NNOS/view?usp=sharing" TargetMode="External"/><Relationship Id="rId62" Type="http://schemas.openxmlformats.org/officeDocument/2006/relationships/hyperlink" Target="https://drive.google.com/file/d/1Okj27wUROPIrewGUL3RoY8wJOkk2XNcb/view?usp=sharing" TargetMode="External"/><Relationship Id="rId70" Type="http://schemas.openxmlformats.org/officeDocument/2006/relationships/hyperlink" Target="https://drive.google.com/file/d/1NdQaEo5nsJfBlPyNqalT7be5vQbF-B0X/view?usp=sharing" TargetMode="External"/><Relationship Id="rId75" Type="http://schemas.openxmlformats.org/officeDocument/2006/relationships/hyperlink" Target="https://drive.google.com/file/d/1j0yn0FbwUTaLnn6wwtFNfMiI91oiMmHF/view?usp=sharing" TargetMode="External"/><Relationship Id="rId1" Type="http://schemas.openxmlformats.org/officeDocument/2006/relationships/printerSettings" Target="../printerSettings/printerSettings9.bin"/><Relationship Id="rId6" Type="http://schemas.openxmlformats.org/officeDocument/2006/relationships/hyperlink" Target="https://drive.google.com/file/d/156NvD9eO7MAGI-AlKLVFbqp45sjUmgQK/view?usp=sharing" TargetMode="External"/><Relationship Id="rId15" Type="http://schemas.openxmlformats.org/officeDocument/2006/relationships/hyperlink" Target="https://drive.google.com/file/d/1pDkU4l1zkT3aCaH-m-MQzu5gN6FMRSfW/view?usp=sharing" TargetMode="External"/><Relationship Id="rId23" Type="http://schemas.openxmlformats.org/officeDocument/2006/relationships/hyperlink" Target="https://drive.google.com/file/d/1SAH40E5moG9sxkOi1wKkRvlavEm-n70j/view?usp=sharing" TargetMode="External"/><Relationship Id="rId28" Type="http://schemas.openxmlformats.org/officeDocument/2006/relationships/hyperlink" Target="https://drive.google.com/file/d/17IFZ7PBNnIfOADbG-1uoPwX5lO8JSd8U/view?usp=sharing" TargetMode="External"/><Relationship Id="rId36" Type="http://schemas.openxmlformats.org/officeDocument/2006/relationships/hyperlink" Target="https://drive.google.com/file/d/13q1NP2e_uTghfHiSXXJZuVnsHcHkBZGs/view?usp=sharing" TargetMode="External"/><Relationship Id="rId49" Type="http://schemas.openxmlformats.org/officeDocument/2006/relationships/hyperlink" Target="https://drive.google.com/file/d/13xI2NNYs3fsFGcyMmk9tecYCJ-lh3kGw/view?usp=sharing" TargetMode="External"/><Relationship Id="rId57" Type="http://schemas.openxmlformats.org/officeDocument/2006/relationships/hyperlink" Target="https://drive.google.com/file/d/1sxmDbb8B9hiWOG-EpMmdMC30O3JpzgB4/view?usp=sharing" TargetMode="External"/><Relationship Id="rId10" Type="http://schemas.openxmlformats.org/officeDocument/2006/relationships/hyperlink" Target="https://drive.google.com/file/d/1FU-RQ-B_rjxl3oxHFfySZ1H5AQLyOx-d/view?usp=sharing" TargetMode="External"/><Relationship Id="rId31" Type="http://schemas.openxmlformats.org/officeDocument/2006/relationships/hyperlink" Target="https://drive.google.com/file/d/16JjhVwWtZgSUEYcwhTTCNdZ6Vp0POoO0/view?usp=sharing" TargetMode="External"/><Relationship Id="rId44" Type="http://schemas.openxmlformats.org/officeDocument/2006/relationships/hyperlink" Target="https://drive.google.com/file/d/15shTmMMCHsFj0gpX7mM8iPHVo5BAvnKC/view?usp=sharing" TargetMode="External"/><Relationship Id="rId52" Type="http://schemas.openxmlformats.org/officeDocument/2006/relationships/hyperlink" Target="https://drive.google.com/file/d/1AvWcVkFYt5EEBSsbxVANNJa5FTH-UNxy/view?usp=sharing" TargetMode="External"/><Relationship Id="rId60" Type="http://schemas.openxmlformats.org/officeDocument/2006/relationships/hyperlink" Target="https://drive.google.com/file/d/1qPf2MCi16C27wCtyyT_udA3sBAgQzbZp/view?usp=sharing" TargetMode="External"/><Relationship Id="rId65" Type="http://schemas.openxmlformats.org/officeDocument/2006/relationships/hyperlink" Target="https://drive.google.com/file/d/1q6UedV113Ougo5Q9fXLuXIB0h2BRAU0Q/view?usp=sharing" TargetMode="External"/><Relationship Id="rId73" Type="http://schemas.openxmlformats.org/officeDocument/2006/relationships/hyperlink" Target="https://drive.google.com/file/d/1WWW1LWMh_4I3HlWF5d9CZRritN-6bR7A/view?usp=sharing" TargetMode="External"/><Relationship Id="rId78" Type="http://schemas.openxmlformats.org/officeDocument/2006/relationships/hyperlink" Target="https://drive.google.com/file/d/1BFE26nHEj-tBDTUVp2U7LBm-j4WRVf_i/view?usp=sharing" TargetMode="External"/><Relationship Id="rId81" Type="http://schemas.openxmlformats.org/officeDocument/2006/relationships/comments" Target="../comments11.xml"/><Relationship Id="rId4" Type="http://schemas.openxmlformats.org/officeDocument/2006/relationships/hyperlink" Target="https://drive.google.com/file/d/1-9fdM3hoEPRrkFOCsrSIs5BHaLMs8bLT/view?usp=sharing" TargetMode="External"/><Relationship Id="rId9" Type="http://schemas.openxmlformats.org/officeDocument/2006/relationships/hyperlink" Target="https://drive.google.com/file/d/19NTQ6R93ON87BFOkW9AhNarMrrg2sNNY/view?usp=sharing" TargetMode="External"/><Relationship Id="rId13" Type="http://schemas.openxmlformats.org/officeDocument/2006/relationships/hyperlink" Target="https://drive.google.com/file/d/1nb0PQ8DNDhHSy2PWs33Fk1h-JRqsKXZZ/view?usp=sharing" TargetMode="External"/><Relationship Id="rId18" Type="http://schemas.openxmlformats.org/officeDocument/2006/relationships/hyperlink" Target="https://drive.google.com/file/d/1_7-zsulV9FcS2F3jRj7v8o0SHe_bSzWk/view?usp=sharing" TargetMode="External"/><Relationship Id="rId39" Type="http://schemas.openxmlformats.org/officeDocument/2006/relationships/hyperlink" Target="https://drive.google.com/file/d/1natSC2hHV1zZAhBpVqYxb4lIh-wzl-dl/view?usp=sharing" TargetMode="External"/><Relationship Id="rId34" Type="http://schemas.openxmlformats.org/officeDocument/2006/relationships/hyperlink" Target="https://drive.google.com/file/d/1JhQNLDRTlTQFVfzFDIqP-f1AZWd-N_R8/view?usp=sharing" TargetMode="External"/><Relationship Id="rId50" Type="http://schemas.openxmlformats.org/officeDocument/2006/relationships/hyperlink" Target="https://drive.google.com/file/d/1h4g4NneAITRX8jG9nQ_Fg8Z4C58JQ1dq/view?usp=sharing" TargetMode="External"/><Relationship Id="rId55" Type="http://schemas.openxmlformats.org/officeDocument/2006/relationships/hyperlink" Target="https://drive.google.com/file/d/1Mz2BdCLwdCWNAe1etrjW5HrfLE51i_1Z/view?usp=sharing" TargetMode="External"/><Relationship Id="rId76" Type="http://schemas.openxmlformats.org/officeDocument/2006/relationships/hyperlink" Target="https://drive.google.com/file/d/1ekCACP5QXiQguwRJgFf5rmoJRc-yiUkZ/view?usp=sharing" TargetMode="External"/><Relationship Id="rId7" Type="http://schemas.openxmlformats.org/officeDocument/2006/relationships/hyperlink" Target="https://drive.google.com/file/d/13kbDNnNEe50IUnVH5WwHWbKqHTR8aOxZ/view?usp=sharing" TargetMode="External"/><Relationship Id="rId71" Type="http://schemas.openxmlformats.org/officeDocument/2006/relationships/hyperlink" Target="https://drive.google.com/file/d/1rdKjtuQeFOfR6eB_jk3GDznLf6SUHgrY/view?usp=sharing" TargetMode="External"/><Relationship Id="rId2" Type="http://schemas.openxmlformats.org/officeDocument/2006/relationships/hyperlink" Target="https://drive.google.com/file/d/1eOzehJidpquZhRly7WZJl8sKNRFI1Onj/view?usp=sharing" TargetMode="External"/><Relationship Id="rId29" Type="http://schemas.openxmlformats.org/officeDocument/2006/relationships/hyperlink" Target="https://drive.google.com/file/d/19pOhOdiuef-fTW3Hk_VmGUP8fZ9h8hNj/view?usp=sharing" TargetMode="External"/><Relationship Id="rId24" Type="http://schemas.openxmlformats.org/officeDocument/2006/relationships/hyperlink" Target="https://drive.google.com/file/d/1TiRIRD7ydq4yBp4joVctIsxe_iyoBYtk/view?usp=sharing" TargetMode="External"/><Relationship Id="rId40" Type="http://schemas.openxmlformats.org/officeDocument/2006/relationships/hyperlink" Target="https://drive.google.com/file/d/1IPt-BqiiRE7t6E3C0E8A31-4oTKSBq4H/view?usp=sharing" TargetMode="External"/><Relationship Id="rId45" Type="http://schemas.openxmlformats.org/officeDocument/2006/relationships/hyperlink" Target="https://drive.google.com/file/d/1SwPuAm394WQkiewFwiIfmwbUbJW9RFan/view?usp=sharing" TargetMode="External"/><Relationship Id="rId66" Type="http://schemas.openxmlformats.org/officeDocument/2006/relationships/hyperlink" Target="https://drive.google.com/file/d/1kHbo6vjUBYxATuc2gASJGfMwvAZEQ2cm/view?usp=sharing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://luxwoodtrim.com/luxd-admin/cache/4177/4177-1920x0.jpg" TargetMode="External"/><Relationship Id="rId21" Type="http://schemas.openxmlformats.org/officeDocument/2006/relationships/hyperlink" Target="http://luxwoodtrim.com/luxd-admin/cache/3309/3309-1920x0.jpg" TargetMode="External"/><Relationship Id="rId42" Type="http://schemas.openxmlformats.org/officeDocument/2006/relationships/hyperlink" Target="http://luxwoodtrim.com/luxd-admin/cache/2351/2351-1920x0.jpg" TargetMode="External"/><Relationship Id="rId63" Type="http://schemas.openxmlformats.org/officeDocument/2006/relationships/hyperlink" Target="http://luxwoodtrim.com/luxd-admin/cache/3492/3492-1920x0.jpg" TargetMode="External"/><Relationship Id="rId84" Type="http://schemas.openxmlformats.org/officeDocument/2006/relationships/hyperlink" Target="http://luxwoodtrim.com/luxd-admin/cache/4204/4204-1920x0.jpg" TargetMode="External"/><Relationship Id="rId138" Type="http://schemas.openxmlformats.org/officeDocument/2006/relationships/hyperlink" Target="http://luxwoodtrim.com/luxd-admin/cache/4213/4213-1920x0.jpg" TargetMode="External"/><Relationship Id="rId107" Type="http://schemas.openxmlformats.org/officeDocument/2006/relationships/hyperlink" Target="http://luxwoodtrim.com/luxd-admin/cache/4590/4590-1920x0.jpg" TargetMode="External"/><Relationship Id="rId11" Type="http://schemas.openxmlformats.org/officeDocument/2006/relationships/hyperlink" Target="http://luxwoodtrim.com/luxd-admin/cache/4212/4212-1920x0.jpg" TargetMode="External"/><Relationship Id="rId32" Type="http://schemas.openxmlformats.org/officeDocument/2006/relationships/hyperlink" Target="http://luxwoodtrim.com/luxd-admin/cache/4615/4615-1920x0.jpg" TargetMode="External"/><Relationship Id="rId53" Type="http://schemas.openxmlformats.org/officeDocument/2006/relationships/hyperlink" Target="http://luxwoodtrim.com/luxd-admin/cache/2326/2326-1920x0.jpg" TargetMode="External"/><Relationship Id="rId74" Type="http://schemas.openxmlformats.org/officeDocument/2006/relationships/hyperlink" Target="http://luxwoodtrim.com/luxd-admin/cache/4495/4495-1920x0.jpg" TargetMode="External"/><Relationship Id="rId128" Type="http://schemas.openxmlformats.org/officeDocument/2006/relationships/hyperlink" Target="http://luxwoodtrim.com/luxd-admin/cache/2346/2346-1920x0.jpg" TargetMode="External"/><Relationship Id="rId5" Type="http://schemas.openxmlformats.org/officeDocument/2006/relationships/hyperlink" Target="http://luxwoodtrim.com/luxd-admin/cache/3426/3426-1920x0.jpg" TargetMode="External"/><Relationship Id="rId90" Type="http://schemas.openxmlformats.org/officeDocument/2006/relationships/hyperlink" Target="http://luxwoodtrim.com/luxd-admin/cache/4110/4110-1920x0.jpg" TargetMode="External"/><Relationship Id="rId95" Type="http://schemas.openxmlformats.org/officeDocument/2006/relationships/hyperlink" Target="http://luxwoodtrim.com/luxd-admin/cache/4701/4701-1920x0.jpg" TargetMode="External"/><Relationship Id="rId22" Type="http://schemas.openxmlformats.org/officeDocument/2006/relationships/hyperlink" Target="http://luxwoodtrim.com/luxd-admin/cache/4559/4559-1920x0.jpg" TargetMode="External"/><Relationship Id="rId27" Type="http://schemas.openxmlformats.org/officeDocument/2006/relationships/hyperlink" Target="http://luxwoodtrim.com/luxd-admin/cache/4573/4573-1920x0.jpg" TargetMode="External"/><Relationship Id="rId43" Type="http://schemas.openxmlformats.org/officeDocument/2006/relationships/hyperlink" Target="http://luxwoodtrim.com/luxd-admin/cache/2351/2351-1920x0.jpg" TargetMode="External"/><Relationship Id="rId48" Type="http://schemas.openxmlformats.org/officeDocument/2006/relationships/hyperlink" Target="http://luxwoodtrim.com/luxd-admin/cache/2325/2325-1920x0.jpg" TargetMode="External"/><Relationship Id="rId64" Type="http://schemas.openxmlformats.org/officeDocument/2006/relationships/hyperlink" Target="http://luxwoodtrim.com/luxd-admin/cache/3423/3423-1920x0.jpg" TargetMode="External"/><Relationship Id="rId69" Type="http://schemas.openxmlformats.org/officeDocument/2006/relationships/hyperlink" Target="http://luxwoodtrim.com/luxd-admin/cache/3498/3498-1920x0.jpg" TargetMode="External"/><Relationship Id="rId113" Type="http://schemas.openxmlformats.org/officeDocument/2006/relationships/hyperlink" Target="http://luxwoodtrim.com/luxd-admin/cache/4618/4618-1920x0.jpg" TargetMode="External"/><Relationship Id="rId118" Type="http://schemas.openxmlformats.org/officeDocument/2006/relationships/hyperlink" Target="http://luxwoodtrim.com/luxd-admin/cache/3654/3654-1920x0.jpg" TargetMode="External"/><Relationship Id="rId134" Type="http://schemas.openxmlformats.org/officeDocument/2006/relationships/hyperlink" Target="http://luxwoodtrim.com/luxd-admin/cache/3792/3792-1920x0.jpg" TargetMode="External"/><Relationship Id="rId139" Type="http://schemas.openxmlformats.org/officeDocument/2006/relationships/hyperlink" Target="http://luxwoodtrim.com/luxd-admin/cache/3784/3784-1920x0.jpg" TargetMode="External"/><Relationship Id="rId80" Type="http://schemas.openxmlformats.org/officeDocument/2006/relationships/hyperlink" Target="http://luxwoodtrim.com/luxd-admin/cache/3094/3094-1920x0.jpg" TargetMode="External"/><Relationship Id="rId85" Type="http://schemas.openxmlformats.org/officeDocument/2006/relationships/hyperlink" Target="http://luxwoodtrim.com/luxd-admin/cache/3956/3956-1920x0.jpg" TargetMode="External"/><Relationship Id="rId12" Type="http://schemas.openxmlformats.org/officeDocument/2006/relationships/hyperlink" Target="http://luxwoodtrim.com/luxd-admin/cache/2981/2981-1920x0.jpg" TargetMode="External"/><Relationship Id="rId17" Type="http://schemas.openxmlformats.org/officeDocument/2006/relationships/hyperlink" Target="http://luxwoodtrim.com/luxd-admin/cache/2982/2982-1920x0.jpg" TargetMode="External"/><Relationship Id="rId33" Type="http://schemas.openxmlformats.org/officeDocument/2006/relationships/hyperlink" Target="http://luxwoodtrim.com/luxd-admin/cache/4552/4552-1920x0.jpg" TargetMode="External"/><Relationship Id="rId38" Type="http://schemas.openxmlformats.org/officeDocument/2006/relationships/hyperlink" Target="http://luxwoodtrim.com/luxd-admin/cache/2858/2858-1920x0.jpg" TargetMode="External"/><Relationship Id="rId59" Type="http://schemas.openxmlformats.org/officeDocument/2006/relationships/hyperlink" Target="http://luxwoodtrim.com/luxd-admin/cache/2331/2331-1920x0.jpg" TargetMode="External"/><Relationship Id="rId103" Type="http://schemas.openxmlformats.org/officeDocument/2006/relationships/hyperlink" Target="http://luxwoodtrim.com/luxd-admin/cache/4623/4623-1920x0.jpg" TargetMode="External"/><Relationship Id="rId108" Type="http://schemas.openxmlformats.org/officeDocument/2006/relationships/hyperlink" Target="http://luxwoodtrim.com/luxd-admin/cache/4575/4575-1920x0.jpg" TargetMode="External"/><Relationship Id="rId124" Type="http://schemas.openxmlformats.org/officeDocument/2006/relationships/hyperlink" Target="http://luxwoodtrim.com/luxd-admin/cache/3569/3569-1920x0.jpg" TargetMode="External"/><Relationship Id="rId129" Type="http://schemas.openxmlformats.org/officeDocument/2006/relationships/hyperlink" Target="http://luxwoodtrim.com/luxd-admin/cache/2347/2347-1920x0.jpg" TargetMode="External"/><Relationship Id="rId54" Type="http://schemas.openxmlformats.org/officeDocument/2006/relationships/hyperlink" Target="http://luxwoodtrim.com/luxd-admin/cache/3585/3585-1920x0.jpg" TargetMode="External"/><Relationship Id="rId70" Type="http://schemas.openxmlformats.org/officeDocument/2006/relationships/hyperlink" Target="http://luxwoodtrim.com/luxd-admin/cache/4372/4372-1920x0.jpg" TargetMode="External"/><Relationship Id="rId75" Type="http://schemas.openxmlformats.org/officeDocument/2006/relationships/hyperlink" Target="http://luxwoodtrim.com/luxd-admin/cache/3955/3955-1920x0.jpg" TargetMode="External"/><Relationship Id="rId91" Type="http://schemas.openxmlformats.org/officeDocument/2006/relationships/hyperlink" Target="http://luxwoodtrim.com/luxd-admin/cache/4592/4592-1920x0.jpg" TargetMode="External"/><Relationship Id="rId96" Type="http://schemas.openxmlformats.org/officeDocument/2006/relationships/hyperlink" Target="http://luxwoodtrim.com/luxd-admin/cache/4625/4625-1920x0.jpg" TargetMode="External"/><Relationship Id="rId140" Type="http://schemas.openxmlformats.org/officeDocument/2006/relationships/hyperlink" Target="http://luxwoodtrim.com/luxd-admin/cache/3885/3885-1920x0.jpg" TargetMode="External"/><Relationship Id="rId145" Type="http://schemas.openxmlformats.org/officeDocument/2006/relationships/hyperlink" Target="http://luxwoodtrim.com/luxd-admin/cache/3655/3655-1920x0.jpg" TargetMode="External"/><Relationship Id="rId1" Type="http://schemas.openxmlformats.org/officeDocument/2006/relationships/hyperlink" Target="http://luxwoodtrim.com/luxd-admin/cache/3012/3012-1920x0.jpg" TargetMode="External"/><Relationship Id="rId6" Type="http://schemas.openxmlformats.org/officeDocument/2006/relationships/hyperlink" Target="http://luxwoodtrim.com/luxd-admin/cache/3428/3428-1920x0.jpg" TargetMode="External"/><Relationship Id="rId23" Type="http://schemas.openxmlformats.org/officeDocument/2006/relationships/hyperlink" Target="http://luxwoodtrim.com/luxd-admin/cache/4570/4570-1920x0.jpg" TargetMode="External"/><Relationship Id="rId28" Type="http://schemas.openxmlformats.org/officeDocument/2006/relationships/hyperlink" Target="http://luxwoodtrim.com/luxd-admin/cache/4562/4562-1920x0.jpg" TargetMode="External"/><Relationship Id="rId49" Type="http://schemas.openxmlformats.org/officeDocument/2006/relationships/hyperlink" Target="http://luxwoodtrim.com/luxd-admin/cache/2322/2322-1920x0.jpg" TargetMode="External"/><Relationship Id="rId114" Type="http://schemas.openxmlformats.org/officeDocument/2006/relationships/hyperlink" Target="http://luxwoodtrim.com/luxd-admin/cache/3429/3429-1920x0.jpg" TargetMode="External"/><Relationship Id="rId119" Type="http://schemas.openxmlformats.org/officeDocument/2006/relationships/hyperlink" Target="http://luxwoodtrim.com/luxd-admin/cache/4205/4205-1920x0.jpg" TargetMode="External"/><Relationship Id="rId44" Type="http://schemas.openxmlformats.org/officeDocument/2006/relationships/hyperlink" Target="http://luxwoodtrim.com/luxd-admin/cache/2353/2353-1920x0.jpg" TargetMode="External"/><Relationship Id="rId60" Type="http://schemas.openxmlformats.org/officeDocument/2006/relationships/hyperlink" Target="http://luxwoodtrim.com/luxd-admin/cache/2332/2332-1920x0.jpg" TargetMode="External"/><Relationship Id="rId65" Type="http://schemas.openxmlformats.org/officeDocument/2006/relationships/hyperlink" Target="http://luxwoodtrim.com/luxd-admin/cache/4949/4949-1920x0.jpg" TargetMode="External"/><Relationship Id="rId81" Type="http://schemas.openxmlformats.org/officeDocument/2006/relationships/hyperlink" Target="http://luxwoodtrim.com/luxd-admin/cache/2333/2333-1920x0.jpg" TargetMode="External"/><Relationship Id="rId86" Type="http://schemas.openxmlformats.org/officeDocument/2006/relationships/hyperlink" Target="http://luxwoodtrim.com/luxd-admin/cache/2335/2335-1920x0.jpg" TargetMode="External"/><Relationship Id="rId130" Type="http://schemas.openxmlformats.org/officeDocument/2006/relationships/hyperlink" Target="http://luxwoodtrim.com/luxd-admin/cache/2348/2348-1920x0.jpg" TargetMode="External"/><Relationship Id="rId135" Type="http://schemas.openxmlformats.org/officeDocument/2006/relationships/hyperlink" Target="http://luxwoodtrim.com/luxd-admin/cache/3653/3653-1920x0.jpg" TargetMode="External"/><Relationship Id="rId13" Type="http://schemas.openxmlformats.org/officeDocument/2006/relationships/hyperlink" Target="http://luxwoodtrim.com/luxd-admin/cache/3830/3830-1920x0.jpg" TargetMode="External"/><Relationship Id="rId18" Type="http://schemas.openxmlformats.org/officeDocument/2006/relationships/hyperlink" Target="http://luxwoodtrim.com/luxd-admin/cache/4109/4109-1920x0.jpg" TargetMode="External"/><Relationship Id="rId39" Type="http://schemas.openxmlformats.org/officeDocument/2006/relationships/hyperlink" Target="http://luxwoodtrim.com/luxd-admin/cache/3095/3095-1920x0.jpg" TargetMode="External"/><Relationship Id="rId109" Type="http://schemas.openxmlformats.org/officeDocument/2006/relationships/hyperlink" Target="http://luxwoodtrim.com/luxd-admin/cache/4700/4700-1920x0.jpg" TargetMode="External"/><Relationship Id="rId34" Type="http://schemas.openxmlformats.org/officeDocument/2006/relationships/hyperlink" Target="http://luxwoodtrim.com/luxd-admin/cache/4560/4560-1920x0.jpg" TargetMode="External"/><Relationship Id="rId50" Type="http://schemas.openxmlformats.org/officeDocument/2006/relationships/hyperlink" Target="http://luxwoodtrim.com/luxd-admin/cache/2323/2323-1920x0.jpg" TargetMode="External"/><Relationship Id="rId55" Type="http://schemas.openxmlformats.org/officeDocument/2006/relationships/hyperlink" Target="http://luxwoodtrim.com/luxd-admin/cache/2329/2329-1920x0.jpg" TargetMode="External"/><Relationship Id="rId76" Type="http://schemas.openxmlformats.org/officeDocument/2006/relationships/hyperlink" Target="http://luxwoodtrim.com/luxd-admin/cache/2870/2870-1920x0.jpg" TargetMode="External"/><Relationship Id="rId97" Type="http://schemas.openxmlformats.org/officeDocument/2006/relationships/hyperlink" Target="http://luxwoodtrim.com/luxd-admin/cache/4589/4589-1920x0.jpg" TargetMode="External"/><Relationship Id="rId104" Type="http://schemas.openxmlformats.org/officeDocument/2006/relationships/hyperlink" Target="http://luxwoodtrim.com/luxd-admin/cache/4609/4609-1920x0.jpg" TargetMode="External"/><Relationship Id="rId120" Type="http://schemas.openxmlformats.org/officeDocument/2006/relationships/hyperlink" Target="http://luxwoodtrim.com/luxd-admin/cache/2862/2862-1920x0.jpg" TargetMode="External"/><Relationship Id="rId125" Type="http://schemas.openxmlformats.org/officeDocument/2006/relationships/hyperlink" Target="http://luxwoodtrim.com/luxd-admin/cache/2350/2350-1920x0.jpg" TargetMode="External"/><Relationship Id="rId141" Type="http://schemas.openxmlformats.org/officeDocument/2006/relationships/hyperlink" Target="http://luxwoodtrim.com/luxd-admin/cache/3649/3649-1920x0.jpg" TargetMode="External"/><Relationship Id="rId146" Type="http://schemas.openxmlformats.org/officeDocument/2006/relationships/printerSettings" Target="../printerSettings/printerSettings11.bin"/><Relationship Id="rId7" Type="http://schemas.openxmlformats.org/officeDocument/2006/relationships/hyperlink" Target="http://luxwoodtrim.com/luxd-admin/cache/4801/4801-1920x0.jpg" TargetMode="External"/><Relationship Id="rId71" Type="http://schemas.openxmlformats.org/officeDocument/2006/relationships/hyperlink" Target="http://luxwoodtrim.com/luxd-admin/cache/3611/3611-1920x0.jpg" TargetMode="External"/><Relationship Id="rId92" Type="http://schemas.openxmlformats.org/officeDocument/2006/relationships/hyperlink" Target="http://luxwoodtrim.com/luxd-admin/cache/4702/4702-1920x0.jpg" TargetMode="External"/><Relationship Id="rId2" Type="http://schemas.openxmlformats.org/officeDocument/2006/relationships/hyperlink" Target="http://luxwoodtrim.com/luxd-admin/cache/2441/2441-1920x0.jpg" TargetMode="External"/><Relationship Id="rId29" Type="http://schemas.openxmlformats.org/officeDocument/2006/relationships/hyperlink" Target="http://luxwoodtrim.com/luxd-admin/cache/4676/4676-1920x0.jpg" TargetMode="External"/><Relationship Id="rId24" Type="http://schemas.openxmlformats.org/officeDocument/2006/relationships/hyperlink" Target="http://luxwoodtrim.com/luxd-admin/cache/4563/4563-1920x0.jpg" TargetMode="External"/><Relationship Id="rId40" Type="http://schemas.openxmlformats.org/officeDocument/2006/relationships/hyperlink" Target="http://luxwoodtrim.com/luxd-admin/cache/2856/2856-1920x0.jpg" TargetMode="External"/><Relationship Id="rId45" Type="http://schemas.openxmlformats.org/officeDocument/2006/relationships/hyperlink" Target="http://luxwoodtrim.com/luxd-admin/cache/2355/2355-1920x0.jpg" TargetMode="External"/><Relationship Id="rId66" Type="http://schemas.openxmlformats.org/officeDocument/2006/relationships/hyperlink" Target="http://luxwoodtrim.com/luxd-admin/cache/4948/4948-1920x0.jpg" TargetMode="External"/><Relationship Id="rId87" Type="http://schemas.openxmlformats.org/officeDocument/2006/relationships/hyperlink" Target="http://luxwoodtrim.com/luxd-admin/cache/2336/2336-1920x0.jpg" TargetMode="External"/><Relationship Id="rId110" Type="http://schemas.openxmlformats.org/officeDocument/2006/relationships/hyperlink" Target="http://luxwoodtrim.com/luxd-admin/cache/4620/4620-1920x0.jpg" TargetMode="External"/><Relationship Id="rId115" Type="http://schemas.openxmlformats.org/officeDocument/2006/relationships/hyperlink" Target="http://luxwoodtrim.com/luxd-admin/cache/4422/4422-1920x0.jpg" TargetMode="External"/><Relationship Id="rId131" Type="http://schemas.openxmlformats.org/officeDocument/2006/relationships/hyperlink" Target="http://luxwoodtrim.com/luxd-admin/cache/2358/2358-1920x0.jpg" TargetMode="External"/><Relationship Id="rId136" Type="http://schemas.openxmlformats.org/officeDocument/2006/relationships/hyperlink" Target="http://luxwoodtrim.com/luxd-admin/cache/4304/4304-1920x0.jpg" TargetMode="External"/><Relationship Id="rId61" Type="http://schemas.openxmlformats.org/officeDocument/2006/relationships/hyperlink" Target="http://luxwoodtrim.com/luxd-admin/cache/3957/3957-1920x0.jpg" TargetMode="External"/><Relationship Id="rId82" Type="http://schemas.openxmlformats.org/officeDocument/2006/relationships/hyperlink" Target="http://luxwoodtrim.com/luxd-admin/cache/3581/3581-1920x0.jpg" TargetMode="External"/><Relationship Id="rId19" Type="http://schemas.openxmlformats.org/officeDocument/2006/relationships/hyperlink" Target="http://luxwoodtrim.com/luxd-admin/cache/3016/3016-1920x0.jpg" TargetMode="External"/><Relationship Id="rId14" Type="http://schemas.openxmlformats.org/officeDocument/2006/relationships/hyperlink" Target="http://luxwoodtrim.com/luxd-admin/cache/4203/4203-1920x0.jpg" TargetMode="External"/><Relationship Id="rId30" Type="http://schemas.openxmlformats.org/officeDocument/2006/relationships/hyperlink" Target="http://luxwoodtrim.com/luxd-admin/cache/4617/4617-1920x0.jpg" TargetMode="External"/><Relationship Id="rId35" Type="http://schemas.openxmlformats.org/officeDocument/2006/relationships/hyperlink" Target="http://luxwoodtrim.com/luxd-admin/cache/4616/4616-1920x0.jpg" TargetMode="External"/><Relationship Id="rId56" Type="http://schemas.openxmlformats.org/officeDocument/2006/relationships/hyperlink" Target="http://luxwoodtrim.com/luxd-admin/cache/2356/2356-1920x0.jpg" TargetMode="External"/><Relationship Id="rId77" Type="http://schemas.openxmlformats.org/officeDocument/2006/relationships/hyperlink" Target="http://luxwoodtrim.com/luxd-admin/cache/2869/2869-1920x0.jpg" TargetMode="External"/><Relationship Id="rId100" Type="http://schemas.openxmlformats.org/officeDocument/2006/relationships/hyperlink" Target="http://luxwoodtrim.com/luxd-admin/cache/4608/4608-1920x0.jpg" TargetMode="External"/><Relationship Id="rId105" Type="http://schemas.openxmlformats.org/officeDocument/2006/relationships/hyperlink" Target="http://luxwoodtrim.com/luxd-admin/cache/4610/4610-1920x0.jpg" TargetMode="External"/><Relationship Id="rId126" Type="http://schemas.openxmlformats.org/officeDocument/2006/relationships/hyperlink" Target="http://luxwoodtrim.com/luxd-admin/cache/4160/4160-1920x0.jpg" TargetMode="External"/><Relationship Id="rId8" Type="http://schemas.openxmlformats.org/officeDocument/2006/relationships/hyperlink" Target="http://luxwoodtrim.com/luxd-admin/cache/2876/2876-1920x0.jpg" TargetMode="External"/><Relationship Id="rId51" Type="http://schemas.openxmlformats.org/officeDocument/2006/relationships/hyperlink" Target="http://luxwoodtrim.com/luxd-admin/cache/2677/2677-1920x0.jpg" TargetMode="External"/><Relationship Id="rId72" Type="http://schemas.openxmlformats.org/officeDocument/2006/relationships/hyperlink" Target="http://luxwoodtrim.com/luxd-admin/cache/2871/2871-1920x0.jpg" TargetMode="External"/><Relationship Id="rId93" Type="http://schemas.openxmlformats.org/officeDocument/2006/relationships/hyperlink" Target="http://luxwoodtrim.com/luxd-admin/cache/4591/4591-1920x0.jpg" TargetMode="External"/><Relationship Id="rId98" Type="http://schemas.openxmlformats.org/officeDocument/2006/relationships/hyperlink" Target="http://luxwoodtrim.com/luxd-admin/cache/4588/4588-1920x0.jpg" TargetMode="External"/><Relationship Id="rId121" Type="http://schemas.openxmlformats.org/officeDocument/2006/relationships/hyperlink" Target="http://luxwoodtrim.com/luxd-admin/cache/3096/3096-1920x0.jpg" TargetMode="External"/><Relationship Id="rId142" Type="http://schemas.openxmlformats.org/officeDocument/2006/relationships/hyperlink" Target="http://luxwoodtrim.com/luxd-admin/cache/3986/3986-1920x0.jpg" TargetMode="External"/><Relationship Id="rId3" Type="http://schemas.openxmlformats.org/officeDocument/2006/relationships/hyperlink" Target="http://luxwoodtrim.com/luxd-admin/cache/2442/2442-1920x0.jpg" TargetMode="External"/><Relationship Id="rId25" Type="http://schemas.openxmlformats.org/officeDocument/2006/relationships/hyperlink" Target="http://luxwoodtrim.com/luxd-admin/cache/4630/4630-1920x0.jpg" TargetMode="External"/><Relationship Id="rId46" Type="http://schemas.openxmlformats.org/officeDocument/2006/relationships/hyperlink" Target="http://luxwoodtrim.com/luxd-admin/cache/2321/2321-1920x0.jpg" TargetMode="External"/><Relationship Id="rId67" Type="http://schemas.openxmlformats.org/officeDocument/2006/relationships/hyperlink" Target="http://luxwoodtrim.com/luxd-admin/cache/4583/4583-1920x0.jpg" TargetMode="External"/><Relationship Id="rId116" Type="http://schemas.openxmlformats.org/officeDocument/2006/relationships/hyperlink" Target="http://luxwoodtrim.com/luxd-admin/cache/3493/3493-1920x0.jpg" TargetMode="External"/><Relationship Id="rId137" Type="http://schemas.openxmlformats.org/officeDocument/2006/relationships/hyperlink" Target="http://luxwoodtrim.com/luxd-admin/cache/3786/3786-1920x0.jpg" TargetMode="External"/><Relationship Id="rId20" Type="http://schemas.openxmlformats.org/officeDocument/2006/relationships/hyperlink" Target="http://luxwoodtrim.com/luxd-admin/cache/3010/3010-1920x0.jpg" TargetMode="External"/><Relationship Id="rId41" Type="http://schemas.openxmlformats.org/officeDocument/2006/relationships/hyperlink" Target="http://luxwoodtrim.com/luxd-admin/cache/2352/2352-1920x0.jpg" TargetMode="External"/><Relationship Id="rId62" Type="http://schemas.openxmlformats.org/officeDocument/2006/relationships/hyperlink" Target="http://luxwoodtrim.com/luxd-admin/cache/3957/3957-1920x0.jpg" TargetMode="External"/><Relationship Id="rId83" Type="http://schemas.openxmlformats.org/officeDocument/2006/relationships/hyperlink" Target="http://luxwoodtrim.com/luxd-admin/cache/3582/3582-1920x0.jpg" TargetMode="External"/><Relationship Id="rId88" Type="http://schemas.openxmlformats.org/officeDocument/2006/relationships/hyperlink" Target="http://luxwoodtrim.com/luxd-admin/cache/2337/2337-1920x0.jpg" TargetMode="External"/><Relationship Id="rId111" Type="http://schemas.openxmlformats.org/officeDocument/2006/relationships/hyperlink" Target="http://luxwoodtrim.com/luxd-admin/cache/4576/4576-1920x0.jpg" TargetMode="External"/><Relationship Id="rId132" Type="http://schemas.openxmlformats.org/officeDocument/2006/relationships/hyperlink" Target="http://luxwoodtrim.com/luxd-admin/cache/3788/3788-1920x0.jpg" TargetMode="External"/><Relationship Id="rId15" Type="http://schemas.openxmlformats.org/officeDocument/2006/relationships/hyperlink" Target="http://luxwoodtrim.com/luxd-admin/cache/3958/3958-1920x0.jpg" TargetMode="External"/><Relationship Id="rId36" Type="http://schemas.openxmlformats.org/officeDocument/2006/relationships/hyperlink" Target="http://luxwoodtrim.com/luxd-admin/cache/3017/3017-1920x0.jpg" TargetMode="External"/><Relationship Id="rId57" Type="http://schemas.openxmlformats.org/officeDocument/2006/relationships/hyperlink" Target="http://luxwoodtrim.com/luxd-admin/cache/2957/2957-1920x0.jpg" TargetMode="External"/><Relationship Id="rId106" Type="http://schemas.openxmlformats.org/officeDocument/2006/relationships/hyperlink" Target="http://luxwoodtrim.com/luxd-admin/cache/4624/4624-1920x0.jpg" TargetMode="External"/><Relationship Id="rId127" Type="http://schemas.openxmlformats.org/officeDocument/2006/relationships/hyperlink" Target="http://luxwoodtrim.com/luxd-admin/cache/2959/2959-1920x0.jpg" TargetMode="External"/><Relationship Id="rId10" Type="http://schemas.openxmlformats.org/officeDocument/2006/relationships/hyperlink" Target="http://luxwoodtrim.com/luxd-admin/cache/3011/3011-1920x0.jpg" TargetMode="External"/><Relationship Id="rId31" Type="http://schemas.openxmlformats.org/officeDocument/2006/relationships/hyperlink" Target="http://luxwoodtrim.com/luxd-admin/cache/4567/4567-1920x0.jpg" TargetMode="External"/><Relationship Id="rId52" Type="http://schemas.openxmlformats.org/officeDocument/2006/relationships/hyperlink" Target="http://luxwoodtrim.com/luxd-admin/cache/4420/4420-1920x0.jpg" TargetMode="External"/><Relationship Id="rId73" Type="http://schemas.openxmlformats.org/officeDocument/2006/relationships/hyperlink" Target="http://luxwoodtrim.com/luxd-admin/cache/4494/4494-1920x0.jpg" TargetMode="External"/><Relationship Id="rId78" Type="http://schemas.openxmlformats.org/officeDocument/2006/relationships/hyperlink" Target="http://luxwoodtrim.com/luxd-admin/cache/2958/2958-1920x0.jpg" TargetMode="External"/><Relationship Id="rId94" Type="http://schemas.openxmlformats.org/officeDocument/2006/relationships/hyperlink" Target="http://luxwoodtrim.com/luxd-admin/cache/4962/4962-1920x0.jpg" TargetMode="External"/><Relationship Id="rId99" Type="http://schemas.openxmlformats.org/officeDocument/2006/relationships/hyperlink" Target="http://luxwoodtrim.com/luxd-admin/cache/4622/4622-1920x0.jpg" TargetMode="External"/><Relationship Id="rId101" Type="http://schemas.openxmlformats.org/officeDocument/2006/relationships/hyperlink" Target="http://luxwoodtrim.com/luxd-admin/cache/4587/4587-1920x0.jpg" TargetMode="External"/><Relationship Id="rId122" Type="http://schemas.openxmlformats.org/officeDocument/2006/relationships/hyperlink" Target="http://luxwoodtrim.com/luxd-admin/cache/2345/2345-1920x0.jpg" TargetMode="External"/><Relationship Id="rId143" Type="http://schemas.openxmlformats.org/officeDocument/2006/relationships/hyperlink" Target="http://luxwoodtrim.com/luxd-admin/cache/3651/3651-1920x0.jpg" TargetMode="External"/><Relationship Id="rId4" Type="http://schemas.openxmlformats.org/officeDocument/2006/relationships/hyperlink" Target="http://luxwoodtrim.com/luxd-admin/cache/3491/3491-1920x0.jpg" TargetMode="External"/><Relationship Id="rId9" Type="http://schemas.openxmlformats.org/officeDocument/2006/relationships/hyperlink" Target="http://luxwoodtrim.com/luxd-admin/cache/3097/3097-1920x0.jpg" TargetMode="External"/><Relationship Id="rId26" Type="http://schemas.openxmlformats.org/officeDocument/2006/relationships/hyperlink" Target="http://luxwoodtrim.com/luxd-admin/cache/4631/4631-1920x0.jpg" TargetMode="External"/><Relationship Id="rId47" Type="http://schemas.openxmlformats.org/officeDocument/2006/relationships/hyperlink" Target="http://luxwoodtrim.com/luxd-admin/cache/2325/2325-1920x0.jpg" TargetMode="External"/><Relationship Id="rId68" Type="http://schemas.openxmlformats.org/officeDocument/2006/relationships/hyperlink" Target="http://luxwoodtrim.com/luxd-admin/cache/3497/3497-1920x0.jpg" TargetMode="External"/><Relationship Id="rId89" Type="http://schemas.openxmlformats.org/officeDocument/2006/relationships/hyperlink" Target="http://luxwoodtrim.com/luxd-admin/cache/2338/2338-1920x0.jpg" TargetMode="External"/><Relationship Id="rId112" Type="http://schemas.openxmlformats.org/officeDocument/2006/relationships/hyperlink" Target="http://luxwoodtrim.com/luxd-admin/cache/4578/4578-1920x0.jpg" TargetMode="External"/><Relationship Id="rId133" Type="http://schemas.openxmlformats.org/officeDocument/2006/relationships/hyperlink" Target="http://luxwoodtrim.com/luxd-admin/cache/3790/3790-1920x0.jpg" TargetMode="External"/><Relationship Id="rId16" Type="http://schemas.openxmlformats.org/officeDocument/2006/relationships/hyperlink" Target="http://luxwoodtrim.com/luxd-admin/cache/4373/4373-1920x0.jpg" TargetMode="External"/><Relationship Id="rId37" Type="http://schemas.openxmlformats.org/officeDocument/2006/relationships/hyperlink" Target="http://luxwoodtrim.com/luxd-admin/cache/3018/3018-1920x0.jpg" TargetMode="External"/><Relationship Id="rId58" Type="http://schemas.openxmlformats.org/officeDocument/2006/relationships/hyperlink" Target="http://luxwoodtrim.com/luxd-admin/cache/2330/2330-1920x0.jpg" TargetMode="External"/><Relationship Id="rId79" Type="http://schemas.openxmlformats.org/officeDocument/2006/relationships/hyperlink" Target="http://luxwoodtrim.com/luxd-admin/cache/2860/2860-1920x0.jpg" TargetMode="External"/><Relationship Id="rId102" Type="http://schemas.openxmlformats.org/officeDocument/2006/relationships/hyperlink" Target="http://luxwoodtrim.com/luxd-admin/cache/4607/4607-1920x0.jpg" TargetMode="External"/><Relationship Id="rId123" Type="http://schemas.openxmlformats.org/officeDocument/2006/relationships/hyperlink" Target="http://luxwoodtrim.com/luxd-admin/cache/3568/3568-1920x0.jpg" TargetMode="External"/><Relationship Id="rId144" Type="http://schemas.openxmlformats.org/officeDocument/2006/relationships/hyperlink" Target="http://luxwoodtrim.com/luxd-admin/cache/3652/3652-1920x0.jpg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://luxwoodtrim.com/luxd-admin/cache/4177/4177-1920x0.jpg" TargetMode="External"/><Relationship Id="rId21" Type="http://schemas.openxmlformats.org/officeDocument/2006/relationships/hyperlink" Target="http://luxwoodtrim.com/luxd-admin/cache/3309/3309-1920x0.jpg" TargetMode="External"/><Relationship Id="rId42" Type="http://schemas.openxmlformats.org/officeDocument/2006/relationships/hyperlink" Target="http://luxwoodtrim.com/luxd-admin/cache/2351/2351-1920x0.jpg" TargetMode="External"/><Relationship Id="rId63" Type="http://schemas.openxmlformats.org/officeDocument/2006/relationships/hyperlink" Target="http://luxwoodtrim.com/luxd-admin/cache/3492/3492-1920x0.jpg" TargetMode="External"/><Relationship Id="rId84" Type="http://schemas.openxmlformats.org/officeDocument/2006/relationships/hyperlink" Target="http://luxwoodtrim.com/luxd-admin/cache/4204/4204-1920x0.jpg" TargetMode="External"/><Relationship Id="rId138" Type="http://schemas.openxmlformats.org/officeDocument/2006/relationships/hyperlink" Target="http://luxwoodtrim.com/luxd-admin/cache/4213/4213-1920x0.jpg" TargetMode="External"/><Relationship Id="rId107" Type="http://schemas.openxmlformats.org/officeDocument/2006/relationships/hyperlink" Target="http://luxwoodtrim.com/luxd-admin/cache/4590/4590-1920x0.jpg" TargetMode="External"/><Relationship Id="rId11" Type="http://schemas.openxmlformats.org/officeDocument/2006/relationships/hyperlink" Target="http://luxwoodtrim.com/luxd-admin/cache/4212/4212-1920x0.jpg" TargetMode="External"/><Relationship Id="rId32" Type="http://schemas.openxmlformats.org/officeDocument/2006/relationships/hyperlink" Target="http://luxwoodtrim.com/luxd-admin/cache/4615/4615-1920x0.jpg" TargetMode="External"/><Relationship Id="rId53" Type="http://schemas.openxmlformats.org/officeDocument/2006/relationships/hyperlink" Target="http://luxwoodtrim.com/luxd-admin/cache/2326/2326-1920x0.jpg" TargetMode="External"/><Relationship Id="rId74" Type="http://schemas.openxmlformats.org/officeDocument/2006/relationships/hyperlink" Target="http://luxwoodtrim.com/luxd-admin/cache/4495/4495-1920x0.jpg" TargetMode="External"/><Relationship Id="rId128" Type="http://schemas.openxmlformats.org/officeDocument/2006/relationships/hyperlink" Target="http://luxwoodtrim.com/luxd-admin/cache/2346/2346-1920x0.jpg" TargetMode="External"/><Relationship Id="rId5" Type="http://schemas.openxmlformats.org/officeDocument/2006/relationships/hyperlink" Target="http://luxwoodtrim.com/luxd-admin/cache/3426/3426-1920x0.jpg" TargetMode="External"/><Relationship Id="rId90" Type="http://schemas.openxmlformats.org/officeDocument/2006/relationships/hyperlink" Target="http://luxwoodtrim.com/luxd-admin/cache/4110/4110-1920x0.jpg" TargetMode="External"/><Relationship Id="rId95" Type="http://schemas.openxmlformats.org/officeDocument/2006/relationships/hyperlink" Target="http://luxwoodtrim.com/luxd-admin/cache/4701/4701-1920x0.jpg" TargetMode="External"/><Relationship Id="rId22" Type="http://schemas.openxmlformats.org/officeDocument/2006/relationships/hyperlink" Target="http://luxwoodtrim.com/luxd-admin/cache/4559/4559-1920x0.jpg" TargetMode="External"/><Relationship Id="rId27" Type="http://schemas.openxmlformats.org/officeDocument/2006/relationships/hyperlink" Target="http://luxwoodtrim.com/luxd-admin/cache/4573/4573-1920x0.jpg" TargetMode="External"/><Relationship Id="rId43" Type="http://schemas.openxmlformats.org/officeDocument/2006/relationships/hyperlink" Target="http://luxwoodtrim.com/luxd-admin/cache/2351/2351-1920x0.jpg" TargetMode="External"/><Relationship Id="rId48" Type="http://schemas.openxmlformats.org/officeDocument/2006/relationships/hyperlink" Target="http://luxwoodtrim.com/luxd-admin/cache/2325/2325-1920x0.jpg" TargetMode="External"/><Relationship Id="rId64" Type="http://schemas.openxmlformats.org/officeDocument/2006/relationships/hyperlink" Target="http://luxwoodtrim.com/luxd-admin/cache/3423/3423-1920x0.jpg" TargetMode="External"/><Relationship Id="rId69" Type="http://schemas.openxmlformats.org/officeDocument/2006/relationships/hyperlink" Target="http://luxwoodtrim.com/luxd-admin/cache/3498/3498-1920x0.jpg" TargetMode="External"/><Relationship Id="rId113" Type="http://schemas.openxmlformats.org/officeDocument/2006/relationships/hyperlink" Target="http://luxwoodtrim.com/luxd-admin/cache/4618/4618-1920x0.jpg" TargetMode="External"/><Relationship Id="rId118" Type="http://schemas.openxmlformats.org/officeDocument/2006/relationships/hyperlink" Target="http://luxwoodtrim.com/luxd-admin/cache/3654/3654-1920x0.jpg" TargetMode="External"/><Relationship Id="rId134" Type="http://schemas.openxmlformats.org/officeDocument/2006/relationships/hyperlink" Target="http://luxwoodtrim.com/luxd-admin/cache/3792/3792-1920x0.jpg" TargetMode="External"/><Relationship Id="rId139" Type="http://schemas.openxmlformats.org/officeDocument/2006/relationships/hyperlink" Target="http://luxwoodtrim.com/luxd-admin/cache/3784/3784-1920x0.jpg" TargetMode="External"/><Relationship Id="rId80" Type="http://schemas.openxmlformats.org/officeDocument/2006/relationships/hyperlink" Target="http://luxwoodtrim.com/luxd-admin/cache/3094/3094-1920x0.jpg" TargetMode="External"/><Relationship Id="rId85" Type="http://schemas.openxmlformats.org/officeDocument/2006/relationships/hyperlink" Target="http://luxwoodtrim.com/luxd-admin/cache/3956/3956-1920x0.jpg" TargetMode="External"/><Relationship Id="rId12" Type="http://schemas.openxmlformats.org/officeDocument/2006/relationships/hyperlink" Target="http://luxwoodtrim.com/luxd-admin/cache/2981/2981-1920x0.jpg" TargetMode="External"/><Relationship Id="rId17" Type="http://schemas.openxmlformats.org/officeDocument/2006/relationships/hyperlink" Target="http://luxwoodtrim.com/luxd-admin/cache/2982/2982-1920x0.jpg" TargetMode="External"/><Relationship Id="rId33" Type="http://schemas.openxmlformats.org/officeDocument/2006/relationships/hyperlink" Target="http://luxwoodtrim.com/luxd-admin/cache/4552/4552-1920x0.jpg" TargetMode="External"/><Relationship Id="rId38" Type="http://schemas.openxmlformats.org/officeDocument/2006/relationships/hyperlink" Target="http://luxwoodtrim.com/luxd-admin/cache/2858/2858-1920x0.jpg" TargetMode="External"/><Relationship Id="rId59" Type="http://schemas.openxmlformats.org/officeDocument/2006/relationships/hyperlink" Target="http://luxwoodtrim.com/luxd-admin/cache/2331/2331-1920x0.jpg" TargetMode="External"/><Relationship Id="rId103" Type="http://schemas.openxmlformats.org/officeDocument/2006/relationships/hyperlink" Target="http://luxwoodtrim.com/luxd-admin/cache/4623/4623-1920x0.jpg" TargetMode="External"/><Relationship Id="rId108" Type="http://schemas.openxmlformats.org/officeDocument/2006/relationships/hyperlink" Target="http://luxwoodtrim.com/luxd-admin/cache/4575/4575-1920x0.jpg" TargetMode="External"/><Relationship Id="rId124" Type="http://schemas.openxmlformats.org/officeDocument/2006/relationships/hyperlink" Target="http://luxwoodtrim.com/luxd-admin/cache/3569/3569-1920x0.jpg" TargetMode="External"/><Relationship Id="rId129" Type="http://schemas.openxmlformats.org/officeDocument/2006/relationships/hyperlink" Target="http://luxwoodtrim.com/luxd-admin/cache/2347/2347-1920x0.jpg" TargetMode="External"/><Relationship Id="rId54" Type="http://schemas.openxmlformats.org/officeDocument/2006/relationships/hyperlink" Target="http://luxwoodtrim.com/luxd-admin/cache/3585/3585-1920x0.jpg" TargetMode="External"/><Relationship Id="rId70" Type="http://schemas.openxmlformats.org/officeDocument/2006/relationships/hyperlink" Target="http://luxwoodtrim.com/luxd-admin/cache/4372/4372-1920x0.jpg" TargetMode="External"/><Relationship Id="rId75" Type="http://schemas.openxmlformats.org/officeDocument/2006/relationships/hyperlink" Target="http://luxwoodtrim.com/luxd-admin/cache/3955/3955-1920x0.jpg" TargetMode="External"/><Relationship Id="rId91" Type="http://schemas.openxmlformats.org/officeDocument/2006/relationships/hyperlink" Target="http://luxwoodtrim.com/luxd-admin/cache/4592/4592-1920x0.jpg" TargetMode="External"/><Relationship Id="rId96" Type="http://schemas.openxmlformats.org/officeDocument/2006/relationships/hyperlink" Target="http://luxwoodtrim.com/luxd-admin/cache/4625/4625-1920x0.jpg" TargetMode="External"/><Relationship Id="rId140" Type="http://schemas.openxmlformats.org/officeDocument/2006/relationships/hyperlink" Target="http://luxwoodtrim.com/luxd-admin/cache/3885/3885-1920x0.jpg" TargetMode="External"/><Relationship Id="rId145" Type="http://schemas.openxmlformats.org/officeDocument/2006/relationships/hyperlink" Target="http://luxwoodtrim.com/luxd-admin/cache/3655/3655-1920x0.jpg" TargetMode="External"/><Relationship Id="rId1" Type="http://schemas.openxmlformats.org/officeDocument/2006/relationships/hyperlink" Target="http://luxwoodtrim.com/luxd-admin/cache/3012/3012-1920x0.jpg" TargetMode="External"/><Relationship Id="rId6" Type="http://schemas.openxmlformats.org/officeDocument/2006/relationships/hyperlink" Target="http://luxwoodtrim.com/luxd-admin/cache/3428/3428-1920x0.jpg" TargetMode="External"/><Relationship Id="rId23" Type="http://schemas.openxmlformats.org/officeDocument/2006/relationships/hyperlink" Target="http://luxwoodtrim.com/luxd-admin/cache/4570/4570-1920x0.jpg" TargetMode="External"/><Relationship Id="rId28" Type="http://schemas.openxmlformats.org/officeDocument/2006/relationships/hyperlink" Target="http://luxwoodtrim.com/luxd-admin/cache/4562/4562-1920x0.jpg" TargetMode="External"/><Relationship Id="rId49" Type="http://schemas.openxmlformats.org/officeDocument/2006/relationships/hyperlink" Target="http://luxwoodtrim.com/luxd-admin/cache/2322/2322-1920x0.jpg" TargetMode="External"/><Relationship Id="rId114" Type="http://schemas.openxmlformats.org/officeDocument/2006/relationships/hyperlink" Target="http://luxwoodtrim.com/luxd-admin/cache/3429/3429-1920x0.jpg" TargetMode="External"/><Relationship Id="rId119" Type="http://schemas.openxmlformats.org/officeDocument/2006/relationships/hyperlink" Target="http://luxwoodtrim.com/luxd-admin/cache/4205/4205-1920x0.jpg" TargetMode="External"/><Relationship Id="rId44" Type="http://schemas.openxmlformats.org/officeDocument/2006/relationships/hyperlink" Target="http://luxwoodtrim.com/luxd-admin/cache/2353/2353-1920x0.jpg" TargetMode="External"/><Relationship Id="rId60" Type="http://schemas.openxmlformats.org/officeDocument/2006/relationships/hyperlink" Target="http://luxwoodtrim.com/luxd-admin/cache/2332/2332-1920x0.jpg" TargetMode="External"/><Relationship Id="rId65" Type="http://schemas.openxmlformats.org/officeDocument/2006/relationships/hyperlink" Target="http://luxwoodtrim.com/luxd-admin/cache/4949/4949-1920x0.jpg" TargetMode="External"/><Relationship Id="rId81" Type="http://schemas.openxmlformats.org/officeDocument/2006/relationships/hyperlink" Target="http://luxwoodtrim.com/luxd-admin/cache/2333/2333-1920x0.jpg" TargetMode="External"/><Relationship Id="rId86" Type="http://schemas.openxmlformats.org/officeDocument/2006/relationships/hyperlink" Target="http://luxwoodtrim.com/luxd-admin/cache/2335/2335-1920x0.jpg" TargetMode="External"/><Relationship Id="rId130" Type="http://schemas.openxmlformats.org/officeDocument/2006/relationships/hyperlink" Target="http://luxwoodtrim.com/luxd-admin/cache/2348/2348-1920x0.jpg" TargetMode="External"/><Relationship Id="rId135" Type="http://schemas.openxmlformats.org/officeDocument/2006/relationships/hyperlink" Target="http://luxwoodtrim.com/luxd-admin/cache/3653/3653-1920x0.jpg" TargetMode="External"/><Relationship Id="rId13" Type="http://schemas.openxmlformats.org/officeDocument/2006/relationships/hyperlink" Target="http://luxwoodtrim.com/luxd-admin/cache/3830/3830-1920x0.jpg" TargetMode="External"/><Relationship Id="rId18" Type="http://schemas.openxmlformats.org/officeDocument/2006/relationships/hyperlink" Target="http://luxwoodtrim.com/luxd-admin/cache/4109/4109-1920x0.jpg" TargetMode="External"/><Relationship Id="rId39" Type="http://schemas.openxmlformats.org/officeDocument/2006/relationships/hyperlink" Target="http://luxwoodtrim.com/luxd-admin/cache/3095/3095-1920x0.jpg" TargetMode="External"/><Relationship Id="rId109" Type="http://schemas.openxmlformats.org/officeDocument/2006/relationships/hyperlink" Target="http://luxwoodtrim.com/luxd-admin/cache/4700/4700-1920x0.jpg" TargetMode="External"/><Relationship Id="rId34" Type="http://schemas.openxmlformats.org/officeDocument/2006/relationships/hyperlink" Target="http://luxwoodtrim.com/luxd-admin/cache/4560/4560-1920x0.jpg" TargetMode="External"/><Relationship Id="rId50" Type="http://schemas.openxmlformats.org/officeDocument/2006/relationships/hyperlink" Target="http://luxwoodtrim.com/luxd-admin/cache/2323/2323-1920x0.jpg" TargetMode="External"/><Relationship Id="rId55" Type="http://schemas.openxmlformats.org/officeDocument/2006/relationships/hyperlink" Target="http://luxwoodtrim.com/luxd-admin/cache/2329/2329-1920x0.jpg" TargetMode="External"/><Relationship Id="rId76" Type="http://schemas.openxmlformats.org/officeDocument/2006/relationships/hyperlink" Target="http://luxwoodtrim.com/luxd-admin/cache/2870/2870-1920x0.jpg" TargetMode="External"/><Relationship Id="rId97" Type="http://schemas.openxmlformats.org/officeDocument/2006/relationships/hyperlink" Target="http://luxwoodtrim.com/luxd-admin/cache/4589/4589-1920x0.jpg" TargetMode="External"/><Relationship Id="rId104" Type="http://schemas.openxmlformats.org/officeDocument/2006/relationships/hyperlink" Target="http://luxwoodtrim.com/luxd-admin/cache/4609/4609-1920x0.jpg" TargetMode="External"/><Relationship Id="rId120" Type="http://schemas.openxmlformats.org/officeDocument/2006/relationships/hyperlink" Target="http://luxwoodtrim.com/luxd-admin/cache/2862/2862-1920x0.jpg" TargetMode="External"/><Relationship Id="rId125" Type="http://schemas.openxmlformats.org/officeDocument/2006/relationships/hyperlink" Target="http://luxwoodtrim.com/luxd-admin/cache/2350/2350-1920x0.jpg" TargetMode="External"/><Relationship Id="rId141" Type="http://schemas.openxmlformats.org/officeDocument/2006/relationships/hyperlink" Target="http://luxwoodtrim.com/luxd-admin/cache/3649/3649-1920x0.jpg" TargetMode="External"/><Relationship Id="rId146" Type="http://schemas.openxmlformats.org/officeDocument/2006/relationships/printerSettings" Target="../printerSettings/printerSettings12.bin"/><Relationship Id="rId7" Type="http://schemas.openxmlformats.org/officeDocument/2006/relationships/hyperlink" Target="http://luxwoodtrim.com/luxd-admin/cache/4801/4801-1920x0.jpg" TargetMode="External"/><Relationship Id="rId71" Type="http://schemas.openxmlformats.org/officeDocument/2006/relationships/hyperlink" Target="http://luxwoodtrim.com/luxd-admin/cache/3611/3611-1920x0.jpg" TargetMode="External"/><Relationship Id="rId92" Type="http://schemas.openxmlformats.org/officeDocument/2006/relationships/hyperlink" Target="http://luxwoodtrim.com/luxd-admin/cache/4702/4702-1920x0.jpg" TargetMode="External"/><Relationship Id="rId2" Type="http://schemas.openxmlformats.org/officeDocument/2006/relationships/hyperlink" Target="http://luxwoodtrim.com/luxd-admin/cache/2441/2441-1920x0.jpg" TargetMode="External"/><Relationship Id="rId29" Type="http://schemas.openxmlformats.org/officeDocument/2006/relationships/hyperlink" Target="http://luxwoodtrim.com/luxd-admin/cache/4676/4676-1920x0.jpg" TargetMode="External"/><Relationship Id="rId24" Type="http://schemas.openxmlformats.org/officeDocument/2006/relationships/hyperlink" Target="http://luxwoodtrim.com/luxd-admin/cache/4563/4563-1920x0.jpg" TargetMode="External"/><Relationship Id="rId40" Type="http://schemas.openxmlformats.org/officeDocument/2006/relationships/hyperlink" Target="http://luxwoodtrim.com/luxd-admin/cache/2856/2856-1920x0.jpg" TargetMode="External"/><Relationship Id="rId45" Type="http://schemas.openxmlformats.org/officeDocument/2006/relationships/hyperlink" Target="http://luxwoodtrim.com/luxd-admin/cache/2355/2355-1920x0.jpg" TargetMode="External"/><Relationship Id="rId66" Type="http://schemas.openxmlformats.org/officeDocument/2006/relationships/hyperlink" Target="http://luxwoodtrim.com/luxd-admin/cache/4948/4948-1920x0.jpg" TargetMode="External"/><Relationship Id="rId87" Type="http://schemas.openxmlformats.org/officeDocument/2006/relationships/hyperlink" Target="http://luxwoodtrim.com/luxd-admin/cache/2336/2336-1920x0.jpg" TargetMode="External"/><Relationship Id="rId110" Type="http://schemas.openxmlformats.org/officeDocument/2006/relationships/hyperlink" Target="http://luxwoodtrim.com/luxd-admin/cache/4620/4620-1920x0.jpg" TargetMode="External"/><Relationship Id="rId115" Type="http://schemas.openxmlformats.org/officeDocument/2006/relationships/hyperlink" Target="http://luxwoodtrim.com/luxd-admin/cache/4422/4422-1920x0.jpg" TargetMode="External"/><Relationship Id="rId131" Type="http://schemas.openxmlformats.org/officeDocument/2006/relationships/hyperlink" Target="http://luxwoodtrim.com/luxd-admin/cache/2358/2358-1920x0.jpg" TargetMode="External"/><Relationship Id="rId136" Type="http://schemas.openxmlformats.org/officeDocument/2006/relationships/hyperlink" Target="http://luxwoodtrim.com/luxd-admin/cache/4304/4304-1920x0.jpg" TargetMode="External"/><Relationship Id="rId61" Type="http://schemas.openxmlformats.org/officeDocument/2006/relationships/hyperlink" Target="http://luxwoodtrim.com/luxd-admin/cache/3957/3957-1920x0.jpg" TargetMode="External"/><Relationship Id="rId82" Type="http://schemas.openxmlformats.org/officeDocument/2006/relationships/hyperlink" Target="http://luxwoodtrim.com/luxd-admin/cache/3581/3581-1920x0.jpg" TargetMode="External"/><Relationship Id="rId19" Type="http://schemas.openxmlformats.org/officeDocument/2006/relationships/hyperlink" Target="http://luxwoodtrim.com/luxd-admin/cache/3016/3016-1920x0.jpg" TargetMode="External"/><Relationship Id="rId14" Type="http://schemas.openxmlformats.org/officeDocument/2006/relationships/hyperlink" Target="http://luxwoodtrim.com/luxd-admin/cache/4203/4203-1920x0.jpg" TargetMode="External"/><Relationship Id="rId30" Type="http://schemas.openxmlformats.org/officeDocument/2006/relationships/hyperlink" Target="http://luxwoodtrim.com/luxd-admin/cache/4617/4617-1920x0.jpg" TargetMode="External"/><Relationship Id="rId35" Type="http://schemas.openxmlformats.org/officeDocument/2006/relationships/hyperlink" Target="http://luxwoodtrim.com/luxd-admin/cache/4616/4616-1920x0.jpg" TargetMode="External"/><Relationship Id="rId56" Type="http://schemas.openxmlformats.org/officeDocument/2006/relationships/hyperlink" Target="http://luxwoodtrim.com/luxd-admin/cache/2356/2356-1920x0.jpg" TargetMode="External"/><Relationship Id="rId77" Type="http://schemas.openxmlformats.org/officeDocument/2006/relationships/hyperlink" Target="http://luxwoodtrim.com/luxd-admin/cache/2869/2869-1920x0.jpg" TargetMode="External"/><Relationship Id="rId100" Type="http://schemas.openxmlformats.org/officeDocument/2006/relationships/hyperlink" Target="http://luxwoodtrim.com/luxd-admin/cache/4608/4608-1920x0.jpg" TargetMode="External"/><Relationship Id="rId105" Type="http://schemas.openxmlformats.org/officeDocument/2006/relationships/hyperlink" Target="http://luxwoodtrim.com/luxd-admin/cache/4610/4610-1920x0.jpg" TargetMode="External"/><Relationship Id="rId126" Type="http://schemas.openxmlformats.org/officeDocument/2006/relationships/hyperlink" Target="http://luxwoodtrim.com/luxd-admin/cache/4160/4160-1920x0.jpg" TargetMode="External"/><Relationship Id="rId8" Type="http://schemas.openxmlformats.org/officeDocument/2006/relationships/hyperlink" Target="http://luxwoodtrim.com/luxd-admin/cache/2876/2876-1920x0.jpg" TargetMode="External"/><Relationship Id="rId51" Type="http://schemas.openxmlformats.org/officeDocument/2006/relationships/hyperlink" Target="http://luxwoodtrim.com/luxd-admin/cache/2677/2677-1920x0.jpg" TargetMode="External"/><Relationship Id="rId72" Type="http://schemas.openxmlformats.org/officeDocument/2006/relationships/hyperlink" Target="http://luxwoodtrim.com/luxd-admin/cache/2871/2871-1920x0.jpg" TargetMode="External"/><Relationship Id="rId93" Type="http://schemas.openxmlformats.org/officeDocument/2006/relationships/hyperlink" Target="http://luxwoodtrim.com/luxd-admin/cache/4591/4591-1920x0.jpg" TargetMode="External"/><Relationship Id="rId98" Type="http://schemas.openxmlformats.org/officeDocument/2006/relationships/hyperlink" Target="http://luxwoodtrim.com/luxd-admin/cache/4588/4588-1920x0.jpg" TargetMode="External"/><Relationship Id="rId121" Type="http://schemas.openxmlformats.org/officeDocument/2006/relationships/hyperlink" Target="http://luxwoodtrim.com/luxd-admin/cache/3096/3096-1920x0.jpg" TargetMode="External"/><Relationship Id="rId142" Type="http://schemas.openxmlformats.org/officeDocument/2006/relationships/hyperlink" Target="http://luxwoodtrim.com/luxd-admin/cache/3986/3986-1920x0.jpg" TargetMode="External"/><Relationship Id="rId3" Type="http://schemas.openxmlformats.org/officeDocument/2006/relationships/hyperlink" Target="http://luxwoodtrim.com/luxd-admin/cache/2442/2442-1920x0.jpg" TargetMode="External"/><Relationship Id="rId25" Type="http://schemas.openxmlformats.org/officeDocument/2006/relationships/hyperlink" Target="http://luxwoodtrim.com/luxd-admin/cache/4630/4630-1920x0.jpg" TargetMode="External"/><Relationship Id="rId46" Type="http://schemas.openxmlformats.org/officeDocument/2006/relationships/hyperlink" Target="http://luxwoodtrim.com/luxd-admin/cache/2321/2321-1920x0.jpg" TargetMode="External"/><Relationship Id="rId67" Type="http://schemas.openxmlformats.org/officeDocument/2006/relationships/hyperlink" Target="http://luxwoodtrim.com/luxd-admin/cache/4583/4583-1920x0.jpg" TargetMode="External"/><Relationship Id="rId116" Type="http://schemas.openxmlformats.org/officeDocument/2006/relationships/hyperlink" Target="http://luxwoodtrim.com/luxd-admin/cache/3493/3493-1920x0.jpg" TargetMode="External"/><Relationship Id="rId137" Type="http://schemas.openxmlformats.org/officeDocument/2006/relationships/hyperlink" Target="http://luxwoodtrim.com/luxd-admin/cache/3786/3786-1920x0.jpg" TargetMode="External"/><Relationship Id="rId20" Type="http://schemas.openxmlformats.org/officeDocument/2006/relationships/hyperlink" Target="http://luxwoodtrim.com/luxd-admin/cache/3010/3010-1920x0.jpg" TargetMode="External"/><Relationship Id="rId41" Type="http://schemas.openxmlformats.org/officeDocument/2006/relationships/hyperlink" Target="http://luxwoodtrim.com/luxd-admin/cache/2352/2352-1920x0.jpg" TargetMode="External"/><Relationship Id="rId62" Type="http://schemas.openxmlformats.org/officeDocument/2006/relationships/hyperlink" Target="http://luxwoodtrim.com/luxd-admin/cache/3957/3957-1920x0.jpg" TargetMode="External"/><Relationship Id="rId83" Type="http://schemas.openxmlformats.org/officeDocument/2006/relationships/hyperlink" Target="http://luxwoodtrim.com/luxd-admin/cache/3582/3582-1920x0.jpg" TargetMode="External"/><Relationship Id="rId88" Type="http://schemas.openxmlformats.org/officeDocument/2006/relationships/hyperlink" Target="http://luxwoodtrim.com/luxd-admin/cache/2337/2337-1920x0.jpg" TargetMode="External"/><Relationship Id="rId111" Type="http://schemas.openxmlformats.org/officeDocument/2006/relationships/hyperlink" Target="http://luxwoodtrim.com/luxd-admin/cache/4576/4576-1920x0.jpg" TargetMode="External"/><Relationship Id="rId132" Type="http://schemas.openxmlformats.org/officeDocument/2006/relationships/hyperlink" Target="http://luxwoodtrim.com/luxd-admin/cache/3788/3788-1920x0.jpg" TargetMode="External"/><Relationship Id="rId15" Type="http://schemas.openxmlformats.org/officeDocument/2006/relationships/hyperlink" Target="http://luxwoodtrim.com/luxd-admin/cache/3958/3958-1920x0.jpg" TargetMode="External"/><Relationship Id="rId36" Type="http://schemas.openxmlformats.org/officeDocument/2006/relationships/hyperlink" Target="http://luxwoodtrim.com/luxd-admin/cache/3017/3017-1920x0.jpg" TargetMode="External"/><Relationship Id="rId57" Type="http://schemas.openxmlformats.org/officeDocument/2006/relationships/hyperlink" Target="http://luxwoodtrim.com/luxd-admin/cache/2957/2957-1920x0.jpg" TargetMode="External"/><Relationship Id="rId106" Type="http://schemas.openxmlformats.org/officeDocument/2006/relationships/hyperlink" Target="http://luxwoodtrim.com/luxd-admin/cache/4624/4624-1920x0.jpg" TargetMode="External"/><Relationship Id="rId127" Type="http://schemas.openxmlformats.org/officeDocument/2006/relationships/hyperlink" Target="http://luxwoodtrim.com/luxd-admin/cache/2959/2959-1920x0.jpg" TargetMode="External"/><Relationship Id="rId10" Type="http://schemas.openxmlformats.org/officeDocument/2006/relationships/hyperlink" Target="http://luxwoodtrim.com/luxd-admin/cache/3011/3011-1920x0.jpg" TargetMode="External"/><Relationship Id="rId31" Type="http://schemas.openxmlformats.org/officeDocument/2006/relationships/hyperlink" Target="http://luxwoodtrim.com/luxd-admin/cache/4567/4567-1920x0.jpg" TargetMode="External"/><Relationship Id="rId52" Type="http://schemas.openxmlformats.org/officeDocument/2006/relationships/hyperlink" Target="http://luxwoodtrim.com/luxd-admin/cache/4420/4420-1920x0.jpg" TargetMode="External"/><Relationship Id="rId73" Type="http://schemas.openxmlformats.org/officeDocument/2006/relationships/hyperlink" Target="http://luxwoodtrim.com/luxd-admin/cache/4494/4494-1920x0.jpg" TargetMode="External"/><Relationship Id="rId78" Type="http://schemas.openxmlformats.org/officeDocument/2006/relationships/hyperlink" Target="http://luxwoodtrim.com/luxd-admin/cache/2958/2958-1920x0.jpg" TargetMode="External"/><Relationship Id="rId94" Type="http://schemas.openxmlformats.org/officeDocument/2006/relationships/hyperlink" Target="http://luxwoodtrim.com/luxd-admin/cache/4962/4962-1920x0.jpg" TargetMode="External"/><Relationship Id="rId99" Type="http://schemas.openxmlformats.org/officeDocument/2006/relationships/hyperlink" Target="http://luxwoodtrim.com/luxd-admin/cache/4622/4622-1920x0.jpg" TargetMode="External"/><Relationship Id="rId101" Type="http://schemas.openxmlformats.org/officeDocument/2006/relationships/hyperlink" Target="http://luxwoodtrim.com/luxd-admin/cache/4587/4587-1920x0.jpg" TargetMode="External"/><Relationship Id="rId122" Type="http://schemas.openxmlformats.org/officeDocument/2006/relationships/hyperlink" Target="http://luxwoodtrim.com/luxd-admin/cache/2345/2345-1920x0.jpg" TargetMode="External"/><Relationship Id="rId143" Type="http://schemas.openxmlformats.org/officeDocument/2006/relationships/hyperlink" Target="http://luxwoodtrim.com/luxd-admin/cache/3651/3651-1920x0.jpg" TargetMode="External"/><Relationship Id="rId4" Type="http://schemas.openxmlformats.org/officeDocument/2006/relationships/hyperlink" Target="http://luxwoodtrim.com/luxd-admin/cache/3491/3491-1920x0.jpg" TargetMode="External"/><Relationship Id="rId9" Type="http://schemas.openxmlformats.org/officeDocument/2006/relationships/hyperlink" Target="http://luxwoodtrim.com/luxd-admin/cache/3097/3097-1920x0.jpg" TargetMode="External"/><Relationship Id="rId26" Type="http://schemas.openxmlformats.org/officeDocument/2006/relationships/hyperlink" Target="http://luxwoodtrim.com/luxd-admin/cache/4631/4631-1920x0.jpg" TargetMode="External"/><Relationship Id="rId47" Type="http://schemas.openxmlformats.org/officeDocument/2006/relationships/hyperlink" Target="http://luxwoodtrim.com/luxd-admin/cache/2325/2325-1920x0.jpg" TargetMode="External"/><Relationship Id="rId68" Type="http://schemas.openxmlformats.org/officeDocument/2006/relationships/hyperlink" Target="http://luxwoodtrim.com/luxd-admin/cache/3497/3497-1920x0.jpg" TargetMode="External"/><Relationship Id="rId89" Type="http://schemas.openxmlformats.org/officeDocument/2006/relationships/hyperlink" Target="http://luxwoodtrim.com/luxd-admin/cache/2338/2338-1920x0.jpg" TargetMode="External"/><Relationship Id="rId112" Type="http://schemas.openxmlformats.org/officeDocument/2006/relationships/hyperlink" Target="http://luxwoodtrim.com/luxd-admin/cache/4578/4578-1920x0.jpg" TargetMode="External"/><Relationship Id="rId133" Type="http://schemas.openxmlformats.org/officeDocument/2006/relationships/hyperlink" Target="http://luxwoodtrim.com/luxd-admin/cache/3790/3790-1920x0.jpg" TargetMode="External"/><Relationship Id="rId16" Type="http://schemas.openxmlformats.org/officeDocument/2006/relationships/hyperlink" Target="http://luxwoodtrim.com/luxd-admin/cache/4373/4373-1920x0.jpg" TargetMode="External"/><Relationship Id="rId37" Type="http://schemas.openxmlformats.org/officeDocument/2006/relationships/hyperlink" Target="http://luxwoodtrim.com/luxd-admin/cache/3018/3018-1920x0.jpg" TargetMode="External"/><Relationship Id="rId58" Type="http://schemas.openxmlformats.org/officeDocument/2006/relationships/hyperlink" Target="http://luxwoodtrim.com/luxd-admin/cache/2330/2330-1920x0.jpg" TargetMode="External"/><Relationship Id="rId79" Type="http://schemas.openxmlformats.org/officeDocument/2006/relationships/hyperlink" Target="http://luxwoodtrim.com/luxd-admin/cache/2860/2860-1920x0.jpg" TargetMode="External"/><Relationship Id="rId102" Type="http://schemas.openxmlformats.org/officeDocument/2006/relationships/hyperlink" Target="http://luxwoodtrim.com/luxd-admin/cache/4607/4607-1920x0.jpg" TargetMode="External"/><Relationship Id="rId123" Type="http://schemas.openxmlformats.org/officeDocument/2006/relationships/hyperlink" Target="http://luxwoodtrim.com/luxd-admin/cache/3568/3568-1920x0.jpg" TargetMode="External"/><Relationship Id="rId144" Type="http://schemas.openxmlformats.org/officeDocument/2006/relationships/hyperlink" Target="http://luxwoodtrim.com/luxd-admin/cache/3652/3652-1920x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DF71-E5A6-48EE-9898-88B2E3717708}">
  <sheetPr published="0">
    <tabColor theme="8" tint="0.39997558519241921"/>
  </sheetPr>
  <dimension ref="A1:T136"/>
  <sheetViews>
    <sheetView tabSelected="1" topLeftCell="A79" zoomScale="85" zoomScaleNormal="85" workbookViewId="0">
      <selection activeCell="A2" sqref="A2"/>
    </sheetView>
  </sheetViews>
  <sheetFormatPr defaultRowHeight="15"/>
  <cols>
    <col min="1" max="1" width="22.42578125" bestFit="1" customWidth="1"/>
    <col min="2" max="2" width="80.140625" customWidth="1"/>
    <col min="3" max="3" width="104" customWidth="1"/>
    <col min="4" max="4" width="111.5703125" customWidth="1"/>
    <col min="5" max="5" width="4.42578125" bestFit="1" customWidth="1"/>
    <col min="6" max="7" width="4" customWidth="1"/>
    <col min="8" max="8" width="5.28515625" customWidth="1"/>
    <col min="9" max="9" width="5.28515625" bestFit="1" customWidth="1"/>
    <col min="10" max="10" width="6.42578125" customWidth="1"/>
    <col min="11" max="11" width="6.42578125" bestFit="1" customWidth="1"/>
    <col min="12" max="12" width="9" customWidth="1"/>
    <col min="13" max="13" width="6.5703125" bestFit="1" customWidth="1"/>
    <col min="14" max="14" width="4" customWidth="1"/>
    <col min="15" max="15" width="12.28515625" customWidth="1"/>
    <col min="16" max="16" width="12" bestFit="1" customWidth="1"/>
    <col min="17" max="17" width="11.85546875" bestFit="1" customWidth="1"/>
    <col min="18" max="18" width="11.42578125" bestFit="1" customWidth="1"/>
    <col min="19" max="19" width="9.5703125" bestFit="1" customWidth="1"/>
    <col min="20" max="20" width="12.28515625" customWidth="1"/>
  </cols>
  <sheetData>
    <row r="1" spans="1:20" ht="45">
      <c r="A1" s="346" t="s">
        <v>2230</v>
      </c>
      <c r="B1" s="347"/>
      <c r="C1" s="347"/>
      <c r="D1" s="347"/>
      <c r="E1" s="348" t="s">
        <v>1039</v>
      </c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9">
        <v>125</v>
      </c>
      <c r="Q1" s="54"/>
      <c r="R1" s="68"/>
      <c r="S1" s="349" t="s">
        <v>213</v>
      </c>
      <c r="T1" s="350"/>
    </row>
    <row r="2" spans="1:20" ht="31.5">
      <c r="A2" s="10" t="s">
        <v>140</v>
      </c>
      <c r="B2" s="10" t="s">
        <v>141</v>
      </c>
      <c r="C2" s="10" t="s">
        <v>142</v>
      </c>
      <c r="D2" s="10" t="s">
        <v>143</v>
      </c>
      <c r="E2" s="134" t="s">
        <v>450</v>
      </c>
      <c r="F2" s="134" t="s">
        <v>451</v>
      </c>
      <c r="G2" s="4" t="s">
        <v>452</v>
      </c>
      <c r="H2" s="4" t="s">
        <v>455</v>
      </c>
      <c r="I2" s="4" t="s">
        <v>453</v>
      </c>
      <c r="J2" s="4" t="s">
        <v>1581</v>
      </c>
      <c r="K2" s="4" t="s">
        <v>1863</v>
      </c>
      <c r="L2" s="141" t="s">
        <v>1859</v>
      </c>
      <c r="M2" s="351" t="s">
        <v>1860</v>
      </c>
      <c r="N2" s="352"/>
      <c r="O2" s="10" t="s">
        <v>144</v>
      </c>
      <c r="P2" s="219" t="s">
        <v>145</v>
      </c>
      <c r="Q2" s="261" t="s">
        <v>146</v>
      </c>
      <c r="R2" s="10" t="s">
        <v>147</v>
      </c>
      <c r="S2" s="202" t="s">
        <v>148</v>
      </c>
      <c r="T2" s="219" t="s">
        <v>149</v>
      </c>
    </row>
    <row r="3" spans="1:20">
      <c r="A3" s="162" t="s">
        <v>521</v>
      </c>
      <c r="B3" s="151" t="s">
        <v>2231</v>
      </c>
      <c r="C3" s="156" t="s">
        <v>2232</v>
      </c>
      <c r="D3" s="145" t="s">
        <v>855</v>
      </c>
      <c r="E3" s="146" t="s">
        <v>454</v>
      </c>
      <c r="F3" s="146" t="s">
        <v>454</v>
      </c>
      <c r="G3" s="147"/>
      <c r="H3" s="147"/>
      <c r="I3" s="147"/>
      <c r="J3" s="147"/>
      <c r="K3" s="147"/>
      <c r="L3" s="148" t="s">
        <v>768</v>
      </c>
      <c r="M3" s="148" t="s">
        <v>1684</v>
      </c>
      <c r="N3" s="148"/>
      <c r="O3" s="149" t="s">
        <v>10</v>
      </c>
      <c r="P3" s="150">
        <v>463.77</v>
      </c>
      <c r="Q3" s="150">
        <v>772.95</v>
      </c>
      <c r="R3" s="145">
        <v>1.5</v>
      </c>
      <c r="S3" s="199">
        <f t="shared" ref="S3:S136" si="0">$P$1</f>
        <v>125</v>
      </c>
      <c r="T3" s="152">
        <f t="shared" ref="T3:T66" si="1">R3*S3+Q3</f>
        <v>960.45</v>
      </c>
    </row>
    <row r="4" spans="1:20">
      <c r="A4" s="162" t="s">
        <v>523</v>
      </c>
      <c r="B4" s="151" t="s">
        <v>797</v>
      </c>
      <c r="C4" s="156" t="s">
        <v>968</v>
      </c>
      <c r="D4" s="145" t="s">
        <v>856</v>
      </c>
      <c r="E4" s="146" t="s">
        <v>454</v>
      </c>
      <c r="F4" s="146" t="s">
        <v>454</v>
      </c>
      <c r="G4" s="147" t="s">
        <v>454</v>
      </c>
      <c r="H4" s="147" t="s">
        <v>454</v>
      </c>
      <c r="I4" s="147" t="s">
        <v>454</v>
      </c>
      <c r="J4" s="147" t="s">
        <v>454</v>
      </c>
      <c r="K4" s="147" t="s">
        <v>454</v>
      </c>
      <c r="L4" s="148" t="s">
        <v>768</v>
      </c>
      <c r="M4" s="148"/>
      <c r="N4" s="148"/>
      <c r="O4" s="149" t="s">
        <v>4</v>
      </c>
      <c r="P4" s="150">
        <v>232.17</v>
      </c>
      <c r="Q4" s="150">
        <v>386.95</v>
      </c>
      <c r="R4" s="145">
        <v>1.5</v>
      </c>
      <c r="S4" s="199">
        <f t="shared" si="0"/>
        <v>125</v>
      </c>
      <c r="T4" s="152">
        <f t="shared" si="1"/>
        <v>574.45000000000005</v>
      </c>
    </row>
    <row r="5" spans="1:20">
      <c r="A5" s="162" t="s">
        <v>480</v>
      </c>
      <c r="B5" s="151" t="s">
        <v>1841</v>
      </c>
      <c r="C5" s="156" t="s">
        <v>1868</v>
      </c>
      <c r="D5" s="145"/>
      <c r="E5" s="146" t="s">
        <v>454</v>
      </c>
      <c r="F5" s="146" t="s">
        <v>454</v>
      </c>
      <c r="G5" s="147" t="s">
        <v>454</v>
      </c>
      <c r="H5" s="147" t="s">
        <v>454</v>
      </c>
      <c r="I5" s="147" t="s">
        <v>454</v>
      </c>
      <c r="J5" s="147" t="s">
        <v>454</v>
      </c>
      <c r="K5" s="147" t="s">
        <v>454</v>
      </c>
      <c r="L5" s="148" t="s">
        <v>768</v>
      </c>
      <c r="M5" s="148" t="s">
        <v>1684</v>
      </c>
      <c r="N5" s="148"/>
      <c r="O5" s="149" t="s">
        <v>10</v>
      </c>
      <c r="P5" s="150">
        <v>203.37</v>
      </c>
      <c r="Q5" s="150">
        <v>338.95</v>
      </c>
      <c r="R5" s="145">
        <v>1.5</v>
      </c>
      <c r="S5" s="199">
        <f t="shared" si="0"/>
        <v>125</v>
      </c>
      <c r="T5" s="152">
        <f t="shared" si="1"/>
        <v>526.45000000000005</v>
      </c>
    </row>
    <row r="6" spans="1:20">
      <c r="A6" s="162" t="s">
        <v>1839</v>
      </c>
      <c r="B6" s="151" t="s">
        <v>1840</v>
      </c>
      <c r="C6" s="156" t="s">
        <v>1869</v>
      </c>
      <c r="D6" s="145"/>
      <c r="E6" s="146" t="s">
        <v>454</v>
      </c>
      <c r="F6" s="146" t="s">
        <v>454</v>
      </c>
      <c r="G6" s="147" t="s">
        <v>454</v>
      </c>
      <c r="H6" s="147" t="s">
        <v>454</v>
      </c>
      <c r="I6" s="147" t="s">
        <v>454</v>
      </c>
      <c r="J6" s="147" t="s">
        <v>454</v>
      </c>
      <c r="K6" s="147" t="s">
        <v>454</v>
      </c>
      <c r="L6" s="167" t="s">
        <v>768</v>
      </c>
      <c r="M6" s="167" t="s">
        <v>1684</v>
      </c>
      <c r="N6" s="167"/>
      <c r="O6" s="149" t="s">
        <v>10</v>
      </c>
      <c r="P6" s="169">
        <v>193.5</v>
      </c>
      <c r="Q6" s="169">
        <v>322.95</v>
      </c>
      <c r="R6" s="145">
        <v>1.5</v>
      </c>
      <c r="S6" s="199">
        <f t="shared" si="0"/>
        <v>125</v>
      </c>
      <c r="T6" s="153">
        <f t="shared" si="1"/>
        <v>510.45</v>
      </c>
    </row>
    <row r="7" spans="1:20">
      <c r="A7" s="162" t="s">
        <v>1621</v>
      </c>
      <c r="B7" s="151" t="s">
        <v>118</v>
      </c>
      <c r="C7" s="156" t="s">
        <v>389</v>
      </c>
      <c r="D7" s="145" t="s">
        <v>2233</v>
      </c>
      <c r="E7" s="146" t="s">
        <v>454</v>
      </c>
      <c r="F7" s="146" t="s">
        <v>454</v>
      </c>
      <c r="G7" s="147" t="s">
        <v>454</v>
      </c>
      <c r="H7" s="147" t="s">
        <v>454</v>
      </c>
      <c r="I7" s="147" t="s">
        <v>454</v>
      </c>
      <c r="J7" s="147" t="s">
        <v>454</v>
      </c>
      <c r="K7" s="147" t="s">
        <v>454</v>
      </c>
      <c r="L7" s="148"/>
      <c r="M7" s="148" t="s">
        <v>1684</v>
      </c>
      <c r="N7" s="148"/>
      <c r="O7" s="149" t="s">
        <v>16</v>
      </c>
      <c r="P7" s="150">
        <v>84.57</v>
      </c>
      <c r="Q7" s="150">
        <v>140.94999999999999</v>
      </c>
      <c r="R7" s="145">
        <v>1.5</v>
      </c>
      <c r="S7" s="199">
        <f t="shared" si="0"/>
        <v>125</v>
      </c>
      <c r="T7" s="152">
        <f t="shared" si="1"/>
        <v>328.45</v>
      </c>
    </row>
    <row r="8" spans="1:20">
      <c r="A8" s="162" t="s">
        <v>1619</v>
      </c>
      <c r="B8" s="151" t="s">
        <v>1847</v>
      </c>
      <c r="C8" s="156" t="s">
        <v>1848</v>
      </c>
      <c r="D8" s="145" t="s">
        <v>1620</v>
      </c>
      <c r="E8" s="146" t="s">
        <v>454</v>
      </c>
      <c r="F8" s="146" t="s">
        <v>454</v>
      </c>
      <c r="G8" s="147" t="s">
        <v>454</v>
      </c>
      <c r="H8" s="147" t="s">
        <v>454</v>
      </c>
      <c r="I8" s="147" t="s">
        <v>454</v>
      </c>
      <c r="J8" s="147" t="s">
        <v>454</v>
      </c>
      <c r="K8" s="147" t="s">
        <v>454</v>
      </c>
      <c r="L8" s="148"/>
      <c r="M8" s="148" t="s">
        <v>1684</v>
      </c>
      <c r="N8" s="148"/>
      <c r="O8" s="149" t="s">
        <v>16</v>
      </c>
      <c r="P8" s="150">
        <v>107.97</v>
      </c>
      <c r="Q8" s="150">
        <v>179.95</v>
      </c>
      <c r="R8" s="145">
        <v>1.5</v>
      </c>
      <c r="S8" s="199">
        <f t="shared" si="0"/>
        <v>125</v>
      </c>
      <c r="T8" s="152">
        <f t="shared" si="1"/>
        <v>367.45</v>
      </c>
    </row>
    <row r="9" spans="1:20">
      <c r="A9" s="162" t="s">
        <v>1578</v>
      </c>
      <c r="B9" s="151" t="s">
        <v>539</v>
      </c>
      <c r="C9" s="156" t="s">
        <v>94</v>
      </c>
      <c r="D9" s="145" t="s">
        <v>128</v>
      </c>
      <c r="E9" s="146" t="s">
        <v>454</v>
      </c>
      <c r="F9" s="146" t="s">
        <v>454</v>
      </c>
      <c r="G9" s="147" t="s">
        <v>454</v>
      </c>
      <c r="H9" s="147" t="s">
        <v>454</v>
      </c>
      <c r="I9" s="147" t="s">
        <v>454</v>
      </c>
      <c r="J9" s="147" t="s">
        <v>454</v>
      </c>
      <c r="K9" s="147" t="s">
        <v>454</v>
      </c>
      <c r="L9" s="148"/>
      <c r="M9" s="148" t="s">
        <v>1684</v>
      </c>
      <c r="N9" s="148"/>
      <c r="O9" s="149" t="s">
        <v>16</v>
      </c>
      <c r="P9" s="150">
        <v>92.97</v>
      </c>
      <c r="Q9" s="150">
        <v>154.94999999999999</v>
      </c>
      <c r="R9" s="145">
        <v>1.5</v>
      </c>
      <c r="S9" s="199">
        <f t="shared" si="0"/>
        <v>125</v>
      </c>
      <c r="T9" s="152">
        <f t="shared" si="1"/>
        <v>342.45</v>
      </c>
    </row>
    <row r="10" spans="1:20">
      <c r="A10" s="162" t="s">
        <v>527</v>
      </c>
      <c r="B10" s="151" t="s">
        <v>795</v>
      </c>
      <c r="C10" s="151" t="s">
        <v>794</v>
      </c>
      <c r="D10" s="145" t="s">
        <v>857</v>
      </c>
      <c r="E10" s="146" t="s">
        <v>454</v>
      </c>
      <c r="F10" s="146" t="s">
        <v>454</v>
      </c>
      <c r="G10" s="147" t="s">
        <v>454</v>
      </c>
      <c r="H10" s="147" t="s">
        <v>454</v>
      </c>
      <c r="I10" s="147" t="s">
        <v>454</v>
      </c>
      <c r="J10" s="147" t="s">
        <v>454</v>
      </c>
      <c r="K10" s="147" t="s">
        <v>454</v>
      </c>
      <c r="L10" s="148" t="s">
        <v>768</v>
      </c>
      <c r="M10" s="148" t="s">
        <v>1684</v>
      </c>
      <c r="N10" s="148"/>
      <c r="O10" s="149" t="s">
        <v>16</v>
      </c>
      <c r="P10" s="150">
        <v>363.57</v>
      </c>
      <c r="Q10" s="150">
        <v>605.95000000000005</v>
      </c>
      <c r="R10" s="145">
        <v>1.5</v>
      </c>
      <c r="S10" s="199">
        <f t="shared" si="0"/>
        <v>125</v>
      </c>
      <c r="T10" s="152">
        <f t="shared" si="1"/>
        <v>793.45</v>
      </c>
    </row>
    <row r="11" spans="1:20">
      <c r="A11" s="284" t="s">
        <v>1883</v>
      </c>
      <c r="B11" s="244" t="s">
        <v>1938</v>
      </c>
      <c r="C11" s="286" t="s">
        <v>1960</v>
      </c>
      <c r="D11" s="145"/>
      <c r="E11" s="146" t="s">
        <v>454</v>
      </c>
      <c r="F11" s="146" t="s">
        <v>454</v>
      </c>
      <c r="G11" s="147" t="s">
        <v>454</v>
      </c>
      <c r="H11" s="147" t="s">
        <v>454</v>
      </c>
      <c r="I11" s="147" t="s">
        <v>454</v>
      </c>
      <c r="J11" s="147" t="s">
        <v>454</v>
      </c>
      <c r="K11" s="147" t="s">
        <v>454</v>
      </c>
      <c r="L11" s="167" t="s">
        <v>768</v>
      </c>
      <c r="M11" s="167" t="s">
        <v>1684</v>
      </c>
      <c r="N11" s="167"/>
      <c r="O11" s="149" t="s">
        <v>0</v>
      </c>
      <c r="P11" s="169">
        <v>122.97</v>
      </c>
      <c r="Q11" s="169">
        <v>204.95</v>
      </c>
      <c r="R11" s="145">
        <v>1.5</v>
      </c>
      <c r="S11" s="199">
        <f t="shared" si="0"/>
        <v>125</v>
      </c>
      <c r="T11" s="153">
        <f t="shared" si="1"/>
        <v>392.45</v>
      </c>
    </row>
    <row r="12" spans="1:20">
      <c r="A12" s="162" t="s">
        <v>1681</v>
      </c>
      <c r="B12" s="151" t="s">
        <v>1682</v>
      </c>
      <c r="C12" s="151" t="s">
        <v>1683</v>
      </c>
      <c r="D12" s="145"/>
      <c r="E12" s="146" t="s">
        <v>454</v>
      </c>
      <c r="F12" s="146" t="s">
        <v>454</v>
      </c>
      <c r="G12" s="147" t="s">
        <v>454</v>
      </c>
      <c r="H12" s="147" t="s">
        <v>454</v>
      </c>
      <c r="I12" s="147" t="s">
        <v>454</v>
      </c>
      <c r="J12" s="147" t="s">
        <v>454</v>
      </c>
      <c r="K12" s="147" t="s">
        <v>454</v>
      </c>
      <c r="L12" s="167" t="s">
        <v>768</v>
      </c>
      <c r="M12" s="167" t="s">
        <v>1684</v>
      </c>
      <c r="N12" s="167"/>
      <c r="O12" s="149" t="s">
        <v>0</v>
      </c>
      <c r="P12" s="169">
        <v>56.69</v>
      </c>
      <c r="Q12" s="169">
        <v>94.95</v>
      </c>
      <c r="R12" s="145">
        <v>1.5</v>
      </c>
      <c r="S12" s="199">
        <f t="shared" si="0"/>
        <v>125</v>
      </c>
      <c r="T12" s="153">
        <f t="shared" si="1"/>
        <v>282.45</v>
      </c>
    </row>
    <row r="13" spans="1:20">
      <c r="A13" s="162" t="s">
        <v>1575</v>
      </c>
      <c r="B13" s="151" t="s">
        <v>1576</v>
      </c>
      <c r="C13" s="156" t="s">
        <v>1577</v>
      </c>
      <c r="D13" s="145" t="s">
        <v>732</v>
      </c>
      <c r="E13" s="146" t="s">
        <v>454</v>
      </c>
      <c r="F13" s="146" t="s">
        <v>454</v>
      </c>
      <c r="G13" s="147" t="s">
        <v>454</v>
      </c>
      <c r="H13" s="147" t="s">
        <v>454</v>
      </c>
      <c r="I13" s="147" t="s">
        <v>454</v>
      </c>
      <c r="J13" s="147" t="s">
        <v>454</v>
      </c>
      <c r="K13" s="147" t="s">
        <v>454</v>
      </c>
      <c r="L13" s="167" t="s">
        <v>768</v>
      </c>
      <c r="M13" s="167" t="s">
        <v>1684</v>
      </c>
      <c r="N13" s="167"/>
      <c r="O13" s="149" t="s">
        <v>0</v>
      </c>
      <c r="P13" s="169">
        <v>137.37</v>
      </c>
      <c r="Q13" s="169">
        <v>228.95</v>
      </c>
      <c r="R13" s="145">
        <v>1.5</v>
      </c>
      <c r="S13" s="199">
        <f t="shared" si="0"/>
        <v>125</v>
      </c>
      <c r="T13" s="153">
        <f t="shared" si="1"/>
        <v>416.45</v>
      </c>
    </row>
    <row r="14" spans="1:20">
      <c r="A14" s="284" t="s">
        <v>1928</v>
      </c>
      <c r="B14" s="244" t="s">
        <v>1083</v>
      </c>
      <c r="C14" s="286" t="s">
        <v>2234</v>
      </c>
      <c r="D14" s="145"/>
      <c r="E14" s="146" t="s">
        <v>454</v>
      </c>
      <c r="F14" s="146" t="s">
        <v>454</v>
      </c>
      <c r="G14" s="147" t="s">
        <v>454</v>
      </c>
      <c r="H14" s="147" t="s">
        <v>454</v>
      </c>
      <c r="I14" s="147" t="s">
        <v>454</v>
      </c>
      <c r="J14" s="147" t="s">
        <v>454</v>
      </c>
      <c r="K14" s="147"/>
      <c r="L14" s="167" t="s">
        <v>768</v>
      </c>
      <c r="M14" s="167"/>
      <c r="N14" s="167"/>
      <c r="O14" s="149" t="s">
        <v>0</v>
      </c>
      <c r="P14" s="169">
        <v>143.97</v>
      </c>
      <c r="Q14" s="169">
        <v>239.95</v>
      </c>
      <c r="R14" s="145">
        <v>1.5</v>
      </c>
      <c r="S14" s="199">
        <f t="shared" si="0"/>
        <v>125</v>
      </c>
      <c r="T14" s="153">
        <f t="shared" si="1"/>
        <v>427.45</v>
      </c>
    </row>
    <row r="15" spans="1:20">
      <c r="A15" s="162" t="s">
        <v>535</v>
      </c>
      <c r="B15" s="151" t="s">
        <v>2235</v>
      </c>
      <c r="C15" s="156" t="s">
        <v>970</v>
      </c>
      <c r="D15" s="145" t="s">
        <v>128</v>
      </c>
      <c r="E15" s="146" t="s">
        <v>454</v>
      </c>
      <c r="F15" s="146" t="s">
        <v>454</v>
      </c>
      <c r="G15" s="147" t="s">
        <v>454</v>
      </c>
      <c r="H15" s="147" t="s">
        <v>454</v>
      </c>
      <c r="I15" s="147" t="s">
        <v>454</v>
      </c>
      <c r="J15" s="147" t="s">
        <v>454</v>
      </c>
      <c r="K15" s="147" t="s">
        <v>454</v>
      </c>
      <c r="L15" s="167" t="s">
        <v>768</v>
      </c>
      <c r="M15" s="167" t="s">
        <v>1684</v>
      </c>
      <c r="N15" s="345"/>
      <c r="O15" s="189" t="s">
        <v>59</v>
      </c>
      <c r="P15" s="169">
        <v>265.77</v>
      </c>
      <c r="Q15" s="169">
        <v>442.95</v>
      </c>
      <c r="R15" s="145">
        <v>1.5</v>
      </c>
      <c r="S15" s="199">
        <f t="shared" si="0"/>
        <v>125</v>
      </c>
      <c r="T15" s="153">
        <f t="shared" si="1"/>
        <v>630.45000000000005</v>
      </c>
    </row>
    <row r="16" spans="1:20">
      <c r="A16" s="287" t="s">
        <v>2236</v>
      </c>
      <c r="B16" s="316" t="s">
        <v>2237</v>
      </c>
      <c r="C16" s="317" t="s">
        <v>2238</v>
      </c>
      <c r="D16" s="318">
        <v>16</v>
      </c>
      <c r="E16" s="172" t="s">
        <v>454</v>
      </c>
      <c r="F16" s="159" t="s">
        <v>454</v>
      </c>
      <c r="G16" s="159" t="s">
        <v>454</v>
      </c>
      <c r="H16" s="159" t="s">
        <v>454</v>
      </c>
      <c r="I16" s="159" t="s">
        <v>454</v>
      </c>
      <c r="J16" s="159" t="s">
        <v>454</v>
      </c>
      <c r="K16" s="159" t="s">
        <v>454</v>
      </c>
      <c r="L16" s="167"/>
      <c r="M16" s="167"/>
      <c r="N16" s="167"/>
      <c r="O16" s="149" t="s">
        <v>59</v>
      </c>
      <c r="P16" s="169">
        <v>133.08000000000001</v>
      </c>
      <c r="Q16" s="169">
        <v>221.95</v>
      </c>
      <c r="R16" s="188">
        <v>1.5</v>
      </c>
      <c r="S16" s="199">
        <f t="shared" si="0"/>
        <v>125</v>
      </c>
      <c r="T16" s="153">
        <f t="shared" si="1"/>
        <v>409.45</v>
      </c>
    </row>
    <row r="17" spans="1:20">
      <c r="A17" s="284" t="s">
        <v>1758</v>
      </c>
      <c r="B17" s="151" t="s">
        <v>1755</v>
      </c>
      <c r="C17" s="190" t="s">
        <v>2199</v>
      </c>
      <c r="D17" s="145" t="s">
        <v>1759</v>
      </c>
      <c r="E17" s="146" t="s">
        <v>454</v>
      </c>
      <c r="F17" s="146" t="s">
        <v>454</v>
      </c>
      <c r="G17" s="147" t="s">
        <v>454</v>
      </c>
      <c r="H17" s="147" t="s">
        <v>454</v>
      </c>
      <c r="I17" s="147" t="s">
        <v>454</v>
      </c>
      <c r="J17" s="147" t="s">
        <v>454</v>
      </c>
      <c r="K17" s="147" t="s">
        <v>454</v>
      </c>
      <c r="L17" s="148" t="s">
        <v>768</v>
      </c>
      <c r="M17" s="148" t="s">
        <v>1684</v>
      </c>
      <c r="N17" s="148"/>
      <c r="O17" s="149" t="s">
        <v>59</v>
      </c>
      <c r="P17" s="150">
        <v>225</v>
      </c>
      <c r="Q17" s="150">
        <v>319.95</v>
      </c>
      <c r="R17" s="145">
        <v>1.5</v>
      </c>
      <c r="S17" s="199">
        <f t="shared" si="0"/>
        <v>125</v>
      </c>
      <c r="T17" s="153">
        <f t="shared" si="1"/>
        <v>507.45</v>
      </c>
    </row>
    <row r="18" spans="1:20">
      <c r="A18" s="170" t="s">
        <v>2187</v>
      </c>
      <c r="B18" s="171" t="s">
        <v>2213</v>
      </c>
      <c r="C18" s="209" t="s">
        <v>2201</v>
      </c>
      <c r="D18" s="182" t="s">
        <v>2188</v>
      </c>
      <c r="E18" s="180" t="s">
        <v>454</v>
      </c>
      <c r="F18" s="180" t="s">
        <v>454</v>
      </c>
      <c r="G18" s="180" t="s">
        <v>454</v>
      </c>
      <c r="H18" s="180" t="s">
        <v>454</v>
      </c>
      <c r="I18" s="180" t="s">
        <v>454</v>
      </c>
      <c r="J18" s="180" t="s">
        <v>454</v>
      </c>
      <c r="K18" s="180" t="s">
        <v>454</v>
      </c>
      <c r="L18" s="180"/>
      <c r="M18" s="180"/>
      <c r="N18" s="180"/>
      <c r="O18" s="182" t="s">
        <v>59</v>
      </c>
      <c r="P18" s="211">
        <v>489.99</v>
      </c>
      <c r="Q18" s="211">
        <v>699.95</v>
      </c>
      <c r="R18" s="212">
        <v>1.5</v>
      </c>
      <c r="S18" s="217">
        <f t="shared" si="0"/>
        <v>125</v>
      </c>
      <c r="T18" s="185">
        <f t="shared" si="1"/>
        <v>887.45</v>
      </c>
    </row>
    <row r="19" spans="1:20">
      <c r="A19" s="284" t="s">
        <v>1757</v>
      </c>
      <c r="B19" s="151" t="s">
        <v>1756</v>
      </c>
      <c r="C19" s="156" t="s">
        <v>2200</v>
      </c>
      <c r="D19" s="145" t="s">
        <v>1759</v>
      </c>
      <c r="E19" s="146" t="s">
        <v>454</v>
      </c>
      <c r="F19" s="146" t="s">
        <v>454</v>
      </c>
      <c r="G19" s="147" t="s">
        <v>454</v>
      </c>
      <c r="H19" s="147" t="s">
        <v>454</v>
      </c>
      <c r="I19" s="147" t="s">
        <v>454</v>
      </c>
      <c r="J19" s="147" t="s">
        <v>454</v>
      </c>
      <c r="K19" s="147" t="s">
        <v>454</v>
      </c>
      <c r="L19" s="148" t="s">
        <v>768</v>
      </c>
      <c r="M19" s="148" t="s">
        <v>1684</v>
      </c>
      <c r="N19" s="148"/>
      <c r="O19" s="149" t="s">
        <v>59</v>
      </c>
      <c r="P19" s="150">
        <v>598</v>
      </c>
      <c r="Q19" s="150">
        <v>849.95</v>
      </c>
      <c r="R19" s="145">
        <v>1.5</v>
      </c>
      <c r="S19" s="199">
        <f t="shared" si="0"/>
        <v>125</v>
      </c>
      <c r="T19" s="153">
        <f t="shared" si="1"/>
        <v>1037.45</v>
      </c>
    </row>
    <row r="20" spans="1:20">
      <c r="A20" s="162" t="s">
        <v>514</v>
      </c>
      <c r="B20" s="151" t="s">
        <v>550</v>
      </c>
      <c r="C20" s="227" t="s">
        <v>1875</v>
      </c>
      <c r="D20" s="145" t="s">
        <v>58</v>
      </c>
      <c r="E20" s="146" t="s">
        <v>454</v>
      </c>
      <c r="F20" s="146" t="s">
        <v>454</v>
      </c>
      <c r="G20" s="147" t="s">
        <v>454</v>
      </c>
      <c r="H20" s="147" t="s">
        <v>454</v>
      </c>
      <c r="I20" s="147" t="s">
        <v>454</v>
      </c>
      <c r="J20" s="147" t="s">
        <v>454</v>
      </c>
      <c r="K20" s="147" t="s">
        <v>454</v>
      </c>
      <c r="L20" s="148" t="s">
        <v>768</v>
      </c>
      <c r="M20" s="148" t="s">
        <v>1684</v>
      </c>
      <c r="N20" s="148"/>
      <c r="O20" s="149" t="s">
        <v>10</v>
      </c>
      <c r="P20" s="150">
        <v>76.17</v>
      </c>
      <c r="Q20" s="150">
        <v>126.95</v>
      </c>
      <c r="R20" s="145">
        <v>1.5</v>
      </c>
      <c r="S20" s="199">
        <f t="shared" si="0"/>
        <v>125</v>
      </c>
      <c r="T20" s="153">
        <f t="shared" si="1"/>
        <v>314.45</v>
      </c>
    </row>
    <row r="21" spans="1:20">
      <c r="A21" s="162" t="s">
        <v>157</v>
      </c>
      <c r="B21" s="151" t="s">
        <v>207</v>
      </c>
      <c r="C21" s="156" t="s">
        <v>1876</v>
      </c>
      <c r="D21" s="145" t="s">
        <v>1038</v>
      </c>
      <c r="E21" s="146" t="s">
        <v>454</v>
      </c>
      <c r="F21" s="146" t="s">
        <v>454</v>
      </c>
      <c r="G21" s="147" t="s">
        <v>454</v>
      </c>
      <c r="H21" s="147" t="s">
        <v>454</v>
      </c>
      <c r="I21" s="147" t="s">
        <v>454</v>
      </c>
      <c r="J21" s="147" t="s">
        <v>454</v>
      </c>
      <c r="K21" s="147" t="s">
        <v>454</v>
      </c>
      <c r="L21" s="148" t="s">
        <v>768</v>
      </c>
      <c r="M21" s="148" t="s">
        <v>1684</v>
      </c>
      <c r="N21" s="148"/>
      <c r="O21" s="149" t="s">
        <v>10</v>
      </c>
      <c r="P21" s="150">
        <v>141.57</v>
      </c>
      <c r="Q21" s="150">
        <v>235.95</v>
      </c>
      <c r="R21" s="145">
        <v>1.5</v>
      </c>
      <c r="S21" s="199">
        <f t="shared" si="0"/>
        <v>125</v>
      </c>
      <c r="T21" s="153">
        <f t="shared" si="1"/>
        <v>423.45</v>
      </c>
    </row>
    <row r="22" spans="1:20">
      <c r="A22" s="162" t="s">
        <v>1080</v>
      </c>
      <c r="B22" s="151" t="s">
        <v>1081</v>
      </c>
      <c r="C22" s="156" t="s">
        <v>1082</v>
      </c>
      <c r="D22" s="145" t="s">
        <v>732</v>
      </c>
      <c r="E22" s="146" t="s">
        <v>454</v>
      </c>
      <c r="F22" s="146" t="s">
        <v>454</v>
      </c>
      <c r="G22" s="147" t="s">
        <v>454</v>
      </c>
      <c r="H22" s="147" t="s">
        <v>454</v>
      </c>
      <c r="I22" s="147" t="s">
        <v>454</v>
      </c>
      <c r="J22" s="147" t="s">
        <v>454</v>
      </c>
      <c r="K22" s="147" t="s">
        <v>454</v>
      </c>
      <c r="L22" s="148" t="s">
        <v>768</v>
      </c>
      <c r="M22" s="148" t="s">
        <v>1684</v>
      </c>
      <c r="N22" s="148"/>
      <c r="O22" s="149" t="s">
        <v>0</v>
      </c>
      <c r="P22" s="150">
        <v>173.37</v>
      </c>
      <c r="Q22" s="150">
        <v>288.95</v>
      </c>
      <c r="R22" s="145">
        <v>1.5</v>
      </c>
      <c r="S22" s="199">
        <f t="shared" si="0"/>
        <v>125</v>
      </c>
      <c r="T22" s="153">
        <f t="shared" si="1"/>
        <v>476.45</v>
      </c>
    </row>
    <row r="23" spans="1:20">
      <c r="A23" s="162" t="s">
        <v>1816</v>
      </c>
      <c r="B23" s="144" t="s">
        <v>1072</v>
      </c>
      <c r="C23" s="151" t="s">
        <v>1076</v>
      </c>
      <c r="D23" s="145" t="s">
        <v>1819</v>
      </c>
      <c r="E23" s="146" t="s">
        <v>454</v>
      </c>
      <c r="F23" s="146" t="s">
        <v>454</v>
      </c>
      <c r="G23" s="147" t="s">
        <v>454</v>
      </c>
      <c r="H23" s="147" t="s">
        <v>454</v>
      </c>
      <c r="I23" s="147" t="s">
        <v>454</v>
      </c>
      <c r="J23" s="147" t="s">
        <v>454</v>
      </c>
      <c r="K23" s="147" t="s">
        <v>454</v>
      </c>
      <c r="L23" s="167" t="s">
        <v>768</v>
      </c>
      <c r="M23" s="167" t="s">
        <v>1684</v>
      </c>
      <c r="N23" s="167"/>
      <c r="O23" s="149" t="s">
        <v>4</v>
      </c>
      <c r="P23" s="169">
        <v>75.268299999999996</v>
      </c>
      <c r="Q23" s="169">
        <v>112.95</v>
      </c>
      <c r="R23" s="145">
        <v>1.5</v>
      </c>
      <c r="S23" s="199">
        <f t="shared" si="0"/>
        <v>125</v>
      </c>
      <c r="T23" s="153">
        <f t="shared" si="1"/>
        <v>300.45</v>
      </c>
    </row>
    <row r="24" spans="1:20">
      <c r="A24" s="162" t="s">
        <v>1074</v>
      </c>
      <c r="B24" s="144" t="s">
        <v>1073</v>
      </c>
      <c r="C24" s="151" t="s">
        <v>1077</v>
      </c>
      <c r="D24" s="145" t="s">
        <v>1818</v>
      </c>
      <c r="E24" s="146" t="s">
        <v>454</v>
      </c>
      <c r="F24" s="146" t="s">
        <v>454</v>
      </c>
      <c r="G24" s="147" t="s">
        <v>454</v>
      </c>
      <c r="H24" s="147" t="s">
        <v>454</v>
      </c>
      <c r="I24" s="147" t="s">
        <v>454</v>
      </c>
      <c r="J24" s="147" t="s">
        <v>454</v>
      </c>
      <c r="K24" s="147" t="s">
        <v>454</v>
      </c>
      <c r="L24" s="167" t="s">
        <v>768</v>
      </c>
      <c r="M24" s="167"/>
      <c r="N24" s="167"/>
      <c r="O24" s="149" t="s">
        <v>4</v>
      </c>
      <c r="P24" s="169">
        <v>65.727199999999996</v>
      </c>
      <c r="Q24" s="169">
        <v>98.95</v>
      </c>
      <c r="R24" s="145">
        <v>1.5</v>
      </c>
      <c r="S24" s="199">
        <f t="shared" si="0"/>
        <v>125</v>
      </c>
      <c r="T24" s="153">
        <f t="shared" si="1"/>
        <v>286.45</v>
      </c>
    </row>
    <row r="25" spans="1:20">
      <c r="A25" s="284" t="s">
        <v>1886</v>
      </c>
      <c r="B25" s="244" t="s">
        <v>293</v>
      </c>
      <c r="C25" s="286" t="s">
        <v>2239</v>
      </c>
      <c r="D25" s="145" t="s">
        <v>1706</v>
      </c>
      <c r="E25" s="146" t="s">
        <v>454</v>
      </c>
      <c r="F25" s="146" t="s">
        <v>454</v>
      </c>
      <c r="G25" s="147" t="s">
        <v>454</v>
      </c>
      <c r="H25" s="147" t="s">
        <v>454</v>
      </c>
      <c r="I25" s="147" t="s">
        <v>454</v>
      </c>
      <c r="J25" s="147" t="s">
        <v>454</v>
      </c>
      <c r="K25" s="147" t="s">
        <v>454</v>
      </c>
      <c r="L25" s="167" t="s">
        <v>768</v>
      </c>
      <c r="M25" s="167" t="s">
        <v>1684</v>
      </c>
      <c r="N25" s="167"/>
      <c r="O25" s="149" t="s">
        <v>10</v>
      </c>
      <c r="P25" s="169">
        <v>66.56</v>
      </c>
      <c r="Q25" s="169">
        <v>110.95</v>
      </c>
      <c r="R25" s="145">
        <v>1.5</v>
      </c>
      <c r="S25" s="199">
        <f t="shared" si="0"/>
        <v>125</v>
      </c>
      <c r="T25" s="153">
        <f t="shared" si="1"/>
        <v>298.45</v>
      </c>
    </row>
    <row r="26" spans="1:20">
      <c r="A26" s="284" t="s">
        <v>1887</v>
      </c>
      <c r="B26" s="244" t="s">
        <v>545</v>
      </c>
      <c r="C26" s="286" t="s">
        <v>2240</v>
      </c>
      <c r="D26" s="145" t="s">
        <v>1706</v>
      </c>
      <c r="E26" s="146" t="s">
        <v>454</v>
      </c>
      <c r="F26" s="146" t="s">
        <v>454</v>
      </c>
      <c r="G26" s="147" t="s">
        <v>454</v>
      </c>
      <c r="H26" s="147" t="s">
        <v>454</v>
      </c>
      <c r="I26" s="147" t="s">
        <v>454</v>
      </c>
      <c r="J26" s="147" t="s">
        <v>454</v>
      </c>
      <c r="K26" s="147" t="s">
        <v>454</v>
      </c>
      <c r="L26" s="167" t="s">
        <v>768</v>
      </c>
      <c r="M26" s="167" t="s">
        <v>1684</v>
      </c>
      <c r="N26" s="167"/>
      <c r="O26" s="149" t="s">
        <v>10</v>
      </c>
      <c r="P26" s="169">
        <v>66.56</v>
      </c>
      <c r="Q26" s="169">
        <v>110.95</v>
      </c>
      <c r="R26" s="145">
        <v>1.5</v>
      </c>
      <c r="S26" s="199">
        <f t="shared" si="0"/>
        <v>125</v>
      </c>
      <c r="T26" s="153">
        <f t="shared" si="1"/>
        <v>298.45</v>
      </c>
    </row>
    <row r="27" spans="1:20">
      <c r="A27" s="284" t="s">
        <v>1888</v>
      </c>
      <c r="B27" s="244" t="s">
        <v>546</v>
      </c>
      <c r="C27" s="286" t="s">
        <v>2241</v>
      </c>
      <c r="D27" s="145" t="s">
        <v>1706</v>
      </c>
      <c r="E27" s="146" t="s">
        <v>454</v>
      </c>
      <c r="F27" s="146" t="s">
        <v>454</v>
      </c>
      <c r="G27" s="147" t="s">
        <v>454</v>
      </c>
      <c r="H27" s="147" t="s">
        <v>454</v>
      </c>
      <c r="I27" s="147" t="s">
        <v>454</v>
      </c>
      <c r="J27" s="147" t="s">
        <v>454</v>
      </c>
      <c r="K27" s="147" t="s">
        <v>454</v>
      </c>
      <c r="L27" s="167" t="s">
        <v>768</v>
      </c>
      <c r="M27" s="167" t="s">
        <v>1684</v>
      </c>
      <c r="N27" s="167"/>
      <c r="O27" s="149" t="s">
        <v>10</v>
      </c>
      <c r="P27" s="169">
        <v>66.56</v>
      </c>
      <c r="Q27" s="169">
        <v>110.95</v>
      </c>
      <c r="R27" s="145">
        <v>1.5</v>
      </c>
      <c r="S27" s="199">
        <f t="shared" si="0"/>
        <v>125</v>
      </c>
      <c r="T27" s="153">
        <f t="shared" si="1"/>
        <v>298.45</v>
      </c>
    </row>
    <row r="28" spans="1:20">
      <c r="A28" s="162" t="s">
        <v>533</v>
      </c>
      <c r="B28" s="151" t="s">
        <v>852</v>
      </c>
      <c r="C28" s="156" t="s">
        <v>208</v>
      </c>
      <c r="D28" s="145"/>
      <c r="E28" s="146" t="s">
        <v>454</v>
      </c>
      <c r="F28" s="146" t="s">
        <v>454</v>
      </c>
      <c r="G28" s="147" t="s">
        <v>454</v>
      </c>
      <c r="H28" s="147" t="s">
        <v>454</v>
      </c>
      <c r="I28" s="147" t="s">
        <v>454</v>
      </c>
      <c r="J28" s="147" t="s">
        <v>454</v>
      </c>
      <c r="K28" s="147" t="s">
        <v>454</v>
      </c>
      <c r="L28" s="167" t="s">
        <v>768</v>
      </c>
      <c r="M28" s="167" t="s">
        <v>1684</v>
      </c>
      <c r="N28" s="167"/>
      <c r="O28" s="149" t="s">
        <v>0</v>
      </c>
      <c r="P28" s="169">
        <v>160.77000000000001</v>
      </c>
      <c r="Q28" s="169">
        <v>267.95</v>
      </c>
      <c r="R28" s="145">
        <v>1.5</v>
      </c>
      <c r="S28" s="199">
        <f t="shared" si="0"/>
        <v>125</v>
      </c>
      <c r="T28" s="153">
        <f t="shared" si="1"/>
        <v>455.45</v>
      </c>
    </row>
    <row r="29" spans="1:20">
      <c r="A29" s="162" t="s">
        <v>532</v>
      </c>
      <c r="B29" s="151" t="s">
        <v>1851</v>
      </c>
      <c r="C29" s="156" t="s">
        <v>2176</v>
      </c>
      <c r="D29" s="145" t="s">
        <v>1568</v>
      </c>
      <c r="E29" s="146" t="s">
        <v>454</v>
      </c>
      <c r="F29" s="146" t="s">
        <v>454</v>
      </c>
      <c r="G29" s="147" t="s">
        <v>454</v>
      </c>
      <c r="H29" s="147" t="s">
        <v>454</v>
      </c>
      <c r="I29" s="147" t="s">
        <v>454</v>
      </c>
      <c r="J29" s="147" t="s">
        <v>454</v>
      </c>
      <c r="K29" s="147" t="s">
        <v>454</v>
      </c>
      <c r="L29" s="167" t="s">
        <v>768</v>
      </c>
      <c r="M29" s="167" t="s">
        <v>1684</v>
      </c>
      <c r="N29" s="167"/>
      <c r="O29" s="149" t="s">
        <v>10</v>
      </c>
      <c r="P29" s="169">
        <v>364.17</v>
      </c>
      <c r="Q29" s="169">
        <v>606.95000000000005</v>
      </c>
      <c r="R29" s="145">
        <v>1.5</v>
      </c>
      <c r="S29" s="199">
        <f t="shared" si="0"/>
        <v>125</v>
      </c>
      <c r="T29" s="153">
        <f t="shared" si="1"/>
        <v>794.45</v>
      </c>
    </row>
    <row r="30" spans="1:20">
      <c r="A30" s="284" t="s">
        <v>2020</v>
      </c>
      <c r="B30" s="244" t="s">
        <v>2037</v>
      </c>
      <c r="C30" s="286" t="s">
        <v>2023</v>
      </c>
      <c r="D30" s="145"/>
      <c r="E30" s="146" t="s">
        <v>454</v>
      </c>
      <c r="F30" s="146" t="s">
        <v>454</v>
      </c>
      <c r="G30" s="147" t="s">
        <v>454</v>
      </c>
      <c r="H30" s="147" t="s">
        <v>454</v>
      </c>
      <c r="I30" s="147" t="s">
        <v>454</v>
      </c>
      <c r="J30" s="147" t="s">
        <v>454</v>
      </c>
      <c r="K30" s="147" t="s">
        <v>454</v>
      </c>
      <c r="L30" s="167" t="s">
        <v>768</v>
      </c>
      <c r="M30" s="167"/>
      <c r="N30" s="167"/>
      <c r="O30" s="149" t="s">
        <v>10</v>
      </c>
      <c r="P30" s="169">
        <v>271.82</v>
      </c>
      <c r="Q30" s="169">
        <v>452.95</v>
      </c>
      <c r="R30" s="145">
        <v>1.5</v>
      </c>
      <c r="S30" s="199">
        <f t="shared" si="0"/>
        <v>125</v>
      </c>
      <c r="T30" s="153">
        <f t="shared" si="1"/>
        <v>640.45000000000005</v>
      </c>
    </row>
    <row r="31" spans="1:20">
      <c r="A31" s="284" t="s">
        <v>2068</v>
      </c>
      <c r="B31" s="244" t="s">
        <v>547</v>
      </c>
      <c r="C31" s="286" t="s">
        <v>2014</v>
      </c>
      <c r="D31" s="145"/>
      <c r="E31" s="146" t="s">
        <v>454</v>
      </c>
      <c r="F31" s="146" t="s">
        <v>454</v>
      </c>
      <c r="G31" s="147" t="s">
        <v>454</v>
      </c>
      <c r="H31" s="147" t="s">
        <v>454</v>
      </c>
      <c r="I31" s="147" t="s">
        <v>454</v>
      </c>
      <c r="J31" s="147" t="s">
        <v>454</v>
      </c>
      <c r="K31" s="147"/>
      <c r="L31" s="167" t="s">
        <v>768</v>
      </c>
      <c r="M31" s="167"/>
      <c r="N31" s="167"/>
      <c r="O31" s="149" t="s">
        <v>10</v>
      </c>
      <c r="P31" s="169">
        <v>451.17</v>
      </c>
      <c r="Q31" s="169">
        <v>751.95</v>
      </c>
      <c r="R31" s="145">
        <v>1.5</v>
      </c>
      <c r="S31" s="199">
        <f t="shared" si="0"/>
        <v>125</v>
      </c>
      <c r="T31" s="153">
        <f t="shared" si="1"/>
        <v>939.45</v>
      </c>
    </row>
    <row r="32" spans="1:20">
      <c r="A32" s="284" t="s">
        <v>2069</v>
      </c>
      <c r="B32" s="244" t="s">
        <v>2070</v>
      </c>
      <c r="C32" s="286" t="s">
        <v>2071</v>
      </c>
      <c r="D32" s="145"/>
      <c r="E32" s="146" t="s">
        <v>454</v>
      </c>
      <c r="F32" s="146" t="s">
        <v>454</v>
      </c>
      <c r="G32" s="147" t="s">
        <v>454</v>
      </c>
      <c r="H32" s="147" t="s">
        <v>454</v>
      </c>
      <c r="I32" s="147" t="s">
        <v>454</v>
      </c>
      <c r="J32" s="147" t="s">
        <v>454</v>
      </c>
      <c r="K32" s="147"/>
      <c r="L32" s="167" t="s">
        <v>768</v>
      </c>
      <c r="M32" s="167"/>
      <c r="N32" s="167"/>
      <c r="O32" s="149" t="s">
        <v>10</v>
      </c>
      <c r="P32" s="169">
        <v>422.97</v>
      </c>
      <c r="Q32" s="169">
        <v>704.95</v>
      </c>
      <c r="R32" s="145">
        <v>1.5</v>
      </c>
      <c r="S32" s="199">
        <f t="shared" si="0"/>
        <v>125</v>
      </c>
      <c r="T32" s="153">
        <f t="shared" si="1"/>
        <v>892.45</v>
      </c>
    </row>
    <row r="33" spans="1:20">
      <c r="A33" s="162" t="s">
        <v>1572</v>
      </c>
      <c r="B33" s="156" t="s">
        <v>1579</v>
      </c>
      <c r="C33" s="156" t="s">
        <v>1580</v>
      </c>
      <c r="D33" s="145"/>
      <c r="E33" s="146" t="s">
        <v>454</v>
      </c>
      <c r="F33" s="146" t="s">
        <v>454</v>
      </c>
      <c r="G33" s="147" t="s">
        <v>454</v>
      </c>
      <c r="H33" s="147" t="s">
        <v>454</v>
      </c>
      <c r="I33" s="147" t="s">
        <v>454</v>
      </c>
      <c r="J33" s="147" t="s">
        <v>454</v>
      </c>
      <c r="K33" s="147" t="s">
        <v>454</v>
      </c>
      <c r="L33" s="167" t="s">
        <v>768</v>
      </c>
      <c r="M33" s="167" t="s">
        <v>1684</v>
      </c>
      <c r="N33" s="167"/>
      <c r="O33" s="149" t="s">
        <v>10</v>
      </c>
      <c r="P33" s="169">
        <v>173.82</v>
      </c>
      <c r="Q33" s="169">
        <v>289.95</v>
      </c>
      <c r="R33" s="145">
        <v>1.5</v>
      </c>
      <c r="S33" s="199">
        <f t="shared" si="0"/>
        <v>125</v>
      </c>
      <c r="T33" s="153">
        <f t="shared" si="1"/>
        <v>477.45</v>
      </c>
    </row>
    <row r="34" spans="1:20">
      <c r="A34" s="284" t="s">
        <v>2009</v>
      </c>
      <c r="B34" s="244" t="s">
        <v>2011</v>
      </c>
      <c r="C34" s="286" t="s">
        <v>2013</v>
      </c>
      <c r="D34" s="145"/>
      <c r="E34" s="146" t="s">
        <v>454</v>
      </c>
      <c r="F34" s="146" t="s">
        <v>454</v>
      </c>
      <c r="G34" s="147" t="s">
        <v>454</v>
      </c>
      <c r="H34" s="147" t="s">
        <v>454</v>
      </c>
      <c r="I34" s="147" t="s">
        <v>454</v>
      </c>
      <c r="J34" s="147" t="s">
        <v>454</v>
      </c>
      <c r="K34" s="147"/>
      <c r="L34" s="167" t="s">
        <v>768</v>
      </c>
      <c r="M34" s="167"/>
      <c r="N34" s="167"/>
      <c r="O34" s="149" t="s">
        <v>10</v>
      </c>
      <c r="P34" s="169">
        <v>379.77</v>
      </c>
      <c r="Q34" s="169">
        <v>632.95000000000005</v>
      </c>
      <c r="R34" s="145">
        <v>1.5</v>
      </c>
      <c r="S34" s="199">
        <f t="shared" si="0"/>
        <v>125</v>
      </c>
      <c r="T34" s="153">
        <f t="shared" si="1"/>
        <v>820.45</v>
      </c>
    </row>
    <row r="35" spans="1:20">
      <c r="A35" s="284" t="s">
        <v>2010</v>
      </c>
      <c r="B35" s="244" t="s">
        <v>2012</v>
      </c>
      <c r="C35" s="286" t="s">
        <v>2015</v>
      </c>
      <c r="D35" s="145"/>
      <c r="E35" s="146" t="s">
        <v>454</v>
      </c>
      <c r="F35" s="146" t="s">
        <v>454</v>
      </c>
      <c r="G35" s="147" t="s">
        <v>454</v>
      </c>
      <c r="H35" s="147" t="s">
        <v>454</v>
      </c>
      <c r="I35" s="147" t="s">
        <v>454</v>
      </c>
      <c r="J35" s="147" t="s">
        <v>454</v>
      </c>
      <c r="K35" s="147"/>
      <c r="L35" s="167" t="s">
        <v>768</v>
      </c>
      <c r="M35" s="167"/>
      <c r="N35" s="167"/>
      <c r="O35" s="149" t="s">
        <v>10</v>
      </c>
      <c r="P35" s="169">
        <v>358.17</v>
      </c>
      <c r="Q35" s="169">
        <v>596.95000000000005</v>
      </c>
      <c r="R35" s="145">
        <v>1.5</v>
      </c>
      <c r="S35" s="199">
        <f t="shared" si="0"/>
        <v>125</v>
      </c>
      <c r="T35" s="153">
        <f t="shared" si="1"/>
        <v>784.45</v>
      </c>
    </row>
    <row r="36" spans="1:20">
      <c r="A36" s="284" t="s">
        <v>2085</v>
      </c>
      <c r="B36" s="244" t="s">
        <v>554</v>
      </c>
      <c r="C36" s="286" t="s">
        <v>902</v>
      </c>
      <c r="D36" s="145" t="s">
        <v>1712</v>
      </c>
      <c r="E36" s="146" t="s">
        <v>454</v>
      </c>
      <c r="F36" s="146" t="s">
        <v>454</v>
      </c>
      <c r="G36" s="147" t="s">
        <v>454</v>
      </c>
      <c r="H36" s="147" t="s">
        <v>454</v>
      </c>
      <c r="I36" s="147" t="s">
        <v>454</v>
      </c>
      <c r="J36" s="147" t="s">
        <v>454</v>
      </c>
      <c r="K36" s="147" t="s">
        <v>454</v>
      </c>
      <c r="L36" s="167" t="s">
        <v>768</v>
      </c>
      <c r="M36" s="167" t="s">
        <v>1684</v>
      </c>
      <c r="N36" s="167"/>
      <c r="O36" s="149" t="s">
        <v>10</v>
      </c>
      <c r="P36" s="169">
        <v>145.77000000000001</v>
      </c>
      <c r="Q36" s="169">
        <v>239.95</v>
      </c>
      <c r="R36" s="145">
        <v>1.5</v>
      </c>
      <c r="S36" s="199">
        <f t="shared" si="0"/>
        <v>125</v>
      </c>
      <c r="T36" s="153">
        <f t="shared" si="1"/>
        <v>427.45</v>
      </c>
    </row>
    <row r="37" spans="1:20">
      <c r="A37" s="162" t="s">
        <v>1688</v>
      </c>
      <c r="B37" s="151" t="s">
        <v>1689</v>
      </c>
      <c r="C37" s="156" t="s">
        <v>1790</v>
      </c>
      <c r="D37" s="145"/>
      <c r="E37" s="146" t="s">
        <v>454</v>
      </c>
      <c r="F37" s="146" t="s">
        <v>454</v>
      </c>
      <c r="G37" s="147" t="s">
        <v>454</v>
      </c>
      <c r="H37" s="147" t="s">
        <v>454</v>
      </c>
      <c r="I37" s="147" t="s">
        <v>454</v>
      </c>
      <c r="J37" s="147" t="s">
        <v>454</v>
      </c>
      <c r="K37" s="147" t="s">
        <v>454</v>
      </c>
      <c r="L37" s="148" t="s">
        <v>768</v>
      </c>
      <c r="M37" s="148" t="s">
        <v>1684</v>
      </c>
      <c r="N37" s="148"/>
      <c r="O37" s="149" t="s">
        <v>0</v>
      </c>
      <c r="P37" s="150">
        <v>155.37</v>
      </c>
      <c r="Q37" s="150">
        <v>258.95</v>
      </c>
      <c r="R37" s="145">
        <v>1.5</v>
      </c>
      <c r="S37" s="199">
        <f t="shared" si="0"/>
        <v>125</v>
      </c>
      <c r="T37" s="152">
        <f t="shared" si="1"/>
        <v>446.45</v>
      </c>
    </row>
    <row r="38" spans="1:20">
      <c r="A38" s="162" t="s">
        <v>561</v>
      </c>
      <c r="B38" s="156" t="s">
        <v>563</v>
      </c>
      <c r="C38" s="156" t="s">
        <v>566</v>
      </c>
      <c r="D38" s="145" t="s">
        <v>1829</v>
      </c>
      <c r="E38" s="146" t="s">
        <v>454</v>
      </c>
      <c r="F38" s="146" t="s">
        <v>454</v>
      </c>
      <c r="G38" s="147" t="s">
        <v>454</v>
      </c>
      <c r="H38" s="147" t="s">
        <v>454</v>
      </c>
      <c r="I38" s="147" t="s">
        <v>454</v>
      </c>
      <c r="J38" s="147" t="s">
        <v>454</v>
      </c>
      <c r="K38" s="147" t="s">
        <v>454</v>
      </c>
      <c r="L38" s="167" t="s">
        <v>768</v>
      </c>
      <c r="M38" s="167"/>
      <c r="N38" s="167"/>
      <c r="O38" s="149" t="s">
        <v>10</v>
      </c>
      <c r="P38" s="169">
        <v>14.77</v>
      </c>
      <c r="Q38" s="169">
        <v>39.950000000000003</v>
      </c>
      <c r="R38" s="145">
        <v>1.5</v>
      </c>
      <c r="S38" s="199">
        <f t="shared" si="0"/>
        <v>125</v>
      </c>
      <c r="T38" s="153">
        <f t="shared" si="1"/>
        <v>227.45</v>
      </c>
    </row>
    <row r="39" spans="1:20">
      <c r="A39" s="162" t="s">
        <v>1046</v>
      </c>
      <c r="B39" s="156" t="s">
        <v>1047</v>
      </c>
      <c r="C39" s="156" t="s">
        <v>1050</v>
      </c>
      <c r="D39" s="145" t="s">
        <v>1829</v>
      </c>
      <c r="E39" s="146" t="s">
        <v>454</v>
      </c>
      <c r="F39" s="146" t="s">
        <v>454</v>
      </c>
      <c r="G39" s="147" t="s">
        <v>454</v>
      </c>
      <c r="H39" s="147" t="s">
        <v>454</v>
      </c>
      <c r="I39" s="147" t="s">
        <v>454</v>
      </c>
      <c r="J39" s="147" t="s">
        <v>454</v>
      </c>
      <c r="K39" s="147" t="s">
        <v>454</v>
      </c>
      <c r="L39" s="167" t="s">
        <v>768</v>
      </c>
      <c r="M39" s="167"/>
      <c r="N39" s="167"/>
      <c r="O39" s="149" t="s">
        <v>10</v>
      </c>
      <c r="P39" s="169">
        <v>18.5</v>
      </c>
      <c r="Q39" s="169">
        <v>0</v>
      </c>
      <c r="R39" s="145">
        <v>1.5</v>
      </c>
      <c r="S39" s="199">
        <f t="shared" si="0"/>
        <v>125</v>
      </c>
      <c r="T39" s="153">
        <f t="shared" si="1"/>
        <v>187.5</v>
      </c>
    </row>
    <row r="40" spans="1:20">
      <c r="A40" s="162" t="s">
        <v>1048</v>
      </c>
      <c r="B40" s="156" t="s">
        <v>1049</v>
      </c>
      <c r="C40" s="156" t="s">
        <v>1051</v>
      </c>
      <c r="D40" s="145" t="s">
        <v>1829</v>
      </c>
      <c r="E40" s="146" t="s">
        <v>454</v>
      </c>
      <c r="F40" s="146" t="s">
        <v>454</v>
      </c>
      <c r="G40" s="147" t="s">
        <v>454</v>
      </c>
      <c r="H40" s="147" t="s">
        <v>454</v>
      </c>
      <c r="I40" s="147" t="s">
        <v>454</v>
      </c>
      <c r="J40" s="147" t="s">
        <v>454</v>
      </c>
      <c r="K40" s="147" t="s">
        <v>454</v>
      </c>
      <c r="L40" s="167" t="s">
        <v>768</v>
      </c>
      <c r="M40" s="167"/>
      <c r="N40" s="167"/>
      <c r="O40" s="149" t="s">
        <v>10</v>
      </c>
      <c r="P40" s="169">
        <v>14.25</v>
      </c>
      <c r="Q40" s="169">
        <v>0</v>
      </c>
      <c r="R40" s="145">
        <v>1.5</v>
      </c>
      <c r="S40" s="199">
        <f t="shared" si="0"/>
        <v>125</v>
      </c>
      <c r="T40" s="153">
        <f t="shared" si="1"/>
        <v>187.5</v>
      </c>
    </row>
    <row r="41" spans="1:20">
      <c r="A41" s="162" t="s">
        <v>562</v>
      </c>
      <c r="B41" s="156" t="s">
        <v>565</v>
      </c>
      <c r="C41" s="156" t="s">
        <v>980</v>
      </c>
      <c r="D41" s="145" t="s">
        <v>1829</v>
      </c>
      <c r="E41" s="146" t="s">
        <v>454</v>
      </c>
      <c r="F41" s="146" t="s">
        <v>454</v>
      </c>
      <c r="G41" s="147" t="s">
        <v>454</v>
      </c>
      <c r="H41" s="147" t="s">
        <v>454</v>
      </c>
      <c r="I41" s="147" t="s">
        <v>454</v>
      </c>
      <c r="J41" s="147" t="s">
        <v>454</v>
      </c>
      <c r="K41" s="147" t="s">
        <v>454</v>
      </c>
      <c r="L41" s="167" t="s">
        <v>768</v>
      </c>
      <c r="M41" s="167"/>
      <c r="N41" s="167"/>
      <c r="O41" s="149" t="s">
        <v>10</v>
      </c>
      <c r="P41" s="169">
        <v>18.09</v>
      </c>
      <c r="Q41" s="169">
        <v>0</v>
      </c>
      <c r="R41" s="145">
        <v>1.5</v>
      </c>
      <c r="S41" s="199">
        <f t="shared" si="0"/>
        <v>125</v>
      </c>
      <c r="T41" s="153">
        <f t="shared" si="1"/>
        <v>187.5</v>
      </c>
    </row>
    <row r="42" spans="1:20">
      <c r="A42" s="162" t="s">
        <v>560</v>
      </c>
      <c r="B42" s="156" t="s">
        <v>885</v>
      </c>
      <c r="C42" s="156" t="s">
        <v>905</v>
      </c>
      <c r="D42" s="145" t="s">
        <v>1829</v>
      </c>
      <c r="E42" s="146" t="s">
        <v>454</v>
      </c>
      <c r="F42" s="146" t="s">
        <v>454</v>
      </c>
      <c r="G42" s="147" t="s">
        <v>454</v>
      </c>
      <c r="H42" s="147" t="s">
        <v>454</v>
      </c>
      <c r="I42" s="147" t="s">
        <v>454</v>
      </c>
      <c r="J42" s="147" t="s">
        <v>454</v>
      </c>
      <c r="K42" s="147" t="s">
        <v>454</v>
      </c>
      <c r="L42" s="167" t="s">
        <v>768</v>
      </c>
      <c r="M42" s="167"/>
      <c r="N42" s="167"/>
      <c r="O42" s="149" t="s">
        <v>10</v>
      </c>
      <c r="P42" s="169">
        <v>16.45</v>
      </c>
      <c r="Q42" s="169">
        <v>39.950000000000003</v>
      </c>
      <c r="R42" s="145">
        <v>1.5</v>
      </c>
      <c r="S42" s="199">
        <f t="shared" si="0"/>
        <v>125</v>
      </c>
      <c r="T42" s="153">
        <f t="shared" si="1"/>
        <v>227.45</v>
      </c>
    </row>
    <row r="43" spans="1:20">
      <c r="A43" s="162" t="s">
        <v>570</v>
      </c>
      <c r="B43" s="156" t="s">
        <v>564</v>
      </c>
      <c r="C43" s="156" t="s">
        <v>981</v>
      </c>
      <c r="D43" s="145" t="s">
        <v>1829</v>
      </c>
      <c r="E43" s="146" t="s">
        <v>454</v>
      </c>
      <c r="F43" s="146" t="s">
        <v>454</v>
      </c>
      <c r="G43" s="147" t="s">
        <v>454</v>
      </c>
      <c r="H43" s="147" t="s">
        <v>454</v>
      </c>
      <c r="I43" s="147" t="s">
        <v>454</v>
      </c>
      <c r="J43" s="147" t="s">
        <v>454</v>
      </c>
      <c r="K43" s="147" t="s">
        <v>454</v>
      </c>
      <c r="L43" s="167" t="s">
        <v>768</v>
      </c>
      <c r="M43" s="167"/>
      <c r="N43" s="167"/>
      <c r="O43" s="149" t="s">
        <v>10</v>
      </c>
      <c r="P43" s="169">
        <v>99.95</v>
      </c>
      <c r="Q43" s="169">
        <v>39.950000000000003</v>
      </c>
      <c r="R43" s="145">
        <v>1.5</v>
      </c>
      <c r="S43" s="199">
        <f t="shared" si="0"/>
        <v>125</v>
      </c>
      <c r="T43" s="153">
        <f t="shared" si="1"/>
        <v>227.45</v>
      </c>
    </row>
    <row r="44" spans="1:20">
      <c r="A44" s="319" t="s">
        <v>530</v>
      </c>
      <c r="B44" s="297" t="s">
        <v>2242</v>
      </c>
      <c r="C44" s="320" t="s">
        <v>982</v>
      </c>
      <c r="D44" s="321" t="s">
        <v>2243</v>
      </c>
      <c r="E44" s="322" t="s">
        <v>454</v>
      </c>
      <c r="F44" s="322" t="s">
        <v>454</v>
      </c>
      <c r="G44" s="299" t="s">
        <v>454</v>
      </c>
      <c r="H44" s="299" t="s">
        <v>454</v>
      </c>
      <c r="I44" s="299" t="s">
        <v>454</v>
      </c>
      <c r="J44" s="299" t="s">
        <v>454</v>
      </c>
      <c r="K44" s="299" t="s">
        <v>454</v>
      </c>
      <c r="L44" s="300" t="s">
        <v>768</v>
      </c>
      <c r="M44" s="300"/>
      <c r="N44" s="300"/>
      <c r="O44" s="301" t="s">
        <v>0</v>
      </c>
      <c r="P44" s="323">
        <v>85.77</v>
      </c>
      <c r="Q44" s="323">
        <v>142.94999999999999</v>
      </c>
      <c r="R44" s="298">
        <v>1.5</v>
      </c>
      <c r="S44" s="324">
        <f t="shared" si="0"/>
        <v>125</v>
      </c>
      <c r="T44" s="325">
        <f t="shared" si="1"/>
        <v>330.45</v>
      </c>
    </row>
    <row r="45" spans="1:20">
      <c r="A45" s="162" t="s">
        <v>512</v>
      </c>
      <c r="B45" s="151" t="s">
        <v>762</v>
      </c>
      <c r="C45" s="158" t="s">
        <v>1042</v>
      </c>
      <c r="D45" s="145" t="s">
        <v>1878</v>
      </c>
      <c r="E45" s="146" t="s">
        <v>454</v>
      </c>
      <c r="F45" s="146" t="s">
        <v>454</v>
      </c>
      <c r="G45" s="147" t="s">
        <v>454</v>
      </c>
      <c r="H45" s="147" t="s">
        <v>454</v>
      </c>
      <c r="I45" s="147" t="s">
        <v>454</v>
      </c>
      <c r="J45" s="147" t="s">
        <v>454</v>
      </c>
      <c r="K45" s="147" t="s">
        <v>454</v>
      </c>
      <c r="L45" s="148" t="s">
        <v>768</v>
      </c>
      <c r="M45" s="148" t="s">
        <v>1684</v>
      </c>
      <c r="N45" s="148"/>
      <c r="O45" s="149" t="s">
        <v>10</v>
      </c>
      <c r="P45" s="150">
        <v>178.77</v>
      </c>
      <c r="Q45" s="150">
        <v>297.95</v>
      </c>
      <c r="R45" s="145">
        <v>1.5</v>
      </c>
      <c r="S45" s="199">
        <f t="shared" si="0"/>
        <v>125</v>
      </c>
      <c r="T45" s="152">
        <f t="shared" si="1"/>
        <v>485.45</v>
      </c>
    </row>
    <row r="46" spans="1:20">
      <c r="A46" s="162" t="s">
        <v>511</v>
      </c>
      <c r="B46" s="151" t="s">
        <v>548</v>
      </c>
      <c r="C46" s="158" t="s">
        <v>1043</v>
      </c>
      <c r="D46" s="145" t="s">
        <v>1878</v>
      </c>
      <c r="E46" s="146" t="s">
        <v>454</v>
      </c>
      <c r="F46" s="146" t="s">
        <v>454</v>
      </c>
      <c r="G46" s="147" t="s">
        <v>454</v>
      </c>
      <c r="H46" s="147" t="s">
        <v>454</v>
      </c>
      <c r="I46" s="147" t="s">
        <v>454</v>
      </c>
      <c r="J46" s="147" t="s">
        <v>454</v>
      </c>
      <c r="K46" s="147" t="s">
        <v>454</v>
      </c>
      <c r="L46" s="148" t="s">
        <v>768</v>
      </c>
      <c r="M46" s="148" t="s">
        <v>1684</v>
      </c>
      <c r="N46" s="148"/>
      <c r="O46" s="149" t="s">
        <v>10</v>
      </c>
      <c r="P46" s="150">
        <v>117.57</v>
      </c>
      <c r="Q46" s="150">
        <v>195.95</v>
      </c>
      <c r="R46" s="145">
        <v>1.5</v>
      </c>
      <c r="S46" s="199">
        <f t="shared" si="0"/>
        <v>125</v>
      </c>
      <c r="T46" s="152">
        <f t="shared" si="1"/>
        <v>383.45</v>
      </c>
    </row>
    <row r="47" spans="1:20">
      <c r="A47" s="162" t="s">
        <v>513</v>
      </c>
      <c r="B47" s="151" t="s">
        <v>549</v>
      </c>
      <c r="C47" s="158" t="s">
        <v>1044</v>
      </c>
      <c r="D47" s="145" t="s">
        <v>1878</v>
      </c>
      <c r="E47" s="146" t="s">
        <v>454</v>
      </c>
      <c r="F47" s="146" t="s">
        <v>454</v>
      </c>
      <c r="G47" s="147" t="s">
        <v>454</v>
      </c>
      <c r="H47" s="147" t="s">
        <v>454</v>
      </c>
      <c r="I47" s="147" t="s">
        <v>454</v>
      </c>
      <c r="J47" s="147" t="s">
        <v>454</v>
      </c>
      <c r="K47" s="147" t="s">
        <v>454</v>
      </c>
      <c r="L47" s="148" t="s">
        <v>768</v>
      </c>
      <c r="M47" s="148" t="s">
        <v>1684</v>
      </c>
      <c r="N47" s="148"/>
      <c r="O47" s="149" t="s">
        <v>10</v>
      </c>
      <c r="P47" s="150">
        <v>145.77000000000001</v>
      </c>
      <c r="Q47" s="150">
        <v>242.95</v>
      </c>
      <c r="R47" s="145">
        <v>1.5</v>
      </c>
      <c r="S47" s="199">
        <f t="shared" si="0"/>
        <v>125</v>
      </c>
      <c r="T47" s="152">
        <f t="shared" si="1"/>
        <v>430.45</v>
      </c>
    </row>
    <row r="48" spans="1:20">
      <c r="A48" s="284" t="s">
        <v>2027</v>
      </c>
      <c r="B48" s="244" t="s">
        <v>2029</v>
      </c>
      <c r="C48" s="286" t="s">
        <v>2031</v>
      </c>
      <c r="D48" s="145"/>
      <c r="E48" s="146" t="s">
        <v>454</v>
      </c>
      <c r="F48" s="146" t="s">
        <v>454</v>
      </c>
      <c r="G48" s="147" t="s">
        <v>454</v>
      </c>
      <c r="H48" s="147" t="s">
        <v>454</v>
      </c>
      <c r="I48" s="147" t="s">
        <v>454</v>
      </c>
      <c r="J48" s="147" t="s">
        <v>454</v>
      </c>
      <c r="K48" s="147" t="s">
        <v>454</v>
      </c>
      <c r="L48" s="167" t="s">
        <v>768</v>
      </c>
      <c r="M48" s="167"/>
      <c r="N48" s="167"/>
      <c r="O48" s="149" t="s">
        <v>10</v>
      </c>
      <c r="P48" s="169">
        <v>316.14</v>
      </c>
      <c r="Q48" s="169">
        <v>526.95000000000005</v>
      </c>
      <c r="R48" s="145">
        <v>1.5</v>
      </c>
      <c r="S48" s="199">
        <f t="shared" si="0"/>
        <v>125</v>
      </c>
      <c r="T48" s="153">
        <f t="shared" si="1"/>
        <v>714.45</v>
      </c>
    </row>
    <row r="49" spans="1:20">
      <c r="A49" s="284" t="s">
        <v>2028</v>
      </c>
      <c r="B49" s="244" t="s">
        <v>2030</v>
      </c>
      <c r="C49" s="286" t="s">
        <v>2032</v>
      </c>
      <c r="D49" s="145"/>
      <c r="E49" s="146" t="s">
        <v>454</v>
      </c>
      <c r="F49" s="146" t="s">
        <v>454</v>
      </c>
      <c r="G49" s="147" t="s">
        <v>454</v>
      </c>
      <c r="H49" s="147" t="s">
        <v>454</v>
      </c>
      <c r="I49" s="147" t="s">
        <v>454</v>
      </c>
      <c r="J49" s="147" t="s">
        <v>454</v>
      </c>
      <c r="K49" s="147" t="s">
        <v>454</v>
      </c>
      <c r="L49" s="167" t="s">
        <v>768</v>
      </c>
      <c r="M49" s="167"/>
      <c r="N49" s="167"/>
      <c r="O49" s="149" t="s">
        <v>10</v>
      </c>
      <c r="P49" s="169">
        <v>316.14</v>
      </c>
      <c r="Q49" s="169">
        <v>526.95000000000005</v>
      </c>
      <c r="R49" s="145">
        <v>1.5</v>
      </c>
      <c r="S49" s="199">
        <f t="shared" si="0"/>
        <v>125</v>
      </c>
      <c r="T49" s="153">
        <f t="shared" si="1"/>
        <v>714.45</v>
      </c>
    </row>
    <row r="50" spans="1:20">
      <c r="A50" s="162" t="s">
        <v>1820</v>
      </c>
      <c r="B50" s="144" t="s">
        <v>1822</v>
      </c>
      <c r="C50" s="151" t="s">
        <v>1821</v>
      </c>
      <c r="D50" s="145" t="s">
        <v>2244</v>
      </c>
      <c r="E50" s="146" t="s">
        <v>454</v>
      </c>
      <c r="F50" s="146" t="s">
        <v>454</v>
      </c>
      <c r="G50" s="147" t="s">
        <v>454</v>
      </c>
      <c r="H50" s="147" t="s">
        <v>454</v>
      </c>
      <c r="I50" s="147" t="s">
        <v>454</v>
      </c>
      <c r="J50" s="147" t="s">
        <v>454</v>
      </c>
      <c r="K50" s="147" t="s">
        <v>454</v>
      </c>
      <c r="L50" s="167"/>
      <c r="M50" s="167"/>
      <c r="N50" s="167"/>
      <c r="O50" s="149" t="s">
        <v>10</v>
      </c>
      <c r="P50" s="169">
        <v>75.56</v>
      </c>
      <c r="Q50" s="169">
        <v>125.95</v>
      </c>
      <c r="R50" s="145">
        <v>1.5</v>
      </c>
      <c r="S50" s="199">
        <f t="shared" si="0"/>
        <v>125</v>
      </c>
      <c r="T50" s="153">
        <f t="shared" si="1"/>
        <v>313.45</v>
      </c>
    </row>
    <row r="51" spans="1:20">
      <c r="A51" s="162" t="s">
        <v>471</v>
      </c>
      <c r="B51" s="151" t="s">
        <v>945</v>
      </c>
      <c r="C51" s="156" t="s">
        <v>753</v>
      </c>
      <c r="D51" s="145" t="s">
        <v>2245</v>
      </c>
      <c r="E51" s="146" t="s">
        <v>454</v>
      </c>
      <c r="F51" s="146" t="s">
        <v>454</v>
      </c>
      <c r="G51" s="147" t="s">
        <v>454</v>
      </c>
      <c r="H51" s="147" t="s">
        <v>454</v>
      </c>
      <c r="I51" s="147" t="s">
        <v>454</v>
      </c>
      <c r="J51" s="147" t="s">
        <v>454</v>
      </c>
      <c r="K51" s="147" t="s">
        <v>454</v>
      </c>
      <c r="L51" s="167" t="s">
        <v>768</v>
      </c>
      <c r="M51" s="167" t="s">
        <v>1684</v>
      </c>
      <c r="N51" s="167"/>
      <c r="O51" s="149" t="s">
        <v>10</v>
      </c>
      <c r="P51" s="169">
        <v>38.97</v>
      </c>
      <c r="Q51" s="169">
        <v>64.95</v>
      </c>
      <c r="R51" s="145">
        <v>1.5</v>
      </c>
      <c r="S51" s="199">
        <f t="shared" si="0"/>
        <v>125</v>
      </c>
      <c r="T51" s="153">
        <f t="shared" si="1"/>
        <v>252.45</v>
      </c>
    </row>
    <row r="52" spans="1:20">
      <c r="A52" s="162" t="s">
        <v>826</v>
      </c>
      <c r="B52" s="151" t="s">
        <v>824</v>
      </c>
      <c r="C52" s="156" t="s">
        <v>983</v>
      </c>
      <c r="D52" s="145" t="s">
        <v>2246</v>
      </c>
      <c r="E52" s="146" t="s">
        <v>454</v>
      </c>
      <c r="F52" s="146" t="s">
        <v>454</v>
      </c>
      <c r="G52" s="147" t="s">
        <v>454</v>
      </c>
      <c r="H52" s="147" t="s">
        <v>454</v>
      </c>
      <c r="I52" s="147" t="s">
        <v>454</v>
      </c>
      <c r="J52" s="147" t="s">
        <v>454</v>
      </c>
      <c r="K52" s="147" t="s">
        <v>454</v>
      </c>
      <c r="L52" s="167" t="s">
        <v>768</v>
      </c>
      <c r="M52" s="167" t="s">
        <v>1684</v>
      </c>
      <c r="N52" s="167"/>
      <c r="O52" s="149" t="s">
        <v>10</v>
      </c>
      <c r="P52" s="169">
        <v>38.97</v>
      </c>
      <c r="Q52" s="169">
        <v>64.95</v>
      </c>
      <c r="R52" s="145">
        <v>1.5</v>
      </c>
      <c r="S52" s="199">
        <f t="shared" si="0"/>
        <v>125</v>
      </c>
      <c r="T52" s="153">
        <f t="shared" si="1"/>
        <v>252.45</v>
      </c>
    </row>
    <row r="53" spans="1:20">
      <c r="A53" s="162" t="s">
        <v>528</v>
      </c>
      <c r="B53" s="151" t="s">
        <v>853</v>
      </c>
      <c r="C53" s="151" t="s">
        <v>984</v>
      </c>
      <c r="D53" s="145" t="s">
        <v>1054</v>
      </c>
      <c r="E53" s="146" t="s">
        <v>454</v>
      </c>
      <c r="F53" s="146" t="s">
        <v>454</v>
      </c>
      <c r="G53" s="147" t="s">
        <v>454</v>
      </c>
      <c r="H53" s="147" t="s">
        <v>454</v>
      </c>
      <c r="I53" s="147" t="s">
        <v>454</v>
      </c>
      <c r="J53" s="147" t="s">
        <v>454</v>
      </c>
      <c r="K53" s="147" t="s">
        <v>454</v>
      </c>
      <c r="L53" s="148" t="s">
        <v>768</v>
      </c>
      <c r="M53" s="148" t="s">
        <v>1684</v>
      </c>
      <c r="N53" s="148"/>
      <c r="O53" s="149" t="s">
        <v>0</v>
      </c>
      <c r="P53" s="150">
        <v>269.97000000000003</v>
      </c>
      <c r="Q53" s="150">
        <v>449.95</v>
      </c>
      <c r="R53" s="145">
        <v>1.5</v>
      </c>
      <c r="S53" s="199">
        <f t="shared" si="0"/>
        <v>125</v>
      </c>
      <c r="T53" s="152">
        <f t="shared" si="1"/>
        <v>637.45000000000005</v>
      </c>
    </row>
    <row r="54" spans="1:20">
      <c r="A54" s="284" t="s">
        <v>2079</v>
      </c>
      <c r="B54" s="244" t="s">
        <v>2083</v>
      </c>
      <c r="C54" s="286" t="s">
        <v>2089</v>
      </c>
      <c r="D54" s="145"/>
      <c r="E54" s="146" t="s">
        <v>454</v>
      </c>
      <c r="F54" s="146" t="s">
        <v>454</v>
      </c>
      <c r="G54" s="147" t="s">
        <v>454</v>
      </c>
      <c r="H54" s="147" t="s">
        <v>454</v>
      </c>
      <c r="I54" s="147" t="s">
        <v>454</v>
      </c>
      <c r="J54" s="147" t="s">
        <v>454</v>
      </c>
      <c r="K54" s="147"/>
      <c r="L54" s="167"/>
      <c r="M54" s="167" t="s">
        <v>1684</v>
      </c>
      <c r="N54" s="167"/>
      <c r="O54" s="149" t="s">
        <v>10</v>
      </c>
      <c r="P54" s="169">
        <v>94.77</v>
      </c>
      <c r="Q54" s="169">
        <v>157.94999999999999</v>
      </c>
      <c r="R54" s="145">
        <v>1.5</v>
      </c>
      <c r="S54" s="199">
        <f t="shared" si="0"/>
        <v>125</v>
      </c>
      <c r="T54" s="153">
        <f t="shared" si="1"/>
        <v>345.45</v>
      </c>
    </row>
    <row r="55" spans="1:20">
      <c r="A55" s="284" t="s">
        <v>2080</v>
      </c>
      <c r="B55" s="244" t="s">
        <v>2084</v>
      </c>
      <c r="C55" s="286" t="s">
        <v>2088</v>
      </c>
      <c r="D55" s="145"/>
      <c r="E55" s="146" t="s">
        <v>454</v>
      </c>
      <c r="F55" s="146" t="s">
        <v>454</v>
      </c>
      <c r="G55" s="147" t="s">
        <v>454</v>
      </c>
      <c r="H55" s="147" t="s">
        <v>454</v>
      </c>
      <c r="I55" s="147" t="s">
        <v>454</v>
      </c>
      <c r="J55" s="147" t="s">
        <v>454</v>
      </c>
      <c r="K55" s="147"/>
      <c r="L55" s="167"/>
      <c r="M55" s="167" t="s">
        <v>1684</v>
      </c>
      <c r="N55" s="167"/>
      <c r="O55" s="149" t="s">
        <v>10</v>
      </c>
      <c r="P55" s="169">
        <v>94.77</v>
      </c>
      <c r="Q55" s="169">
        <v>157.94999999999999</v>
      </c>
      <c r="R55" s="145">
        <v>1.5</v>
      </c>
      <c r="S55" s="199">
        <f t="shared" si="0"/>
        <v>125</v>
      </c>
      <c r="T55" s="153">
        <f t="shared" si="1"/>
        <v>345.45</v>
      </c>
    </row>
    <row r="56" spans="1:20">
      <c r="A56" s="284" t="s">
        <v>1890</v>
      </c>
      <c r="B56" s="244" t="s">
        <v>2055</v>
      </c>
      <c r="C56" s="286" t="s">
        <v>2065</v>
      </c>
      <c r="D56" s="145"/>
      <c r="E56" s="146" t="s">
        <v>454</v>
      </c>
      <c r="F56" s="146" t="s">
        <v>454</v>
      </c>
      <c r="G56" s="147" t="s">
        <v>454</v>
      </c>
      <c r="H56" s="147" t="s">
        <v>454</v>
      </c>
      <c r="I56" s="147" t="s">
        <v>454</v>
      </c>
      <c r="J56" s="147" t="s">
        <v>454</v>
      </c>
      <c r="K56" s="147"/>
      <c r="L56" s="167" t="s">
        <v>768</v>
      </c>
      <c r="M56" s="167"/>
      <c r="N56" s="167"/>
      <c r="O56" s="149" t="s">
        <v>10</v>
      </c>
      <c r="P56" s="169">
        <v>263.97000000000003</v>
      </c>
      <c r="Q56" s="169">
        <v>439.95</v>
      </c>
      <c r="R56" s="145">
        <v>1.5</v>
      </c>
      <c r="S56" s="199">
        <f t="shared" si="0"/>
        <v>125</v>
      </c>
      <c r="T56" s="153">
        <f t="shared" si="1"/>
        <v>627.45000000000005</v>
      </c>
    </row>
    <row r="57" spans="1:20">
      <c r="A57" s="284" t="s">
        <v>1935</v>
      </c>
      <c r="B57" s="244" t="s">
        <v>796</v>
      </c>
      <c r="C57" s="286" t="s">
        <v>985</v>
      </c>
      <c r="D57" s="145"/>
      <c r="E57" s="146" t="s">
        <v>454</v>
      </c>
      <c r="F57" s="146" t="s">
        <v>454</v>
      </c>
      <c r="G57" s="147" t="s">
        <v>454</v>
      </c>
      <c r="H57" s="147" t="s">
        <v>454</v>
      </c>
      <c r="I57" s="147" t="s">
        <v>454</v>
      </c>
      <c r="J57" s="147" t="s">
        <v>454</v>
      </c>
      <c r="K57" s="147" t="s">
        <v>454</v>
      </c>
      <c r="L57" s="167" t="s">
        <v>768</v>
      </c>
      <c r="M57" s="167" t="s">
        <v>1684</v>
      </c>
      <c r="N57" s="167"/>
      <c r="O57" s="149" t="s">
        <v>10</v>
      </c>
      <c r="P57" s="169">
        <v>276.57</v>
      </c>
      <c r="Q57" s="169">
        <v>460.95</v>
      </c>
      <c r="R57" s="145">
        <v>1.5</v>
      </c>
      <c r="S57" s="199">
        <f t="shared" si="0"/>
        <v>125</v>
      </c>
      <c r="T57" s="153">
        <f t="shared" si="1"/>
        <v>648.45000000000005</v>
      </c>
    </row>
    <row r="58" spans="1:20">
      <c r="A58" s="284" t="s">
        <v>1889</v>
      </c>
      <c r="B58" s="244" t="s">
        <v>552</v>
      </c>
      <c r="C58" s="286" t="s">
        <v>986</v>
      </c>
      <c r="D58" s="145"/>
      <c r="E58" s="146" t="s">
        <v>454</v>
      </c>
      <c r="F58" s="146" t="s">
        <v>454</v>
      </c>
      <c r="G58" s="147" t="s">
        <v>454</v>
      </c>
      <c r="H58" s="147" t="s">
        <v>454</v>
      </c>
      <c r="I58" s="147" t="s">
        <v>454</v>
      </c>
      <c r="J58" s="147" t="s">
        <v>454</v>
      </c>
      <c r="K58" s="147" t="s">
        <v>454</v>
      </c>
      <c r="L58" s="167" t="s">
        <v>768</v>
      </c>
      <c r="M58" s="167" t="s">
        <v>1684</v>
      </c>
      <c r="N58" s="167"/>
      <c r="O58" s="149" t="s">
        <v>10</v>
      </c>
      <c r="P58" s="169">
        <v>167.97</v>
      </c>
      <c r="Q58" s="169">
        <v>279.95</v>
      </c>
      <c r="R58" s="145">
        <v>1.5</v>
      </c>
      <c r="S58" s="199">
        <f t="shared" si="0"/>
        <v>125</v>
      </c>
      <c r="T58" s="153">
        <f t="shared" si="1"/>
        <v>467.45</v>
      </c>
    </row>
    <row r="59" spans="1:20">
      <c r="A59" s="284" t="s">
        <v>2021</v>
      </c>
      <c r="B59" s="244" t="s">
        <v>2018</v>
      </c>
      <c r="C59" s="286" t="s">
        <v>2022</v>
      </c>
      <c r="D59" s="145"/>
      <c r="E59" s="146" t="s">
        <v>454</v>
      </c>
      <c r="F59" s="146" t="s">
        <v>454</v>
      </c>
      <c r="G59" s="147" t="s">
        <v>454</v>
      </c>
      <c r="H59" s="147" t="s">
        <v>454</v>
      </c>
      <c r="I59" s="147" t="s">
        <v>454</v>
      </c>
      <c r="J59" s="147" t="s">
        <v>454</v>
      </c>
      <c r="K59" s="147" t="s">
        <v>454</v>
      </c>
      <c r="L59" s="167" t="s">
        <v>768</v>
      </c>
      <c r="M59" s="167"/>
      <c r="N59" s="167"/>
      <c r="O59" s="149" t="s">
        <v>10</v>
      </c>
      <c r="P59" s="169">
        <v>398.6</v>
      </c>
      <c r="Q59" s="169">
        <v>663.95</v>
      </c>
      <c r="R59" s="145">
        <v>1.5</v>
      </c>
      <c r="S59" s="199">
        <f t="shared" si="0"/>
        <v>125</v>
      </c>
      <c r="T59" s="153">
        <f t="shared" si="1"/>
        <v>851.45</v>
      </c>
    </row>
    <row r="60" spans="1:20">
      <c r="A60" s="162" t="s">
        <v>529</v>
      </c>
      <c r="B60" s="151" t="s">
        <v>536</v>
      </c>
      <c r="C60" s="151" t="s">
        <v>993</v>
      </c>
      <c r="D60" s="145"/>
      <c r="E60" s="146" t="s">
        <v>454</v>
      </c>
      <c r="F60" s="146" t="s">
        <v>454</v>
      </c>
      <c r="G60" s="147" t="s">
        <v>454</v>
      </c>
      <c r="H60" s="147" t="s">
        <v>454</v>
      </c>
      <c r="I60" s="147" t="s">
        <v>454</v>
      </c>
      <c r="J60" s="147" t="s">
        <v>454</v>
      </c>
      <c r="K60" s="147" t="s">
        <v>454</v>
      </c>
      <c r="L60" s="148"/>
      <c r="M60" s="148" t="s">
        <v>1684</v>
      </c>
      <c r="N60" s="148"/>
      <c r="O60" s="149" t="s">
        <v>16</v>
      </c>
      <c r="P60" s="150">
        <v>34.770000000000003</v>
      </c>
      <c r="Q60" s="150">
        <v>57.95</v>
      </c>
      <c r="R60" s="145">
        <v>1.5</v>
      </c>
      <c r="S60" s="199">
        <f t="shared" si="0"/>
        <v>125</v>
      </c>
      <c r="T60" s="152">
        <f t="shared" si="1"/>
        <v>245.45</v>
      </c>
    </row>
    <row r="61" spans="1:20" ht="25.5">
      <c r="A61" s="164" t="s">
        <v>469</v>
      </c>
      <c r="B61" s="165" t="s">
        <v>779</v>
      </c>
      <c r="C61" s="165" t="s">
        <v>1939</v>
      </c>
      <c r="D61" s="184" t="s">
        <v>2002</v>
      </c>
      <c r="E61" s="204" t="s">
        <v>454</v>
      </c>
      <c r="F61" s="205" t="s">
        <v>454</v>
      </c>
      <c r="G61" s="205" t="s">
        <v>454</v>
      </c>
      <c r="H61" s="205" t="s">
        <v>454</v>
      </c>
      <c r="I61" s="205" t="s">
        <v>454</v>
      </c>
      <c r="J61" s="205" t="s">
        <v>454</v>
      </c>
      <c r="K61" s="205" t="s">
        <v>454</v>
      </c>
      <c r="L61" s="181" t="s">
        <v>768</v>
      </c>
      <c r="M61" s="181"/>
      <c r="N61" s="181"/>
      <c r="O61" s="182" t="s">
        <v>59</v>
      </c>
      <c r="P61" s="183">
        <v>60</v>
      </c>
      <c r="Q61" s="183">
        <v>84.95</v>
      </c>
      <c r="R61" s="184">
        <v>1.5</v>
      </c>
      <c r="S61" s="217">
        <f t="shared" si="0"/>
        <v>125</v>
      </c>
      <c r="T61" s="185">
        <f t="shared" si="1"/>
        <v>272.45</v>
      </c>
    </row>
    <row r="62" spans="1:20">
      <c r="A62" s="164" t="s">
        <v>1680</v>
      </c>
      <c r="B62" s="165" t="s">
        <v>1800</v>
      </c>
      <c r="C62" s="165" t="s">
        <v>1970</v>
      </c>
      <c r="D62" s="184" t="s">
        <v>1804</v>
      </c>
      <c r="E62" s="204" t="s">
        <v>454</v>
      </c>
      <c r="F62" s="205" t="s">
        <v>454</v>
      </c>
      <c r="G62" s="205" t="s">
        <v>454</v>
      </c>
      <c r="H62" s="205" t="s">
        <v>454</v>
      </c>
      <c r="I62" s="205" t="s">
        <v>454</v>
      </c>
      <c r="J62" s="205" t="s">
        <v>454</v>
      </c>
      <c r="K62" s="205" t="s">
        <v>454</v>
      </c>
      <c r="L62" s="181" t="s">
        <v>768</v>
      </c>
      <c r="M62" s="181"/>
      <c r="N62" s="181"/>
      <c r="O62" s="182" t="s">
        <v>59</v>
      </c>
      <c r="P62" s="183">
        <v>258.75</v>
      </c>
      <c r="Q62" s="183">
        <v>389.95</v>
      </c>
      <c r="R62" s="184">
        <v>1.5</v>
      </c>
      <c r="S62" s="217">
        <f t="shared" si="0"/>
        <v>125</v>
      </c>
      <c r="T62" s="185">
        <f t="shared" si="1"/>
        <v>577.45000000000005</v>
      </c>
    </row>
    <row r="63" spans="1:20">
      <c r="A63" s="164" t="s">
        <v>1052</v>
      </c>
      <c r="B63" s="165" t="s">
        <v>1792</v>
      </c>
      <c r="C63" s="165" t="s">
        <v>1941</v>
      </c>
      <c r="D63" s="184" t="s">
        <v>2003</v>
      </c>
      <c r="E63" s="204" t="s">
        <v>454</v>
      </c>
      <c r="F63" s="205" t="s">
        <v>454</v>
      </c>
      <c r="G63" s="205" t="s">
        <v>454</v>
      </c>
      <c r="H63" s="205" t="s">
        <v>454</v>
      </c>
      <c r="I63" s="205" t="s">
        <v>454</v>
      </c>
      <c r="J63" s="205" t="s">
        <v>454</v>
      </c>
      <c r="K63" s="205" t="s">
        <v>454</v>
      </c>
      <c r="L63" s="181" t="s">
        <v>768</v>
      </c>
      <c r="M63" s="181"/>
      <c r="N63" s="181"/>
      <c r="O63" s="182" t="s">
        <v>59</v>
      </c>
      <c r="P63" s="183">
        <v>150</v>
      </c>
      <c r="Q63" s="183">
        <v>214.95</v>
      </c>
      <c r="R63" s="184">
        <v>1.5</v>
      </c>
      <c r="S63" s="217">
        <f t="shared" si="0"/>
        <v>125</v>
      </c>
      <c r="T63" s="185">
        <f t="shared" si="1"/>
        <v>402.45</v>
      </c>
    </row>
    <row r="64" spans="1:20">
      <c r="A64" s="164" t="s">
        <v>286</v>
      </c>
      <c r="B64" s="165" t="s">
        <v>287</v>
      </c>
      <c r="C64" s="165" t="s">
        <v>292</v>
      </c>
      <c r="D64" s="184"/>
      <c r="E64" s="204" t="s">
        <v>454</v>
      </c>
      <c r="F64" s="205" t="s">
        <v>454</v>
      </c>
      <c r="G64" s="205" t="s">
        <v>454</v>
      </c>
      <c r="H64" s="205" t="s">
        <v>454</v>
      </c>
      <c r="I64" s="205" t="s">
        <v>454</v>
      </c>
      <c r="J64" s="205" t="s">
        <v>454</v>
      </c>
      <c r="K64" s="205" t="s">
        <v>454</v>
      </c>
      <c r="L64" s="181" t="s">
        <v>768</v>
      </c>
      <c r="M64" s="181"/>
      <c r="N64" s="181"/>
      <c r="O64" s="182" t="s">
        <v>59</v>
      </c>
      <c r="P64" s="183">
        <v>230</v>
      </c>
      <c r="Q64" s="183">
        <v>329.95</v>
      </c>
      <c r="R64" s="184">
        <v>1.5</v>
      </c>
      <c r="S64" s="217">
        <f t="shared" si="0"/>
        <v>125</v>
      </c>
      <c r="T64" s="185">
        <f t="shared" si="1"/>
        <v>517.45000000000005</v>
      </c>
    </row>
    <row r="65" spans="1:20" ht="25.5">
      <c r="A65" s="164" t="s">
        <v>1754</v>
      </c>
      <c r="B65" s="165" t="s">
        <v>2209</v>
      </c>
      <c r="C65" s="165" t="s">
        <v>1943</v>
      </c>
      <c r="D65" s="184" t="s">
        <v>2007</v>
      </c>
      <c r="E65" s="204" t="s">
        <v>454</v>
      </c>
      <c r="F65" s="205" t="s">
        <v>454</v>
      </c>
      <c r="G65" s="205" t="s">
        <v>454</v>
      </c>
      <c r="H65" s="205" t="s">
        <v>454</v>
      </c>
      <c r="I65" s="205" t="s">
        <v>454</v>
      </c>
      <c r="J65" s="205" t="s">
        <v>454</v>
      </c>
      <c r="K65" s="205" t="s">
        <v>454</v>
      </c>
      <c r="L65" s="181" t="s">
        <v>410</v>
      </c>
      <c r="M65" s="181"/>
      <c r="N65" s="181"/>
      <c r="O65" s="182" t="s">
        <v>59</v>
      </c>
      <c r="P65" s="183">
        <v>230</v>
      </c>
      <c r="Q65" s="183">
        <v>329.95</v>
      </c>
      <c r="R65" s="184">
        <v>1.5</v>
      </c>
      <c r="S65" s="217">
        <f t="shared" si="0"/>
        <v>125</v>
      </c>
      <c r="T65" s="185">
        <f t="shared" si="1"/>
        <v>517.45000000000005</v>
      </c>
    </row>
    <row r="66" spans="1:20" ht="25.5">
      <c r="A66" s="164" t="s">
        <v>558</v>
      </c>
      <c r="B66" s="165" t="s">
        <v>1801</v>
      </c>
      <c r="C66" s="165" t="s">
        <v>1942</v>
      </c>
      <c r="D66" s="184" t="s">
        <v>2005</v>
      </c>
      <c r="E66" s="204" t="s">
        <v>454</v>
      </c>
      <c r="F66" s="205" t="s">
        <v>454</v>
      </c>
      <c r="G66" s="205" t="s">
        <v>454</v>
      </c>
      <c r="H66" s="205" t="s">
        <v>454</v>
      </c>
      <c r="I66" s="205" t="s">
        <v>454</v>
      </c>
      <c r="J66" s="205" t="s">
        <v>454</v>
      </c>
      <c r="K66" s="205" t="s">
        <v>454</v>
      </c>
      <c r="L66" s="181" t="s">
        <v>768</v>
      </c>
      <c r="M66" s="181"/>
      <c r="N66" s="181"/>
      <c r="O66" s="182" t="s">
        <v>59</v>
      </c>
      <c r="P66" s="183">
        <v>150</v>
      </c>
      <c r="Q66" s="183">
        <v>214.95</v>
      </c>
      <c r="R66" s="184">
        <v>1.5</v>
      </c>
      <c r="S66" s="217">
        <f t="shared" si="0"/>
        <v>125</v>
      </c>
      <c r="T66" s="185">
        <f t="shared" si="1"/>
        <v>402.45</v>
      </c>
    </row>
    <row r="67" spans="1:20">
      <c r="A67" s="164" t="s">
        <v>283</v>
      </c>
      <c r="B67" s="165" t="s">
        <v>284</v>
      </c>
      <c r="C67" s="165" t="s">
        <v>291</v>
      </c>
      <c r="D67" s="184" t="s">
        <v>302</v>
      </c>
      <c r="E67" s="204" t="s">
        <v>454</v>
      </c>
      <c r="F67" s="205" t="s">
        <v>454</v>
      </c>
      <c r="G67" s="205" t="s">
        <v>454</v>
      </c>
      <c r="H67" s="205" t="s">
        <v>454</v>
      </c>
      <c r="I67" s="205" t="s">
        <v>454</v>
      </c>
      <c r="J67" s="205" t="s">
        <v>454</v>
      </c>
      <c r="K67" s="205" t="s">
        <v>454</v>
      </c>
      <c r="L67" s="181" t="s">
        <v>768</v>
      </c>
      <c r="M67" s="181"/>
      <c r="N67" s="181"/>
      <c r="O67" s="182" t="s">
        <v>59</v>
      </c>
      <c r="P67" s="183">
        <v>150</v>
      </c>
      <c r="Q67" s="183">
        <v>214.95</v>
      </c>
      <c r="R67" s="184">
        <v>1.5</v>
      </c>
      <c r="S67" s="217">
        <f t="shared" si="0"/>
        <v>125</v>
      </c>
      <c r="T67" s="185">
        <f t="shared" ref="T67:T130" si="2">R67*S67+Q67</f>
        <v>402.45</v>
      </c>
    </row>
    <row r="68" spans="1:20">
      <c r="A68" s="164" t="s">
        <v>2192</v>
      </c>
      <c r="B68" s="165" t="s">
        <v>2193</v>
      </c>
      <c r="C68" s="165" t="s">
        <v>2194</v>
      </c>
      <c r="D68" s="216" t="s">
        <v>2195</v>
      </c>
      <c r="E68" s="204" t="s">
        <v>454</v>
      </c>
      <c r="F68" s="204" t="s">
        <v>454</v>
      </c>
      <c r="G68" s="205" t="s">
        <v>454</v>
      </c>
      <c r="H68" s="205" t="s">
        <v>454</v>
      </c>
      <c r="I68" s="205" t="s">
        <v>454</v>
      </c>
      <c r="J68" s="205" t="s">
        <v>454</v>
      </c>
      <c r="K68" s="205" t="s">
        <v>454</v>
      </c>
      <c r="L68" s="181" t="s">
        <v>768</v>
      </c>
      <c r="M68" s="181"/>
      <c r="N68" s="181"/>
      <c r="O68" s="182" t="s">
        <v>59</v>
      </c>
      <c r="P68" s="183">
        <v>400</v>
      </c>
      <c r="Q68" s="183">
        <v>569.95000000000005</v>
      </c>
      <c r="R68" s="207">
        <v>1.5</v>
      </c>
      <c r="S68" s="217">
        <f t="shared" si="0"/>
        <v>125</v>
      </c>
      <c r="T68" s="185">
        <f t="shared" si="2"/>
        <v>757.45</v>
      </c>
    </row>
    <row r="69" spans="1:20">
      <c r="A69" s="164" t="s">
        <v>299</v>
      </c>
      <c r="B69" s="165" t="s">
        <v>300</v>
      </c>
      <c r="C69" s="165" t="s">
        <v>301</v>
      </c>
      <c r="D69" s="184"/>
      <c r="E69" s="204" t="s">
        <v>454</v>
      </c>
      <c r="F69" s="205" t="s">
        <v>454</v>
      </c>
      <c r="G69" s="205" t="s">
        <v>454</v>
      </c>
      <c r="H69" s="205" t="s">
        <v>454</v>
      </c>
      <c r="I69" s="205" t="s">
        <v>454</v>
      </c>
      <c r="J69" s="205" t="s">
        <v>454</v>
      </c>
      <c r="K69" s="205" t="s">
        <v>454</v>
      </c>
      <c r="L69" s="181" t="s">
        <v>768</v>
      </c>
      <c r="M69" s="181"/>
      <c r="N69" s="181"/>
      <c r="O69" s="182" t="s">
        <v>59</v>
      </c>
      <c r="P69" s="183">
        <v>60</v>
      </c>
      <c r="Q69" s="183">
        <v>79.95</v>
      </c>
      <c r="R69" s="184">
        <v>1.5</v>
      </c>
      <c r="S69" s="217">
        <f t="shared" si="0"/>
        <v>125</v>
      </c>
      <c r="T69" s="185">
        <f t="shared" si="2"/>
        <v>267.45</v>
      </c>
    </row>
    <row r="70" spans="1:20">
      <c r="A70" s="164" t="s">
        <v>468</v>
      </c>
      <c r="B70" s="165" t="s">
        <v>1793</v>
      </c>
      <c r="C70" s="165" t="s">
        <v>1940</v>
      </c>
      <c r="D70" s="184" t="s">
        <v>2004</v>
      </c>
      <c r="E70" s="204" t="s">
        <v>454</v>
      </c>
      <c r="F70" s="205" t="s">
        <v>454</v>
      </c>
      <c r="G70" s="205" t="s">
        <v>454</v>
      </c>
      <c r="H70" s="205" t="s">
        <v>454</v>
      </c>
      <c r="I70" s="205" t="s">
        <v>454</v>
      </c>
      <c r="J70" s="205" t="s">
        <v>454</v>
      </c>
      <c r="K70" s="205" t="s">
        <v>454</v>
      </c>
      <c r="L70" s="181" t="s">
        <v>768</v>
      </c>
      <c r="M70" s="181"/>
      <c r="N70" s="181"/>
      <c r="O70" s="182" t="s">
        <v>59</v>
      </c>
      <c r="P70" s="183">
        <v>88.5</v>
      </c>
      <c r="Q70" s="183">
        <v>124.95</v>
      </c>
      <c r="R70" s="184">
        <v>1.5</v>
      </c>
      <c r="S70" s="217">
        <f t="shared" si="0"/>
        <v>125</v>
      </c>
      <c r="T70" s="185">
        <f t="shared" si="2"/>
        <v>312.45</v>
      </c>
    </row>
    <row r="71" spans="1:20">
      <c r="A71" s="162" t="s">
        <v>524</v>
      </c>
      <c r="B71" s="151" t="s">
        <v>1637</v>
      </c>
      <c r="C71" s="151" t="s">
        <v>1638</v>
      </c>
      <c r="D71" s="145" t="s">
        <v>1085</v>
      </c>
      <c r="E71" s="146" t="s">
        <v>454</v>
      </c>
      <c r="F71" s="146" t="s">
        <v>454</v>
      </c>
      <c r="G71" s="147" t="s">
        <v>454</v>
      </c>
      <c r="H71" s="147" t="s">
        <v>454</v>
      </c>
      <c r="I71" s="147" t="s">
        <v>454</v>
      </c>
      <c r="J71" s="147" t="s">
        <v>454</v>
      </c>
      <c r="K71" s="147" t="s">
        <v>454</v>
      </c>
      <c r="L71" s="148" t="s">
        <v>768</v>
      </c>
      <c r="M71" s="148" t="s">
        <v>1684</v>
      </c>
      <c r="N71" s="148"/>
      <c r="O71" s="149" t="s">
        <v>0</v>
      </c>
      <c r="P71" s="150">
        <v>244.17</v>
      </c>
      <c r="Q71" s="150">
        <v>406.95</v>
      </c>
      <c r="R71" s="145">
        <v>1.5</v>
      </c>
      <c r="S71" s="199">
        <f t="shared" si="0"/>
        <v>125</v>
      </c>
      <c r="T71" s="152">
        <f t="shared" si="2"/>
        <v>594.45000000000005</v>
      </c>
    </row>
    <row r="72" spans="1:20">
      <c r="A72" s="162" t="s">
        <v>520</v>
      </c>
      <c r="B72" s="151" t="s">
        <v>825</v>
      </c>
      <c r="C72" s="156" t="s">
        <v>2247</v>
      </c>
      <c r="D72" s="145"/>
      <c r="E72" s="146" t="s">
        <v>454</v>
      </c>
      <c r="F72" s="146" t="s">
        <v>454</v>
      </c>
      <c r="G72" s="147" t="s">
        <v>454</v>
      </c>
      <c r="H72" s="147" t="s">
        <v>454</v>
      </c>
      <c r="I72" s="147" t="s">
        <v>454</v>
      </c>
      <c r="J72" s="147" t="s">
        <v>454</v>
      </c>
      <c r="K72" s="147" t="s">
        <v>454</v>
      </c>
      <c r="L72" s="148" t="s">
        <v>768</v>
      </c>
      <c r="M72" s="148" t="s">
        <v>1684</v>
      </c>
      <c r="N72" s="148"/>
      <c r="O72" s="149" t="s">
        <v>10</v>
      </c>
      <c r="P72" s="150">
        <v>281.37</v>
      </c>
      <c r="Q72" s="150">
        <v>468.95</v>
      </c>
      <c r="R72" s="145">
        <v>1.5</v>
      </c>
      <c r="S72" s="199">
        <f t="shared" si="0"/>
        <v>125</v>
      </c>
      <c r="T72" s="152">
        <f t="shared" si="2"/>
        <v>656.45</v>
      </c>
    </row>
    <row r="73" spans="1:20">
      <c r="A73" s="284" t="s">
        <v>1610</v>
      </c>
      <c r="B73" s="151" t="s">
        <v>860</v>
      </c>
      <c r="C73" s="156" t="s">
        <v>2248</v>
      </c>
      <c r="D73" s="145" t="s">
        <v>1707</v>
      </c>
      <c r="E73" s="146" t="s">
        <v>454</v>
      </c>
      <c r="F73" s="146" t="s">
        <v>454</v>
      </c>
      <c r="G73" s="147" t="s">
        <v>454</v>
      </c>
      <c r="H73" s="147" t="s">
        <v>454</v>
      </c>
      <c r="I73" s="147" t="s">
        <v>454</v>
      </c>
      <c r="J73" s="147" t="s">
        <v>454</v>
      </c>
      <c r="K73" s="147" t="s">
        <v>454</v>
      </c>
      <c r="L73" s="167"/>
      <c r="M73" s="224" t="s">
        <v>1684</v>
      </c>
      <c r="N73" s="224"/>
      <c r="O73" s="149" t="s">
        <v>10</v>
      </c>
      <c r="P73" s="169">
        <v>392.67</v>
      </c>
      <c r="Q73" s="169">
        <v>560.95000000000005</v>
      </c>
      <c r="R73" s="145">
        <v>1.5</v>
      </c>
      <c r="S73" s="199">
        <f t="shared" si="0"/>
        <v>125</v>
      </c>
      <c r="T73" s="153">
        <f t="shared" si="2"/>
        <v>748.45</v>
      </c>
    </row>
    <row r="74" spans="1:20">
      <c r="A74" s="284" t="s">
        <v>861</v>
      </c>
      <c r="B74" s="151" t="s">
        <v>2210</v>
      </c>
      <c r="C74" s="156" t="s">
        <v>2249</v>
      </c>
      <c r="D74" s="145" t="s">
        <v>1707</v>
      </c>
      <c r="E74" s="146" t="s">
        <v>454</v>
      </c>
      <c r="F74" s="146" t="s">
        <v>454</v>
      </c>
      <c r="G74" s="147" t="s">
        <v>454</v>
      </c>
      <c r="H74" s="147" t="s">
        <v>454</v>
      </c>
      <c r="I74" s="147" t="s">
        <v>454</v>
      </c>
      <c r="J74" s="147" t="s">
        <v>454</v>
      </c>
      <c r="K74" s="147" t="s">
        <v>454</v>
      </c>
      <c r="L74" s="167" t="s">
        <v>768</v>
      </c>
      <c r="M74" s="167" t="s">
        <v>1684</v>
      </c>
      <c r="N74" s="167"/>
      <c r="O74" s="149" t="s">
        <v>10</v>
      </c>
      <c r="P74" s="169">
        <v>769.97</v>
      </c>
      <c r="Q74" s="169">
        <v>1099.95</v>
      </c>
      <c r="R74" s="145">
        <v>1.5</v>
      </c>
      <c r="S74" s="199">
        <f t="shared" si="0"/>
        <v>125</v>
      </c>
      <c r="T74" s="153">
        <f t="shared" si="2"/>
        <v>1287.45</v>
      </c>
    </row>
    <row r="75" spans="1:20">
      <c r="A75" s="284" t="s">
        <v>862</v>
      </c>
      <c r="B75" s="151" t="s">
        <v>2250</v>
      </c>
      <c r="C75" s="156" t="s">
        <v>2110</v>
      </c>
      <c r="D75" s="145" t="s">
        <v>1707</v>
      </c>
      <c r="E75" s="146" t="s">
        <v>454</v>
      </c>
      <c r="F75" s="146" t="s">
        <v>454</v>
      </c>
      <c r="G75" s="147" t="s">
        <v>454</v>
      </c>
      <c r="H75" s="147" t="s">
        <v>454</v>
      </c>
      <c r="I75" s="147" t="s">
        <v>454</v>
      </c>
      <c r="J75" s="147" t="s">
        <v>454</v>
      </c>
      <c r="K75" s="147" t="s">
        <v>454</v>
      </c>
      <c r="L75" s="167" t="s">
        <v>768</v>
      </c>
      <c r="M75" s="167" t="s">
        <v>1684</v>
      </c>
      <c r="N75" s="167"/>
      <c r="O75" s="149" t="s">
        <v>10</v>
      </c>
      <c r="P75" s="169">
        <v>476.43</v>
      </c>
      <c r="Q75" s="169">
        <v>669.95</v>
      </c>
      <c r="R75" s="145">
        <v>1.5</v>
      </c>
      <c r="S75" s="199">
        <f t="shared" si="0"/>
        <v>125</v>
      </c>
      <c r="T75" s="153">
        <f t="shared" si="2"/>
        <v>857.45</v>
      </c>
    </row>
    <row r="76" spans="1:20">
      <c r="A76" s="162" t="s">
        <v>525</v>
      </c>
      <c r="B76" s="151" t="s">
        <v>763</v>
      </c>
      <c r="C76" s="156" t="s">
        <v>994</v>
      </c>
      <c r="D76" s="145"/>
      <c r="E76" s="146" t="s">
        <v>454</v>
      </c>
      <c r="F76" s="146" t="s">
        <v>454</v>
      </c>
      <c r="G76" s="147" t="s">
        <v>454</v>
      </c>
      <c r="H76" s="147" t="s">
        <v>454</v>
      </c>
      <c r="I76" s="147" t="s">
        <v>454</v>
      </c>
      <c r="J76" s="147" t="s">
        <v>454</v>
      </c>
      <c r="K76" s="147" t="s">
        <v>454</v>
      </c>
      <c r="L76" s="148" t="s">
        <v>768</v>
      </c>
      <c r="M76" s="148" t="s">
        <v>1684</v>
      </c>
      <c r="N76" s="148"/>
      <c r="O76" s="149" t="s">
        <v>0</v>
      </c>
      <c r="P76" s="150">
        <v>163.77000000000001</v>
      </c>
      <c r="Q76" s="150">
        <v>272.95</v>
      </c>
      <c r="R76" s="145">
        <v>1.5</v>
      </c>
      <c r="S76" s="199">
        <f t="shared" si="0"/>
        <v>125</v>
      </c>
      <c r="T76" s="152">
        <f t="shared" si="2"/>
        <v>460.45</v>
      </c>
    </row>
    <row r="77" spans="1:20">
      <c r="A77" s="162" t="s">
        <v>534</v>
      </c>
      <c r="B77" s="151" t="s">
        <v>556</v>
      </c>
      <c r="C77" s="156" t="s">
        <v>995</v>
      </c>
      <c r="D77" s="145"/>
      <c r="E77" s="146" t="s">
        <v>454</v>
      </c>
      <c r="F77" s="146" t="s">
        <v>454</v>
      </c>
      <c r="G77" s="147" t="s">
        <v>454</v>
      </c>
      <c r="H77" s="147" t="s">
        <v>454</v>
      </c>
      <c r="I77" s="147" t="s">
        <v>454</v>
      </c>
      <c r="J77" s="147" t="s">
        <v>454</v>
      </c>
      <c r="K77" s="147" t="s">
        <v>454</v>
      </c>
      <c r="L77" s="148" t="s">
        <v>768</v>
      </c>
      <c r="M77" s="148" t="s">
        <v>1684</v>
      </c>
      <c r="N77" s="148"/>
      <c r="O77" s="149" t="s">
        <v>0</v>
      </c>
      <c r="P77" s="150">
        <v>334.17</v>
      </c>
      <c r="Q77" s="150">
        <v>556.95000000000005</v>
      </c>
      <c r="R77" s="145">
        <v>1.5</v>
      </c>
      <c r="S77" s="199">
        <f t="shared" si="0"/>
        <v>125</v>
      </c>
      <c r="T77" s="152">
        <f t="shared" si="2"/>
        <v>744.45</v>
      </c>
    </row>
    <row r="78" spans="1:20">
      <c r="A78" s="162" t="s">
        <v>510</v>
      </c>
      <c r="B78" s="151" t="s">
        <v>1854</v>
      </c>
      <c r="C78" s="155" t="s">
        <v>1855</v>
      </c>
      <c r="D78" s="145" t="s">
        <v>1055</v>
      </c>
      <c r="E78" s="146" t="s">
        <v>454</v>
      </c>
      <c r="F78" s="146" t="s">
        <v>454</v>
      </c>
      <c r="G78" s="147" t="s">
        <v>454</v>
      </c>
      <c r="H78" s="147" t="s">
        <v>454</v>
      </c>
      <c r="I78" s="147" t="s">
        <v>454</v>
      </c>
      <c r="J78" s="147" t="s">
        <v>454</v>
      </c>
      <c r="K78" s="147" t="s">
        <v>454</v>
      </c>
      <c r="L78" s="148" t="s">
        <v>768</v>
      </c>
      <c r="M78" s="148" t="s">
        <v>1684</v>
      </c>
      <c r="N78" s="148"/>
      <c r="O78" s="149" t="s">
        <v>10</v>
      </c>
      <c r="P78" s="150">
        <v>578.37</v>
      </c>
      <c r="Q78" s="150">
        <v>963.95</v>
      </c>
      <c r="R78" s="145">
        <v>1.5</v>
      </c>
      <c r="S78" s="199">
        <f t="shared" si="0"/>
        <v>125</v>
      </c>
      <c r="T78" s="152">
        <f t="shared" si="2"/>
        <v>1151.45</v>
      </c>
    </row>
    <row r="79" spans="1:20">
      <c r="A79" s="162" t="s">
        <v>518</v>
      </c>
      <c r="B79" s="151" t="s">
        <v>553</v>
      </c>
      <c r="C79" s="151" t="s">
        <v>996</v>
      </c>
      <c r="D79" s="145"/>
      <c r="E79" s="146" t="s">
        <v>454</v>
      </c>
      <c r="F79" s="146" t="s">
        <v>454</v>
      </c>
      <c r="G79" s="147" t="s">
        <v>454</v>
      </c>
      <c r="H79" s="147" t="s">
        <v>454</v>
      </c>
      <c r="I79" s="147" t="s">
        <v>454</v>
      </c>
      <c r="J79" s="147" t="s">
        <v>454</v>
      </c>
      <c r="K79" s="147" t="s">
        <v>454</v>
      </c>
      <c r="L79" s="148" t="s">
        <v>768</v>
      </c>
      <c r="M79" s="148" t="s">
        <v>1684</v>
      </c>
      <c r="N79" s="148"/>
      <c r="O79" s="149" t="s">
        <v>10</v>
      </c>
      <c r="P79" s="150">
        <v>160.16</v>
      </c>
      <c r="Q79" s="150">
        <v>266.95</v>
      </c>
      <c r="R79" s="145">
        <v>1.5</v>
      </c>
      <c r="S79" s="199">
        <f t="shared" si="0"/>
        <v>125</v>
      </c>
      <c r="T79" s="152">
        <f t="shared" si="2"/>
        <v>454.45</v>
      </c>
    </row>
    <row r="80" spans="1:20">
      <c r="A80" s="284" t="s">
        <v>2019</v>
      </c>
      <c r="B80" s="244" t="s">
        <v>2016</v>
      </c>
      <c r="C80" s="286" t="s">
        <v>2017</v>
      </c>
      <c r="D80" s="145"/>
      <c r="E80" s="146" t="s">
        <v>454</v>
      </c>
      <c r="F80" s="146" t="s">
        <v>454</v>
      </c>
      <c r="G80" s="147" t="s">
        <v>454</v>
      </c>
      <c r="H80" s="147" t="s">
        <v>454</v>
      </c>
      <c r="I80" s="147" t="s">
        <v>454</v>
      </c>
      <c r="J80" s="147" t="s">
        <v>454</v>
      </c>
      <c r="K80" s="147" t="s">
        <v>454</v>
      </c>
      <c r="L80" s="167" t="s">
        <v>768</v>
      </c>
      <c r="M80" s="167"/>
      <c r="N80" s="167"/>
      <c r="O80" s="149" t="s">
        <v>10</v>
      </c>
      <c r="P80" s="169">
        <v>424.29</v>
      </c>
      <c r="Q80" s="169">
        <v>699.95</v>
      </c>
      <c r="R80" s="145">
        <v>1.5</v>
      </c>
      <c r="S80" s="199">
        <f t="shared" si="0"/>
        <v>125</v>
      </c>
      <c r="T80" s="153">
        <f t="shared" si="2"/>
        <v>887.45</v>
      </c>
    </row>
    <row r="81" spans="1:20">
      <c r="A81" s="162" t="s">
        <v>504</v>
      </c>
      <c r="B81" s="151" t="s">
        <v>951</v>
      </c>
      <c r="C81" s="151" t="s">
        <v>997</v>
      </c>
      <c r="D81" s="145"/>
      <c r="E81" s="146" t="s">
        <v>410</v>
      </c>
      <c r="F81" s="146" t="s">
        <v>410</v>
      </c>
      <c r="G81" s="147" t="s">
        <v>454</v>
      </c>
      <c r="H81" s="147" t="s">
        <v>454</v>
      </c>
      <c r="I81" s="147" t="s">
        <v>454</v>
      </c>
      <c r="J81" s="147" t="s">
        <v>454</v>
      </c>
      <c r="K81" s="147" t="s">
        <v>454</v>
      </c>
      <c r="L81" s="148" t="s">
        <v>768</v>
      </c>
      <c r="M81" s="148" t="s">
        <v>1684</v>
      </c>
      <c r="N81" s="148"/>
      <c r="O81" s="149" t="s">
        <v>10</v>
      </c>
      <c r="P81" s="150">
        <v>719.37</v>
      </c>
      <c r="Q81" s="150">
        <v>1198.95</v>
      </c>
      <c r="R81" s="145">
        <v>1.5</v>
      </c>
      <c r="S81" s="199">
        <f t="shared" si="0"/>
        <v>125</v>
      </c>
      <c r="T81" s="152">
        <f t="shared" si="2"/>
        <v>1386.45</v>
      </c>
    </row>
    <row r="82" spans="1:20">
      <c r="A82" s="162" t="s">
        <v>507</v>
      </c>
      <c r="B82" s="151" t="s">
        <v>952</v>
      </c>
      <c r="C82" s="151" t="s">
        <v>998</v>
      </c>
      <c r="D82" s="145"/>
      <c r="E82" s="146" t="s">
        <v>454</v>
      </c>
      <c r="F82" s="146" t="s">
        <v>454</v>
      </c>
      <c r="G82" s="147" t="s">
        <v>454</v>
      </c>
      <c r="H82" s="147" t="s">
        <v>454</v>
      </c>
      <c r="I82" s="147" t="s">
        <v>454</v>
      </c>
      <c r="J82" s="147" t="s">
        <v>410</v>
      </c>
      <c r="K82" s="147" t="s">
        <v>410</v>
      </c>
      <c r="L82" s="148" t="s">
        <v>768</v>
      </c>
      <c r="M82" s="148" t="s">
        <v>1684</v>
      </c>
      <c r="N82" s="148"/>
      <c r="O82" s="149" t="s">
        <v>10</v>
      </c>
      <c r="P82" s="150">
        <v>719.37</v>
      </c>
      <c r="Q82" s="150">
        <v>1198.95</v>
      </c>
      <c r="R82" s="145">
        <v>1.5</v>
      </c>
      <c r="S82" s="199">
        <f t="shared" si="0"/>
        <v>125</v>
      </c>
      <c r="T82" s="152">
        <f t="shared" si="2"/>
        <v>1386.45</v>
      </c>
    </row>
    <row r="83" spans="1:20">
      <c r="A83" s="162" t="s">
        <v>1837</v>
      </c>
      <c r="B83" s="151" t="s">
        <v>1838</v>
      </c>
      <c r="C83" s="151" t="s">
        <v>1871</v>
      </c>
      <c r="D83" s="145"/>
      <c r="E83" s="146" t="s">
        <v>454</v>
      </c>
      <c r="F83" s="146" t="s">
        <v>454</v>
      </c>
      <c r="G83" s="147" t="s">
        <v>454</v>
      </c>
      <c r="H83" s="147" t="s">
        <v>454</v>
      </c>
      <c r="I83" s="147" t="s">
        <v>454</v>
      </c>
      <c r="J83" s="147" t="s">
        <v>454</v>
      </c>
      <c r="K83" s="147" t="s">
        <v>454</v>
      </c>
      <c r="L83" s="167" t="s">
        <v>768</v>
      </c>
      <c r="M83" s="167" t="s">
        <v>1684</v>
      </c>
      <c r="N83" s="167"/>
      <c r="O83" s="149" t="s">
        <v>10</v>
      </c>
      <c r="P83" s="169">
        <v>719.37</v>
      </c>
      <c r="Q83" s="169">
        <v>1198.95</v>
      </c>
      <c r="R83" s="145">
        <v>1.5</v>
      </c>
      <c r="S83" s="199">
        <f t="shared" si="0"/>
        <v>125</v>
      </c>
      <c r="T83" s="153">
        <f t="shared" si="2"/>
        <v>1386.45</v>
      </c>
    </row>
    <row r="84" spans="1:20">
      <c r="A84" s="162" t="s">
        <v>503</v>
      </c>
      <c r="B84" s="151" t="s">
        <v>1027</v>
      </c>
      <c r="C84" s="151" t="s">
        <v>1032</v>
      </c>
      <c r="D84" s="145"/>
      <c r="E84" s="146" t="s">
        <v>454</v>
      </c>
      <c r="F84" s="146" t="s">
        <v>454</v>
      </c>
      <c r="G84" s="147" t="s">
        <v>410</v>
      </c>
      <c r="H84" s="147" t="s">
        <v>410</v>
      </c>
      <c r="I84" s="147" t="s">
        <v>410</v>
      </c>
      <c r="J84" s="147" t="s">
        <v>410</v>
      </c>
      <c r="K84" s="147" t="s">
        <v>410</v>
      </c>
      <c r="L84" s="148" t="s">
        <v>768</v>
      </c>
      <c r="M84" s="148" t="s">
        <v>1684</v>
      </c>
      <c r="N84" s="148"/>
      <c r="O84" s="149" t="s">
        <v>10</v>
      </c>
      <c r="P84" s="150">
        <v>719.37</v>
      </c>
      <c r="Q84" s="150">
        <v>1198.95</v>
      </c>
      <c r="R84" s="145">
        <v>1.5</v>
      </c>
      <c r="S84" s="199">
        <f t="shared" si="0"/>
        <v>125</v>
      </c>
      <c r="T84" s="153">
        <f t="shared" si="2"/>
        <v>1386.45</v>
      </c>
    </row>
    <row r="85" spans="1:20">
      <c r="A85" s="162" t="s">
        <v>505</v>
      </c>
      <c r="B85" s="151" t="s">
        <v>953</v>
      </c>
      <c r="C85" s="151" t="s">
        <v>1000</v>
      </c>
      <c r="D85" s="145"/>
      <c r="E85" s="146" t="s">
        <v>454</v>
      </c>
      <c r="F85" s="146" t="s">
        <v>454</v>
      </c>
      <c r="G85" s="147" t="s">
        <v>454</v>
      </c>
      <c r="H85" s="147" t="s">
        <v>454</v>
      </c>
      <c r="I85" s="147" t="s">
        <v>454</v>
      </c>
      <c r="J85" s="147" t="s">
        <v>410</v>
      </c>
      <c r="K85" s="147" t="s">
        <v>410</v>
      </c>
      <c r="L85" s="148" t="s">
        <v>768</v>
      </c>
      <c r="M85" s="148" t="s">
        <v>1684</v>
      </c>
      <c r="N85" s="148"/>
      <c r="O85" s="149" t="s">
        <v>10</v>
      </c>
      <c r="P85" s="150">
        <v>719.37</v>
      </c>
      <c r="Q85" s="150">
        <v>1198.95</v>
      </c>
      <c r="R85" s="145">
        <v>1.5</v>
      </c>
      <c r="S85" s="199">
        <f t="shared" si="0"/>
        <v>125</v>
      </c>
      <c r="T85" s="152">
        <f t="shared" si="2"/>
        <v>1386.45</v>
      </c>
    </row>
    <row r="86" spans="1:20">
      <c r="A86" s="162" t="s">
        <v>501</v>
      </c>
      <c r="B86" s="151" t="s">
        <v>1019</v>
      </c>
      <c r="C86" s="151" t="s">
        <v>1023</v>
      </c>
      <c r="D86" s="145"/>
      <c r="E86" s="146" t="s">
        <v>454</v>
      </c>
      <c r="F86" s="146" t="s">
        <v>454</v>
      </c>
      <c r="G86" s="147" t="s">
        <v>454</v>
      </c>
      <c r="H86" s="147" t="s">
        <v>454</v>
      </c>
      <c r="I86" s="147" t="s">
        <v>454</v>
      </c>
      <c r="J86" s="147" t="s">
        <v>454</v>
      </c>
      <c r="K86" s="147"/>
      <c r="L86" s="148" t="s">
        <v>768</v>
      </c>
      <c r="M86" s="148" t="s">
        <v>1684</v>
      </c>
      <c r="N86" s="148"/>
      <c r="O86" s="149" t="s">
        <v>10</v>
      </c>
      <c r="P86" s="150">
        <v>719.37</v>
      </c>
      <c r="Q86" s="150">
        <v>1198.95</v>
      </c>
      <c r="R86" s="145">
        <v>1.5</v>
      </c>
      <c r="S86" s="199">
        <f t="shared" si="0"/>
        <v>125</v>
      </c>
      <c r="T86" s="153">
        <f t="shared" si="2"/>
        <v>1386.45</v>
      </c>
    </row>
    <row r="87" spans="1:20">
      <c r="A87" s="162" t="s">
        <v>500</v>
      </c>
      <c r="B87" s="151" t="s">
        <v>954</v>
      </c>
      <c r="C87" s="151" t="s">
        <v>1001</v>
      </c>
      <c r="D87" s="145"/>
      <c r="E87" s="146" t="s">
        <v>454</v>
      </c>
      <c r="F87" s="146" t="s">
        <v>454</v>
      </c>
      <c r="G87" s="147" t="s">
        <v>454</v>
      </c>
      <c r="H87" s="147" t="s">
        <v>454</v>
      </c>
      <c r="I87" s="147" t="s">
        <v>454</v>
      </c>
      <c r="J87" s="147" t="s">
        <v>454</v>
      </c>
      <c r="K87" s="147"/>
      <c r="L87" s="167" t="s">
        <v>768</v>
      </c>
      <c r="M87" s="167" t="s">
        <v>1684</v>
      </c>
      <c r="N87" s="167"/>
      <c r="O87" s="149" t="s">
        <v>10</v>
      </c>
      <c r="P87" s="169">
        <v>719.37</v>
      </c>
      <c r="Q87" s="169">
        <v>1198.95</v>
      </c>
      <c r="R87" s="145">
        <v>1.5</v>
      </c>
      <c r="S87" s="199">
        <f t="shared" si="0"/>
        <v>125</v>
      </c>
      <c r="T87" s="153">
        <f t="shared" si="2"/>
        <v>1386.45</v>
      </c>
    </row>
    <row r="88" spans="1:20">
      <c r="A88" s="162" t="s">
        <v>470</v>
      </c>
      <c r="B88" s="151" t="s">
        <v>543</v>
      </c>
      <c r="C88" s="156" t="s">
        <v>1002</v>
      </c>
      <c r="D88" s="145"/>
      <c r="E88" s="146" t="s">
        <v>454</v>
      </c>
      <c r="F88" s="146" t="s">
        <v>454</v>
      </c>
      <c r="G88" s="147" t="s">
        <v>454</v>
      </c>
      <c r="H88" s="147" t="s">
        <v>454</v>
      </c>
      <c r="I88" s="147" t="s">
        <v>454</v>
      </c>
      <c r="J88" s="147" t="s">
        <v>454</v>
      </c>
      <c r="K88" s="147" t="s">
        <v>454</v>
      </c>
      <c r="L88" s="167" t="s">
        <v>768</v>
      </c>
      <c r="M88" s="167" t="s">
        <v>1684</v>
      </c>
      <c r="N88" s="167"/>
      <c r="O88" s="149" t="s">
        <v>10</v>
      </c>
      <c r="P88" s="169">
        <v>154.16</v>
      </c>
      <c r="Q88" s="169">
        <v>256.95</v>
      </c>
      <c r="R88" s="145">
        <v>1.5</v>
      </c>
      <c r="S88" s="199">
        <f t="shared" si="0"/>
        <v>125</v>
      </c>
      <c r="T88" s="153">
        <f t="shared" si="2"/>
        <v>444.45</v>
      </c>
    </row>
    <row r="89" spans="1:20">
      <c r="A89" s="162" t="s">
        <v>516</v>
      </c>
      <c r="B89" s="151" t="s">
        <v>551</v>
      </c>
      <c r="C89" s="156" t="s">
        <v>761</v>
      </c>
      <c r="D89" s="145"/>
      <c r="E89" s="146" t="s">
        <v>454</v>
      </c>
      <c r="F89" s="146" t="s">
        <v>454</v>
      </c>
      <c r="G89" s="147" t="s">
        <v>454</v>
      </c>
      <c r="H89" s="147" t="s">
        <v>454</v>
      </c>
      <c r="I89" s="147" t="s">
        <v>454</v>
      </c>
      <c r="J89" s="147" t="s">
        <v>454</v>
      </c>
      <c r="K89" s="147" t="s">
        <v>454</v>
      </c>
      <c r="L89" s="167" t="s">
        <v>768</v>
      </c>
      <c r="M89" s="167" t="s">
        <v>1684</v>
      </c>
      <c r="N89" s="167"/>
      <c r="O89" s="149" t="s">
        <v>10</v>
      </c>
      <c r="P89" s="169">
        <v>125.97</v>
      </c>
      <c r="Q89" s="169">
        <v>209.95</v>
      </c>
      <c r="R89" s="145">
        <v>1.5</v>
      </c>
      <c r="S89" s="199">
        <f t="shared" si="0"/>
        <v>125</v>
      </c>
      <c r="T89" s="153">
        <f t="shared" si="2"/>
        <v>397.45</v>
      </c>
    </row>
    <row r="90" spans="1:20">
      <c r="A90" s="284" t="s">
        <v>1894</v>
      </c>
      <c r="B90" s="244" t="s">
        <v>2251</v>
      </c>
      <c r="C90" s="286" t="s">
        <v>2252</v>
      </c>
      <c r="D90" s="145"/>
      <c r="E90" s="146"/>
      <c r="F90" s="146"/>
      <c r="G90" s="147" t="s">
        <v>454</v>
      </c>
      <c r="H90" s="147" t="s">
        <v>454</v>
      </c>
      <c r="I90" s="147" t="s">
        <v>454</v>
      </c>
      <c r="J90" s="147" t="s">
        <v>454</v>
      </c>
      <c r="K90" s="147"/>
      <c r="L90" s="167" t="s">
        <v>768</v>
      </c>
      <c r="M90" s="167" t="s">
        <v>1684</v>
      </c>
      <c r="N90" s="167"/>
      <c r="O90" s="149" t="s">
        <v>10</v>
      </c>
      <c r="P90" s="169">
        <v>447.57</v>
      </c>
      <c r="Q90" s="169">
        <v>745.95</v>
      </c>
      <c r="R90" s="145">
        <v>1.5</v>
      </c>
      <c r="S90" s="199">
        <f t="shared" si="0"/>
        <v>125</v>
      </c>
      <c r="T90" s="153">
        <f t="shared" si="2"/>
        <v>933.45</v>
      </c>
    </row>
    <row r="91" spans="1:20">
      <c r="A91" s="284" t="s">
        <v>1897</v>
      </c>
      <c r="B91" s="244" t="s">
        <v>2253</v>
      </c>
      <c r="C91" s="286" t="s">
        <v>2254</v>
      </c>
      <c r="D91" s="145"/>
      <c r="E91" s="146" t="s">
        <v>454</v>
      </c>
      <c r="F91" s="146" t="s">
        <v>454</v>
      </c>
      <c r="G91" s="147" t="s">
        <v>454</v>
      </c>
      <c r="H91" s="147" t="s">
        <v>454</v>
      </c>
      <c r="I91" s="147" t="s">
        <v>454</v>
      </c>
      <c r="J91" s="147" t="s">
        <v>454</v>
      </c>
      <c r="K91" s="147"/>
      <c r="L91" s="167" t="s">
        <v>768</v>
      </c>
      <c r="M91" s="167" t="s">
        <v>1684</v>
      </c>
      <c r="N91" s="167"/>
      <c r="O91" s="149" t="s">
        <v>10</v>
      </c>
      <c r="P91" s="169">
        <v>447.57</v>
      </c>
      <c r="Q91" s="169">
        <v>745.95</v>
      </c>
      <c r="R91" s="145">
        <v>1.5</v>
      </c>
      <c r="S91" s="199">
        <f t="shared" si="0"/>
        <v>125</v>
      </c>
      <c r="T91" s="153">
        <f t="shared" si="2"/>
        <v>933.45</v>
      </c>
    </row>
    <row r="92" spans="1:20">
      <c r="A92" s="284" t="s">
        <v>1896</v>
      </c>
      <c r="B92" s="244" t="s">
        <v>2255</v>
      </c>
      <c r="C92" s="286" t="s">
        <v>2256</v>
      </c>
      <c r="D92" s="145"/>
      <c r="E92" s="146" t="s">
        <v>454</v>
      </c>
      <c r="F92" s="146" t="s">
        <v>454</v>
      </c>
      <c r="G92" s="147" t="s">
        <v>454</v>
      </c>
      <c r="H92" s="147" t="s">
        <v>454</v>
      </c>
      <c r="I92" s="147" t="s">
        <v>454</v>
      </c>
      <c r="J92" s="147" t="s">
        <v>454</v>
      </c>
      <c r="K92" s="147"/>
      <c r="L92" s="167" t="s">
        <v>768</v>
      </c>
      <c r="M92" s="167" t="s">
        <v>1684</v>
      </c>
      <c r="N92" s="167"/>
      <c r="O92" s="149" t="s">
        <v>10</v>
      </c>
      <c r="P92" s="169">
        <v>447.57</v>
      </c>
      <c r="Q92" s="169">
        <v>745.95</v>
      </c>
      <c r="R92" s="145">
        <v>1.5</v>
      </c>
      <c r="S92" s="199">
        <f t="shared" si="0"/>
        <v>125</v>
      </c>
      <c r="T92" s="153">
        <f t="shared" si="2"/>
        <v>933.45</v>
      </c>
    </row>
    <row r="93" spans="1:20">
      <c r="A93" s="284" t="s">
        <v>1893</v>
      </c>
      <c r="B93" s="244" t="s">
        <v>2257</v>
      </c>
      <c r="C93" s="286" t="s">
        <v>2258</v>
      </c>
      <c r="D93" s="145"/>
      <c r="E93" s="146" t="s">
        <v>454</v>
      </c>
      <c r="F93" s="146" t="s">
        <v>454</v>
      </c>
      <c r="G93" s="147"/>
      <c r="H93" s="147"/>
      <c r="I93" s="147"/>
      <c r="J93" s="147"/>
      <c r="K93" s="147"/>
      <c r="L93" s="167" t="s">
        <v>768</v>
      </c>
      <c r="M93" s="167" t="s">
        <v>1684</v>
      </c>
      <c r="N93" s="167"/>
      <c r="O93" s="149" t="s">
        <v>10</v>
      </c>
      <c r="P93" s="169">
        <v>447.57</v>
      </c>
      <c r="Q93" s="169">
        <v>745.95</v>
      </c>
      <c r="R93" s="145">
        <v>1.5</v>
      </c>
      <c r="S93" s="199">
        <f t="shared" si="0"/>
        <v>125</v>
      </c>
      <c r="T93" s="153">
        <f t="shared" si="2"/>
        <v>933.45</v>
      </c>
    </row>
    <row r="94" spans="1:20">
      <c r="A94" s="284" t="s">
        <v>1946</v>
      </c>
      <c r="B94" s="244" t="s">
        <v>2259</v>
      </c>
      <c r="C94" s="286" t="s">
        <v>2260</v>
      </c>
      <c r="D94" s="145"/>
      <c r="E94" s="146"/>
      <c r="F94" s="146"/>
      <c r="G94" s="147"/>
      <c r="H94" s="147" t="s">
        <v>454</v>
      </c>
      <c r="I94" s="147" t="s">
        <v>454</v>
      </c>
      <c r="J94" s="147" t="s">
        <v>454</v>
      </c>
      <c r="K94" s="147"/>
      <c r="L94" s="167" t="s">
        <v>768</v>
      </c>
      <c r="M94" s="167" t="s">
        <v>1684</v>
      </c>
      <c r="N94" s="167"/>
      <c r="O94" s="149" t="s">
        <v>10</v>
      </c>
      <c r="P94" s="169">
        <v>447.57</v>
      </c>
      <c r="Q94" s="169">
        <v>745.95</v>
      </c>
      <c r="R94" s="145">
        <v>1.5</v>
      </c>
      <c r="S94" s="199">
        <f t="shared" si="0"/>
        <v>125</v>
      </c>
      <c r="T94" s="153">
        <f t="shared" si="2"/>
        <v>933.45</v>
      </c>
    </row>
    <row r="95" spans="1:20">
      <c r="A95" s="284" t="s">
        <v>1898</v>
      </c>
      <c r="B95" s="244" t="s">
        <v>2261</v>
      </c>
      <c r="C95" s="286" t="s">
        <v>2262</v>
      </c>
      <c r="D95" s="145"/>
      <c r="E95" s="146" t="s">
        <v>454</v>
      </c>
      <c r="F95" s="146" t="s">
        <v>454</v>
      </c>
      <c r="G95" s="147" t="s">
        <v>454</v>
      </c>
      <c r="H95" s="147" t="s">
        <v>454</v>
      </c>
      <c r="I95" s="147" t="s">
        <v>454</v>
      </c>
      <c r="J95" s="147"/>
      <c r="K95" s="147"/>
      <c r="L95" s="167" t="s">
        <v>768</v>
      </c>
      <c r="M95" s="167" t="s">
        <v>1684</v>
      </c>
      <c r="N95" s="167"/>
      <c r="O95" s="149" t="s">
        <v>10</v>
      </c>
      <c r="P95" s="169">
        <v>447.57</v>
      </c>
      <c r="Q95" s="169">
        <v>745.95</v>
      </c>
      <c r="R95" s="145">
        <v>1.5</v>
      </c>
      <c r="S95" s="199">
        <f t="shared" si="0"/>
        <v>125</v>
      </c>
      <c r="T95" s="153">
        <f t="shared" si="2"/>
        <v>933.45</v>
      </c>
    </row>
    <row r="96" spans="1:20">
      <c r="A96" s="284" t="s">
        <v>1892</v>
      </c>
      <c r="B96" s="244" t="s">
        <v>2263</v>
      </c>
      <c r="C96" s="286" t="s">
        <v>2264</v>
      </c>
      <c r="D96" s="145"/>
      <c r="E96" s="146" t="s">
        <v>454</v>
      </c>
      <c r="F96" s="146" t="s">
        <v>454</v>
      </c>
      <c r="G96" s="147" t="s">
        <v>454</v>
      </c>
      <c r="H96" s="147" t="s">
        <v>454</v>
      </c>
      <c r="I96" s="147" t="s">
        <v>454</v>
      </c>
      <c r="J96" s="147" t="s">
        <v>454</v>
      </c>
      <c r="K96" s="147"/>
      <c r="L96" s="167" t="s">
        <v>768</v>
      </c>
      <c r="M96" s="167" t="s">
        <v>1684</v>
      </c>
      <c r="N96" s="167"/>
      <c r="O96" s="149" t="s">
        <v>10</v>
      </c>
      <c r="P96" s="169">
        <v>447.57</v>
      </c>
      <c r="Q96" s="169">
        <v>745.95</v>
      </c>
      <c r="R96" s="145">
        <v>1.5</v>
      </c>
      <c r="S96" s="199">
        <f t="shared" si="0"/>
        <v>125</v>
      </c>
      <c r="T96" s="153">
        <f t="shared" si="2"/>
        <v>933.45</v>
      </c>
    </row>
    <row r="97" spans="1:20">
      <c r="A97" s="284" t="s">
        <v>476</v>
      </c>
      <c r="B97" s="244" t="s">
        <v>2265</v>
      </c>
      <c r="C97" s="286" t="s">
        <v>2266</v>
      </c>
      <c r="D97" s="145"/>
      <c r="E97" s="146" t="s">
        <v>410</v>
      </c>
      <c r="F97" s="146" t="s">
        <v>410</v>
      </c>
      <c r="G97" s="147" t="s">
        <v>454</v>
      </c>
      <c r="H97" s="147" t="s">
        <v>454</v>
      </c>
      <c r="I97" s="147" t="s">
        <v>454</v>
      </c>
      <c r="J97" s="147" t="s">
        <v>454</v>
      </c>
      <c r="K97" s="147" t="s">
        <v>454</v>
      </c>
      <c r="L97" s="167" t="s">
        <v>768</v>
      </c>
      <c r="M97" s="167" t="s">
        <v>1684</v>
      </c>
      <c r="N97" s="167"/>
      <c r="O97" s="149" t="s">
        <v>10</v>
      </c>
      <c r="P97" s="169">
        <v>275.97000000000003</v>
      </c>
      <c r="Q97" s="169">
        <v>459.95</v>
      </c>
      <c r="R97" s="145">
        <v>1.5</v>
      </c>
      <c r="S97" s="199">
        <f t="shared" si="0"/>
        <v>125</v>
      </c>
      <c r="T97" s="153">
        <f t="shared" si="2"/>
        <v>647.45000000000005</v>
      </c>
    </row>
    <row r="98" spans="1:20">
      <c r="A98" s="284" t="s">
        <v>479</v>
      </c>
      <c r="B98" s="244" t="s">
        <v>2267</v>
      </c>
      <c r="C98" s="286" t="s">
        <v>2268</v>
      </c>
      <c r="D98" s="145"/>
      <c r="E98" s="146" t="s">
        <v>454</v>
      </c>
      <c r="F98" s="146" t="s">
        <v>454</v>
      </c>
      <c r="G98" s="147" t="s">
        <v>454</v>
      </c>
      <c r="H98" s="147" t="s">
        <v>454</v>
      </c>
      <c r="I98" s="147" t="s">
        <v>454</v>
      </c>
      <c r="J98" s="147" t="s">
        <v>410</v>
      </c>
      <c r="K98" s="147" t="s">
        <v>410</v>
      </c>
      <c r="L98" s="167" t="s">
        <v>768</v>
      </c>
      <c r="M98" s="167" t="s">
        <v>1684</v>
      </c>
      <c r="N98" s="167"/>
      <c r="O98" s="149" t="s">
        <v>10</v>
      </c>
      <c r="P98" s="169">
        <v>275.97000000000003</v>
      </c>
      <c r="Q98" s="169">
        <v>459.95</v>
      </c>
      <c r="R98" s="145">
        <v>1.5</v>
      </c>
      <c r="S98" s="199">
        <f t="shared" si="0"/>
        <v>125</v>
      </c>
      <c r="T98" s="153">
        <f t="shared" si="2"/>
        <v>647.45000000000005</v>
      </c>
    </row>
    <row r="99" spans="1:20">
      <c r="A99" s="284" t="s">
        <v>1831</v>
      </c>
      <c r="B99" s="244" t="s">
        <v>2269</v>
      </c>
      <c r="C99" s="286" t="s">
        <v>2270</v>
      </c>
      <c r="D99" s="145"/>
      <c r="E99" s="146" t="s">
        <v>454</v>
      </c>
      <c r="F99" s="146" t="s">
        <v>454</v>
      </c>
      <c r="G99" s="147" t="s">
        <v>454</v>
      </c>
      <c r="H99" s="147" t="s">
        <v>454</v>
      </c>
      <c r="I99" s="147" t="s">
        <v>454</v>
      </c>
      <c r="J99" s="147" t="s">
        <v>454</v>
      </c>
      <c r="K99" s="147" t="s">
        <v>454</v>
      </c>
      <c r="L99" s="167" t="s">
        <v>768</v>
      </c>
      <c r="M99" s="167" t="s">
        <v>1684</v>
      </c>
      <c r="N99" s="167"/>
      <c r="O99" s="149" t="s">
        <v>10</v>
      </c>
      <c r="P99" s="169">
        <v>275.97000000000003</v>
      </c>
      <c r="Q99" s="169">
        <v>459.95</v>
      </c>
      <c r="R99" s="145">
        <v>1.5</v>
      </c>
      <c r="S99" s="199">
        <f t="shared" si="0"/>
        <v>125</v>
      </c>
      <c r="T99" s="153">
        <f t="shared" si="2"/>
        <v>647.45000000000005</v>
      </c>
    </row>
    <row r="100" spans="1:20">
      <c r="A100" s="284" t="s">
        <v>475</v>
      </c>
      <c r="B100" s="244" t="s">
        <v>2271</v>
      </c>
      <c r="C100" s="286" t="s">
        <v>2272</v>
      </c>
      <c r="D100" s="145"/>
      <c r="E100" s="146" t="s">
        <v>454</v>
      </c>
      <c r="F100" s="146" t="s">
        <v>454</v>
      </c>
      <c r="G100" s="147" t="s">
        <v>410</v>
      </c>
      <c r="H100" s="147" t="s">
        <v>410</v>
      </c>
      <c r="I100" s="147" t="s">
        <v>410</v>
      </c>
      <c r="J100" s="147" t="s">
        <v>410</v>
      </c>
      <c r="K100" s="147" t="s">
        <v>410</v>
      </c>
      <c r="L100" s="167" t="s">
        <v>768</v>
      </c>
      <c r="M100" s="167" t="s">
        <v>1684</v>
      </c>
      <c r="N100" s="167"/>
      <c r="O100" s="149" t="s">
        <v>10</v>
      </c>
      <c r="P100" s="169">
        <v>275.97000000000003</v>
      </c>
      <c r="Q100" s="169">
        <v>459.95</v>
      </c>
      <c r="R100" s="145">
        <v>1.5</v>
      </c>
      <c r="S100" s="199">
        <f t="shared" si="0"/>
        <v>125</v>
      </c>
      <c r="T100" s="153">
        <f t="shared" si="2"/>
        <v>647.45000000000005</v>
      </c>
    </row>
    <row r="101" spans="1:20">
      <c r="A101" s="284" t="s">
        <v>477</v>
      </c>
      <c r="B101" s="244" t="s">
        <v>2273</v>
      </c>
      <c r="C101" s="286" t="s">
        <v>2274</v>
      </c>
      <c r="D101" s="145"/>
      <c r="E101" s="146" t="s">
        <v>454</v>
      </c>
      <c r="F101" s="146" t="s">
        <v>454</v>
      </c>
      <c r="G101" s="147" t="s">
        <v>454</v>
      </c>
      <c r="H101" s="147" t="s">
        <v>454</v>
      </c>
      <c r="I101" s="147" t="s">
        <v>454</v>
      </c>
      <c r="J101" s="147" t="s">
        <v>410</v>
      </c>
      <c r="K101" s="147" t="s">
        <v>410</v>
      </c>
      <c r="L101" s="167" t="s">
        <v>768</v>
      </c>
      <c r="M101" s="167" t="s">
        <v>1684</v>
      </c>
      <c r="N101" s="167"/>
      <c r="O101" s="149" t="s">
        <v>10</v>
      </c>
      <c r="P101" s="169">
        <v>275.97000000000003</v>
      </c>
      <c r="Q101" s="169">
        <v>459.95</v>
      </c>
      <c r="R101" s="145">
        <v>1.5</v>
      </c>
      <c r="S101" s="199">
        <f t="shared" si="0"/>
        <v>125</v>
      </c>
      <c r="T101" s="153">
        <f t="shared" si="2"/>
        <v>647.45000000000005</v>
      </c>
    </row>
    <row r="102" spans="1:20">
      <c r="A102" s="284" t="s">
        <v>473</v>
      </c>
      <c r="B102" s="244" t="s">
        <v>2275</v>
      </c>
      <c r="C102" s="286" t="s">
        <v>2276</v>
      </c>
      <c r="D102" s="145"/>
      <c r="E102" s="146" t="s">
        <v>454</v>
      </c>
      <c r="F102" s="146" t="s">
        <v>454</v>
      </c>
      <c r="G102" s="147" t="s">
        <v>454</v>
      </c>
      <c r="H102" s="147" t="s">
        <v>454</v>
      </c>
      <c r="I102" s="147" t="s">
        <v>454</v>
      </c>
      <c r="J102" s="147" t="s">
        <v>454</v>
      </c>
      <c r="K102" s="147"/>
      <c r="L102" s="167" t="s">
        <v>768</v>
      </c>
      <c r="M102" s="167" t="s">
        <v>1684</v>
      </c>
      <c r="N102" s="167"/>
      <c r="O102" s="149" t="s">
        <v>10</v>
      </c>
      <c r="P102" s="169">
        <v>275.97000000000003</v>
      </c>
      <c r="Q102" s="169">
        <v>459.95</v>
      </c>
      <c r="R102" s="145">
        <v>1.5</v>
      </c>
      <c r="S102" s="199">
        <f t="shared" si="0"/>
        <v>125</v>
      </c>
      <c r="T102" s="153">
        <f t="shared" si="2"/>
        <v>647.45000000000005</v>
      </c>
    </row>
    <row r="103" spans="1:20">
      <c r="A103" s="284" t="s">
        <v>472</v>
      </c>
      <c r="B103" s="244" t="s">
        <v>2277</v>
      </c>
      <c r="C103" s="286" t="s">
        <v>2278</v>
      </c>
      <c r="D103" s="145"/>
      <c r="E103" s="146" t="s">
        <v>454</v>
      </c>
      <c r="F103" s="146" t="s">
        <v>454</v>
      </c>
      <c r="G103" s="147" t="s">
        <v>454</v>
      </c>
      <c r="H103" s="147" t="s">
        <v>454</v>
      </c>
      <c r="I103" s="147" t="s">
        <v>454</v>
      </c>
      <c r="J103" s="147" t="s">
        <v>454</v>
      </c>
      <c r="K103" s="147"/>
      <c r="L103" s="167" t="s">
        <v>768</v>
      </c>
      <c r="M103" s="167" t="s">
        <v>1684</v>
      </c>
      <c r="N103" s="167"/>
      <c r="O103" s="149" t="s">
        <v>10</v>
      </c>
      <c r="P103" s="169">
        <v>275.97000000000003</v>
      </c>
      <c r="Q103" s="169">
        <v>459.95</v>
      </c>
      <c r="R103" s="145">
        <v>1.5</v>
      </c>
      <c r="S103" s="199">
        <f t="shared" si="0"/>
        <v>125</v>
      </c>
      <c r="T103" s="153">
        <f t="shared" si="2"/>
        <v>647.45000000000005</v>
      </c>
    </row>
    <row r="104" spans="1:20">
      <c r="A104" s="164" t="s">
        <v>2103</v>
      </c>
      <c r="B104" s="165" t="s">
        <v>2104</v>
      </c>
      <c r="C104" s="165" t="s">
        <v>2112</v>
      </c>
      <c r="D104" s="216"/>
      <c r="E104" s="204" t="s">
        <v>454</v>
      </c>
      <c r="F104" s="205" t="s">
        <v>454</v>
      </c>
      <c r="G104" s="205" t="s">
        <v>454</v>
      </c>
      <c r="H104" s="205" t="s">
        <v>454</v>
      </c>
      <c r="I104" s="205" t="s">
        <v>454</v>
      </c>
      <c r="J104" s="205" t="s">
        <v>454</v>
      </c>
      <c r="K104" s="181"/>
      <c r="L104" s="181"/>
      <c r="M104" s="181"/>
      <c r="N104" s="181"/>
      <c r="O104" s="182" t="s">
        <v>16</v>
      </c>
      <c r="P104" s="183">
        <v>498.7</v>
      </c>
      <c r="Q104" s="183">
        <v>599.95000000000005</v>
      </c>
      <c r="R104" s="207">
        <v>1.5</v>
      </c>
      <c r="S104" s="217">
        <f t="shared" si="0"/>
        <v>125</v>
      </c>
      <c r="T104" s="185">
        <f t="shared" si="2"/>
        <v>787.45</v>
      </c>
    </row>
    <row r="105" spans="1:20">
      <c r="A105" s="162" t="s">
        <v>427</v>
      </c>
      <c r="B105" s="156" t="s">
        <v>1644</v>
      </c>
      <c r="C105" s="156" t="s">
        <v>2279</v>
      </c>
      <c r="D105" s="145" t="s">
        <v>429</v>
      </c>
      <c r="E105" s="146" t="s">
        <v>454</v>
      </c>
      <c r="F105" s="146" t="s">
        <v>454</v>
      </c>
      <c r="G105" s="147" t="s">
        <v>454</v>
      </c>
      <c r="H105" s="147" t="s">
        <v>454</v>
      </c>
      <c r="I105" s="147" t="s">
        <v>454</v>
      </c>
      <c r="J105" s="147" t="s">
        <v>454</v>
      </c>
      <c r="K105" s="147" t="s">
        <v>454</v>
      </c>
      <c r="L105" s="148" t="s">
        <v>768</v>
      </c>
      <c r="M105" s="148"/>
      <c r="N105" s="148"/>
      <c r="O105" s="149" t="s">
        <v>16</v>
      </c>
      <c r="P105" s="150">
        <v>45.12</v>
      </c>
      <c r="Q105" s="150">
        <v>59.95</v>
      </c>
      <c r="R105" s="145">
        <v>1.5</v>
      </c>
      <c r="S105" s="199">
        <f t="shared" si="0"/>
        <v>125</v>
      </c>
      <c r="T105" s="153">
        <f t="shared" si="2"/>
        <v>247.45</v>
      </c>
    </row>
    <row r="106" spans="1:20">
      <c r="A106" s="162" t="s">
        <v>424</v>
      </c>
      <c r="B106" s="144" t="s">
        <v>772</v>
      </c>
      <c r="C106" s="151" t="s">
        <v>2280</v>
      </c>
      <c r="D106" s="174" t="s">
        <v>432</v>
      </c>
      <c r="E106" s="159" t="s">
        <v>454</v>
      </c>
      <c r="F106" s="159" t="s">
        <v>454</v>
      </c>
      <c r="G106" s="159" t="s">
        <v>454</v>
      </c>
      <c r="H106" s="159" t="s">
        <v>454</v>
      </c>
      <c r="I106" s="159" t="s">
        <v>454</v>
      </c>
      <c r="J106" s="159" t="s">
        <v>454</v>
      </c>
      <c r="K106" s="159" t="s">
        <v>454</v>
      </c>
      <c r="L106" s="167" t="s">
        <v>768</v>
      </c>
      <c r="M106" s="167" t="s">
        <v>1684</v>
      </c>
      <c r="N106" s="167"/>
      <c r="O106" s="149" t="s">
        <v>16</v>
      </c>
      <c r="P106" s="169">
        <v>349.95</v>
      </c>
      <c r="Q106" s="169">
        <v>449.95</v>
      </c>
      <c r="R106" s="145">
        <v>1.5</v>
      </c>
      <c r="S106" s="199">
        <f t="shared" si="0"/>
        <v>125</v>
      </c>
      <c r="T106" s="153">
        <f t="shared" si="2"/>
        <v>637.45000000000005</v>
      </c>
    </row>
    <row r="107" spans="1:20">
      <c r="A107" s="162" t="s">
        <v>212</v>
      </c>
      <c r="B107" s="151" t="s">
        <v>774</v>
      </c>
      <c r="C107" s="156" t="s">
        <v>931</v>
      </c>
      <c r="D107" s="145" t="s">
        <v>444</v>
      </c>
      <c r="E107" s="146" t="s">
        <v>454</v>
      </c>
      <c r="F107" s="146" t="s">
        <v>454</v>
      </c>
      <c r="G107" s="147" t="s">
        <v>454</v>
      </c>
      <c r="H107" s="147" t="s">
        <v>454</v>
      </c>
      <c r="I107" s="147" t="s">
        <v>454</v>
      </c>
      <c r="J107" s="147" t="s">
        <v>454</v>
      </c>
      <c r="K107" s="147" t="s">
        <v>454</v>
      </c>
      <c r="L107" s="167" t="s">
        <v>768</v>
      </c>
      <c r="M107" s="167" t="s">
        <v>1684</v>
      </c>
      <c r="N107" s="167"/>
      <c r="O107" s="149" t="s">
        <v>16</v>
      </c>
      <c r="P107" s="169">
        <v>442.48</v>
      </c>
      <c r="Q107" s="169">
        <v>599.95000000000005</v>
      </c>
      <c r="R107" s="145">
        <v>1.5</v>
      </c>
      <c r="S107" s="199">
        <f t="shared" si="0"/>
        <v>125</v>
      </c>
      <c r="T107" s="153">
        <f t="shared" si="2"/>
        <v>787.45</v>
      </c>
    </row>
    <row r="108" spans="1:20">
      <c r="A108" s="162" t="s">
        <v>420</v>
      </c>
      <c r="B108" s="156" t="s">
        <v>421</v>
      </c>
      <c r="C108" s="156" t="s">
        <v>1984</v>
      </c>
      <c r="D108" s="145" t="s">
        <v>436</v>
      </c>
      <c r="E108" s="146" t="s">
        <v>454</v>
      </c>
      <c r="F108" s="146" t="s">
        <v>454</v>
      </c>
      <c r="G108" s="147" t="s">
        <v>454</v>
      </c>
      <c r="H108" s="147" t="s">
        <v>454</v>
      </c>
      <c r="I108" s="147" t="s">
        <v>454</v>
      </c>
      <c r="J108" s="147" t="s">
        <v>454</v>
      </c>
      <c r="K108" s="147" t="s">
        <v>454</v>
      </c>
      <c r="L108" s="148" t="s">
        <v>768</v>
      </c>
      <c r="M108" s="148" t="s">
        <v>1684</v>
      </c>
      <c r="N108" s="148"/>
      <c r="O108" s="149" t="s">
        <v>16</v>
      </c>
      <c r="P108" s="150">
        <v>381.6</v>
      </c>
      <c r="Q108" s="150">
        <v>479.95</v>
      </c>
      <c r="R108" s="145">
        <v>1.5</v>
      </c>
      <c r="S108" s="199">
        <f t="shared" si="0"/>
        <v>125</v>
      </c>
      <c r="T108" s="152">
        <f t="shared" si="2"/>
        <v>667.45</v>
      </c>
    </row>
    <row r="109" spans="1:20">
      <c r="A109" s="162" t="s">
        <v>415</v>
      </c>
      <c r="B109" s="156" t="s">
        <v>775</v>
      </c>
      <c r="C109" s="156" t="s">
        <v>932</v>
      </c>
      <c r="D109" s="145" t="s">
        <v>433</v>
      </c>
      <c r="E109" s="146" t="s">
        <v>454</v>
      </c>
      <c r="F109" s="146" t="s">
        <v>454</v>
      </c>
      <c r="G109" s="147" t="s">
        <v>454</v>
      </c>
      <c r="H109" s="147" t="s">
        <v>454</v>
      </c>
      <c r="I109" s="147" t="s">
        <v>454</v>
      </c>
      <c r="J109" s="147" t="s">
        <v>454</v>
      </c>
      <c r="K109" s="147" t="s">
        <v>454</v>
      </c>
      <c r="L109" s="148" t="s">
        <v>768</v>
      </c>
      <c r="M109" s="148" t="s">
        <v>1684</v>
      </c>
      <c r="N109" s="148"/>
      <c r="O109" s="149" t="s">
        <v>16</v>
      </c>
      <c r="P109" s="150">
        <v>776.98</v>
      </c>
      <c r="Q109" s="150">
        <v>1049.95</v>
      </c>
      <c r="R109" s="145">
        <v>1.5</v>
      </c>
      <c r="S109" s="199">
        <f t="shared" si="0"/>
        <v>125</v>
      </c>
      <c r="T109" s="152">
        <f t="shared" si="2"/>
        <v>1237.45</v>
      </c>
    </row>
    <row r="110" spans="1:20">
      <c r="A110" s="162" t="s">
        <v>414</v>
      </c>
      <c r="B110" s="156" t="s">
        <v>776</v>
      </c>
      <c r="C110" s="156" t="s">
        <v>933</v>
      </c>
      <c r="D110" s="145" t="s">
        <v>443</v>
      </c>
      <c r="E110" s="146" t="s">
        <v>454</v>
      </c>
      <c r="F110" s="146" t="s">
        <v>454</v>
      </c>
      <c r="G110" s="147" t="s">
        <v>454</v>
      </c>
      <c r="H110" s="147" t="s">
        <v>454</v>
      </c>
      <c r="I110" s="147" t="s">
        <v>454</v>
      </c>
      <c r="J110" s="147" t="s">
        <v>454</v>
      </c>
      <c r="K110" s="147" t="s">
        <v>454</v>
      </c>
      <c r="L110" s="148" t="s">
        <v>768</v>
      </c>
      <c r="M110" s="148" t="s">
        <v>1684</v>
      </c>
      <c r="N110" s="148"/>
      <c r="O110" s="149" t="s">
        <v>16</v>
      </c>
      <c r="P110" s="150">
        <v>737.59</v>
      </c>
      <c r="Q110" s="150">
        <v>979.95</v>
      </c>
      <c r="R110" s="145">
        <v>1.5</v>
      </c>
      <c r="S110" s="199">
        <f t="shared" si="0"/>
        <v>125</v>
      </c>
      <c r="T110" s="152">
        <f t="shared" si="2"/>
        <v>1167.45</v>
      </c>
    </row>
    <row r="111" spans="1:20">
      <c r="A111" s="162" t="s">
        <v>119</v>
      </c>
      <c r="B111" s="156" t="s">
        <v>430</v>
      </c>
      <c r="C111" s="156" t="s">
        <v>1004</v>
      </c>
      <c r="D111" s="145"/>
      <c r="E111" s="146" t="s">
        <v>454</v>
      </c>
      <c r="F111" s="146" t="s">
        <v>454</v>
      </c>
      <c r="G111" s="147" t="s">
        <v>454</v>
      </c>
      <c r="H111" s="147" t="s">
        <v>454</v>
      </c>
      <c r="I111" s="147" t="s">
        <v>454</v>
      </c>
      <c r="J111" s="147" t="s">
        <v>454</v>
      </c>
      <c r="K111" s="147" t="s">
        <v>454</v>
      </c>
      <c r="L111" s="148" t="s">
        <v>768</v>
      </c>
      <c r="M111" s="148"/>
      <c r="N111" s="148"/>
      <c r="O111" s="149" t="s">
        <v>16</v>
      </c>
      <c r="P111" s="150">
        <v>170.46</v>
      </c>
      <c r="Q111" s="150">
        <v>219.95</v>
      </c>
      <c r="R111" s="145">
        <v>1.5</v>
      </c>
      <c r="S111" s="199">
        <f t="shared" si="0"/>
        <v>125</v>
      </c>
      <c r="T111" s="153">
        <f t="shared" si="2"/>
        <v>407.45</v>
      </c>
    </row>
    <row r="112" spans="1:20">
      <c r="A112" s="162" t="s">
        <v>411</v>
      </c>
      <c r="B112" s="156" t="s">
        <v>641</v>
      </c>
      <c r="C112" s="156" t="s">
        <v>939</v>
      </c>
      <c r="D112" s="145" t="s">
        <v>442</v>
      </c>
      <c r="E112" s="146" t="s">
        <v>454</v>
      </c>
      <c r="F112" s="146" t="s">
        <v>454</v>
      </c>
      <c r="G112" s="147" t="s">
        <v>454</v>
      </c>
      <c r="H112" s="147" t="s">
        <v>454</v>
      </c>
      <c r="I112" s="147" t="s">
        <v>454</v>
      </c>
      <c r="J112" s="147" t="s">
        <v>454</v>
      </c>
      <c r="K112" s="147" t="s">
        <v>454</v>
      </c>
      <c r="L112" s="148" t="s">
        <v>768</v>
      </c>
      <c r="M112" s="148" t="s">
        <v>1684</v>
      </c>
      <c r="N112" s="148"/>
      <c r="O112" s="149" t="s">
        <v>16</v>
      </c>
      <c r="P112" s="150">
        <v>297.82</v>
      </c>
      <c r="Q112" s="150">
        <v>379.95</v>
      </c>
      <c r="R112" s="145">
        <v>1.5</v>
      </c>
      <c r="S112" s="199">
        <f t="shared" si="0"/>
        <v>125</v>
      </c>
      <c r="T112" s="152">
        <f t="shared" si="2"/>
        <v>567.45000000000005</v>
      </c>
    </row>
    <row r="113" spans="1:20">
      <c r="A113" s="162" t="s">
        <v>418</v>
      </c>
      <c r="B113" s="156" t="s">
        <v>1635</v>
      </c>
      <c r="C113" s="156" t="s">
        <v>1636</v>
      </c>
      <c r="D113" s="145" t="s">
        <v>438</v>
      </c>
      <c r="E113" s="146" t="s">
        <v>454</v>
      </c>
      <c r="F113" s="146" t="s">
        <v>454</v>
      </c>
      <c r="G113" s="147" t="s">
        <v>454</v>
      </c>
      <c r="H113" s="147" t="s">
        <v>454</v>
      </c>
      <c r="I113" s="147" t="s">
        <v>454</v>
      </c>
      <c r="J113" s="147" t="s">
        <v>454</v>
      </c>
      <c r="K113" s="147" t="s">
        <v>454</v>
      </c>
      <c r="L113" s="148" t="s">
        <v>768</v>
      </c>
      <c r="M113" s="148" t="s">
        <v>1684</v>
      </c>
      <c r="N113" s="148"/>
      <c r="O113" s="149" t="s">
        <v>16</v>
      </c>
      <c r="P113" s="150">
        <v>453.5</v>
      </c>
      <c r="Q113" s="150">
        <v>549.95000000000005</v>
      </c>
      <c r="R113" s="145">
        <v>1.5</v>
      </c>
      <c r="S113" s="199">
        <f t="shared" si="0"/>
        <v>125</v>
      </c>
      <c r="T113" s="153">
        <f t="shared" si="2"/>
        <v>737.45</v>
      </c>
    </row>
    <row r="114" spans="1:20">
      <c r="A114" s="162" t="s">
        <v>426</v>
      </c>
      <c r="B114" s="156" t="s">
        <v>896</v>
      </c>
      <c r="C114" s="156" t="s">
        <v>930</v>
      </c>
      <c r="D114" s="145"/>
      <c r="E114" s="146" t="s">
        <v>454</v>
      </c>
      <c r="F114" s="146" t="s">
        <v>454</v>
      </c>
      <c r="G114" s="147" t="s">
        <v>454</v>
      </c>
      <c r="H114" s="147" t="s">
        <v>454</v>
      </c>
      <c r="I114" s="147" t="s">
        <v>454</v>
      </c>
      <c r="J114" s="147" t="s">
        <v>454</v>
      </c>
      <c r="K114" s="147" t="s">
        <v>454</v>
      </c>
      <c r="L114" s="148" t="s">
        <v>768</v>
      </c>
      <c r="M114" s="148" t="s">
        <v>1684</v>
      </c>
      <c r="N114" s="148"/>
      <c r="O114" s="149" t="s">
        <v>16</v>
      </c>
      <c r="P114" s="150">
        <v>60.62</v>
      </c>
      <c r="Q114" s="150">
        <v>94.95</v>
      </c>
      <c r="R114" s="145">
        <v>1.5</v>
      </c>
      <c r="S114" s="199">
        <f t="shared" si="0"/>
        <v>125</v>
      </c>
      <c r="T114" s="153">
        <f t="shared" si="2"/>
        <v>282.45</v>
      </c>
    </row>
    <row r="115" spans="1:20">
      <c r="A115" s="162" t="s">
        <v>211</v>
      </c>
      <c r="B115" s="156" t="s">
        <v>778</v>
      </c>
      <c r="C115" s="156" t="s">
        <v>937</v>
      </c>
      <c r="D115" s="145" t="s">
        <v>445</v>
      </c>
      <c r="E115" s="146" t="s">
        <v>454</v>
      </c>
      <c r="F115" s="146" t="s">
        <v>454</v>
      </c>
      <c r="G115" s="147" t="s">
        <v>454</v>
      </c>
      <c r="H115" s="147" t="s">
        <v>454</v>
      </c>
      <c r="I115" s="147" t="s">
        <v>454</v>
      </c>
      <c r="J115" s="147" t="s">
        <v>454</v>
      </c>
      <c r="K115" s="147" t="s">
        <v>454</v>
      </c>
      <c r="L115" s="148" t="s">
        <v>768</v>
      </c>
      <c r="M115" s="148"/>
      <c r="N115" s="148"/>
      <c r="O115" s="149" t="s">
        <v>16</v>
      </c>
      <c r="P115" s="150">
        <v>84.65</v>
      </c>
      <c r="Q115" s="150">
        <v>119.95</v>
      </c>
      <c r="R115" s="145">
        <v>1.5</v>
      </c>
      <c r="S115" s="199">
        <f t="shared" si="0"/>
        <v>125</v>
      </c>
      <c r="T115" s="152">
        <f t="shared" si="2"/>
        <v>307.45</v>
      </c>
    </row>
    <row r="116" spans="1:20">
      <c r="A116" s="162" t="s">
        <v>766</v>
      </c>
      <c r="B116" s="156" t="s">
        <v>961</v>
      </c>
      <c r="C116" s="156" t="s">
        <v>1005</v>
      </c>
      <c r="D116" s="145" t="s">
        <v>767</v>
      </c>
      <c r="E116" s="146" t="s">
        <v>410</v>
      </c>
      <c r="F116" s="146" t="s">
        <v>410</v>
      </c>
      <c r="G116" s="147" t="s">
        <v>454</v>
      </c>
      <c r="H116" s="147" t="s">
        <v>454</v>
      </c>
      <c r="I116" s="147" t="s">
        <v>454</v>
      </c>
      <c r="J116" s="147" t="s">
        <v>454</v>
      </c>
      <c r="K116" s="147" t="s">
        <v>454</v>
      </c>
      <c r="L116" s="148" t="s">
        <v>768</v>
      </c>
      <c r="M116" s="148"/>
      <c r="N116" s="148"/>
      <c r="O116" s="149" t="s">
        <v>4</v>
      </c>
      <c r="P116" s="150">
        <v>15.57</v>
      </c>
      <c r="Q116" s="150">
        <v>23.95</v>
      </c>
      <c r="R116" s="145">
        <v>1.5</v>
      </c>
      <c r="S116" s="199">
        <f t="shared" si="0"/>
        <v>125</v>
      </c>
      <c r="T116" s="152">
        <f t="shared" si="2"/>
        <v>211.45</v>
      </c>
    </row>
    <row r="117" spans="1:20">
      <c r="A117" s="162" t="s">
        <v>5</v>
      </c>
      <c r="B117" s="156" t="s">
        <v>963</v>
      </c>
      <c r="C117" s="156" t="s">
        <v>1007</v>
      </c>
      <c r="D117" s="145" t="s">
        <v>320</v>
      </c>
      <c r="E117" s="146" t="s">
        <v>454</v>
      </c>
      <c r="F117" s="146" t="s">
        <v>454</v>
      </c>
      <c r="G117" s="147" t="s">
        <v>454</v>
      </c>
      <c r="H117" s="147" t="s">
        <v>454</v>
      </c>
      <c r="I117" s="147" t="s">
        <v>454</v>
      </c>
      <c r="J117" s="147" t="s">
        <v>410</v>
      </c>
      <c r="K117" s="147" t="s">
        <v>410</v>
      </c>
      <c r="L117" s="148" t="s">
        <v>768</v>
      </c>
      <c r="M117" s="148"/>
      <c r="N117" s="148"/>
      <c r="O117" s="149" t="s">
        <v>4</v>
      </c>
      <c r="P117" s="150">
        <v>15.57</v>
      </c>
      <c r="Q117" s="150">
        <v>23.95</v>
      </c>
      <c r="R117" s="145">
        <v>1.5</v>
      </c>
      <c r="S117" s="199">
        <f t="shared" si="0"/>
        <v>125</v>
      </c>
      <c r="T117" s="152">
        <f t="shared" si="2"/>
        <v>211.45</v>
      </c>
    </row>
    <row r="118" spans="1:20">
      <c r="A118" s="162" t="s">
        <v>1810</v>
      </c>
      <c r="B118" s="156" t="s">
        <v>1842</v>
      </c>
      <c r="C118" s="156" t="s">
        <v>1873</v>
      </c>
      <c r="D118" s="145" t="s">
        <v>1874</v>
      </c>
      <c r="E118" s="146" t="s">
        <v>454</v>
      </c>
      <c r="F118" s="146" t="s">
        <v>454</v>
      </c>
      <c r="G118" s="147" t="s">
        <v>454</v>
      </c>
      <c r="H118" s="147" t="s">
        <v>454</v>
      </c>
      <c r="I118" s="147" t="s">
        <v>454</v>
      </c>
      <c r="J118" s="147" t="s">
        <v>454</v>
      </c>
      <c r="K118" s="147" t="s">
        <v>454</v>
      </c>
      <c r="L118" s="167" t="s">
        <v>768</v>
      </c>
      <c r="M118" s="167"/>
      <c r="N118" s="167"/>
      <c r="O118" s="149" t="s">
        <v>4</v>
      </c>
      <c r="P118" s="169">
        <v>15.57</v>
      </c>
      <c r="Q118" s="169">
        <v>23.95</v>
      </c>
      <c r="R118" s="145">
        <v>1.5</v>
      </c>
      <c r="S118" s="199">
        <f t="shared" si="0"/>
        <v>125</v>
      </c>
      <c r="T118" s="153">
        <f t="shared" si="2"/>
        <v>211.45</v>
      </c>
    </row>
    <row r="119" spans="1:20">
      <c r="A119" s="162" t="s">
        <v>3</v>
      </c>
      <c r="B119" s="156" t="s">
        <v>1029</v>
      </c>
      <c r="C119" s="156" t="s">
        <v>1034</v>
      </c>
      <c r="D119" s="145" t="s">
        <v>960</v>
      </c>
      <c r="E119" s="146" t="s">
        <v>454</v>
      </c>
      <c r="F119" s="146" t="s">
        <v>454</v>
      </c>
      <c r="G119" s="147" t="s">
        <v>410</v>
      </c>
      <c r="H119" s="147" t="s">
        <v>410</v>
      </c>
      <c r="I119" s="147" t="s">
        <v>410</v>
      </c>
      <c r="J119" s="147" t="s">
        <v>410</v>
      </c>
      <c r="K119" s="147" t="s">
        <v>410</v>
      </c>
      <c r="L119" s="148" t="s">
        <v>768</v>
      </c>
      <c r="M119" s="148"/>
      <c r="N119" s="148"/>
      <c r="O119" s="149" t="s">
        <v>4</v>
      </c>
      <c r="P119" s="150">
        <v>15.57</v>
      </c>
      <c r="Q119" s="150">
        <v>23.95</v>
      </c>
      <c r="R119" s="145">
        <v>1.5</v>
      </c>
      <c r="S119" s="199">
        <f t="shared" si="0"/>
        <v>125</v>
      </c>
      <c r="T119" s="152">
        <f t="shared" si="2"/>
        <v>211.45</v>
      </c>
    </row>
    <row r="120" spans="1:20">
      <c r="A120" s="162" t="s">
        <v>206</v>
      </c>
      <c r="B120" s="156" t="s">
        <v>965</v>
      </c>
      <c r="C120" s="156" t="s">
        <v>841</v>
      </c>
      <c r="D120" s="145" t="s">
        <v>393</v>
      </c>
      <c r="E120" s="146" t="s">
        <v>454</v>
      </c>
      <c r="F120" s="146" t="s">
        <v>454</v>
      </c>
      <c r="G120" s="147" t="s">
        <v>454</v>
      </c>
      <c r="H120" s="147" t="s">
        <v>454</v>
      </c>
      <c r="I120" s="147" t="s">
        <v>454</v>
      </c>
      <c r="J120" s="147" t="s">
        <v>410</v>
      </c>
      <c r="K120" s="147" t="s">
        <v>410</v>
      </c>
      <c r="L120" s="148" t="s">
        <v>768</v>
      </c>
      <c r="M120" s="148"/>
      <c r="N120" s="148"/>
      <c r="O120" s="149" t="s">
        <v>4</v>
      </c>
      <c r="P120" s="150">
        <v>15.57</v>
      </c>
      <c r="Q120" s="150">
        <v>23.95</v>
      </c>
      <c r="R120" s="145">
        <v>1.5</v>
      </c>
      <c r="S120" s="199">
        <f t="shared" si="0"/>
        <v>125</v>
      </c>
      <c r="T120" s="152">
        <f t="shared" si="2"/>
        <v>211.45</v>
      </c>
    </row>
    <row r="121" spans="1:20">
      <c r="A121" s="162" t="s">
        <v>116</v>
      </c>
      <c r="B121" s="156" t="s">
        <v>384</v>
      </c>
      <c r="C121" s="156" t="s">
        <v>385</v>
      </c>
      <c r="D121" s="145" t="s">
        <v>323</v>
      </c>
      <c r="E121" s="146" t="s">
        <v>454</v>
      </c>
      <c r="F121" s="146" t="s">
        <v>454</v>
      </c>
      <c r="G121" s="147" t="s">
        <v>454</v>
      </c>
      <c r="H121" s="147" t="s">
        <v>454</v>
      </c>
      <c r="I121" s="147" t="s">
        <v>454</v>
      </c>
      <c r="J121" s="147" t="s">
        <v>454</v>
      </c>
      <c r="K121" s="147"/>
      <c r="L121" s="148" t="s">
        <v>768</v>
      </c>
      <c r="M121" s="148"/>
      <c r="N121" s="148"/>
      <c r="O121" s="149" t="s">
        <v>4</v>
      </c>
      <c r="P121" s="150">
        <v>15.54</v>
      </c>
      <c r="Q121" s="150">
        <v>23.95</v>
      </c>
      <c r="R121" s="145">
        <v>1.5</v>
      </c>
      <c r="S121" s="199">
        <f t="shared" si="0"/>
        <v>125</v>
      </c>
      <c r="T121" s="152">
        <f t="shared" si="2"/>
        <v>211.45</v>
      </c>
    </row>
    <row r="122" spans="1:20">
      <c r="A122" s="162" t="s">
        <v>635</v>
      </c>
      <c r="B122" s="156" t="s">
        <v>962</v>
      </c>
      <c r="C122" s="156" t="s">
        <v>1006</v>
      </c>
      <c r="D122" s="145" t="s">
        <v>663</v>
      </c>
      <c r="E122" s="146" t="s">
        <v>454</v>
      </c>
      <c r="F122" s="146" t="s">
        <v>454</v>
      </c>
      <c r="G122" s="147" t="s">
        <v>454</v>
      </c>
      <c r="H122" s="147" t="s">
        <v>454</v>
      </c>
      <c r="I122" s="147" t="s">
        <v>454</v>
      </c>
      <c r="J122" s="147" t="s">
        <v>454</v>
      </c>
      <c r="K122" s="147"/>
      <c r="L122" s="148" t="s">
        <v>768</v>
      </c>
      <c r="M122" s="148"/>
      <c r="N122" s="148"/>
      <c r="O122" s="149" t="s">
        <v>4</v>
      </c>
      <c r="P122" s="150">
        <v>15.57</v>
      </c>
      <c r="Q122" s="150">
        <v>23.95</v>
      </c>
      <c r="R122" s="145">
        <v>1.5</v>
      </c>
      <c r="S122" s="199">
        <f t="shared" si="0"/>
        <v>125</v>
      </c>
      <c r="T122" s="152">
        <f t="shared" si="2"/>
        <v>211.45</v>
      </c>
    </row>
    <row r="123" spans="1:20">
      <c r="A123" s="162" t="s">
        <v>1695</v>
      </c>
      <c r="B123" s="156" t="s">
        <v>2281</v>
      </c>
      <c r="C123" s="156" t="s">
        <v>1789</v>
      </c>
      <c r="D123" s="145" t="s">
        <v>2282</v>
      </c>
      <c r="E123" s="146" t="s">
        <v>454</v>
      </c>
      <c r="F123" s="146" t="s">
        <v>454</v>
      </c>
      <c r="G123" s="147" t="s">
        <v>454</v>
      </c>
      <c r="H123" s="147" t="s">
        <v>454</v>
      </c>
      <c r="I123" s="147" t="s">
        <v>454</v>
      </c>
      <c r="J123" s="147" t="s">
        <v>454</v>
      </c>
      <c r="K123" s="147" t="s">
        <v>454</v>
      </c>
      <c r="L123" s="167"/>
      <c r="M123" s="167" t="s">
        <v>1684</v>
      </c>
      <c r="N123" s="167"/>
      <c r="O123" s="149" t="s">
        <v>10</v>
      </c>
      <c r="P123" s="169">
        <v>103.89</v>
      </c>
      <c r="Q123" s="169">
        <v>159.94999999999999</v>
      </c>
      <c r="R123" s="145">
        <v>1.5</v>
      </c>
      <c r="S123" s="199">
        <f t="shared" si="0"/>
        <v>125</v>
      </c>
      <c r="T123" s="153">
        <f t="shared" si="2"/>
        <v>347.45</v>
      </c>
    </row>
    <row r="124" spans="1:20">
      <c r="A124" s="326" t="s">
        <v>2205</v>
      </c>
      <c r="B124" s="327" t="s">
        <v>1693</v>
      </c>
      <c r="C124" s="328" t="s">
        <v>1787</v>
      </c>
      <c r="D124" s="329" t="s">
        <v>1805</v>
      </c>
      <c r="E124" s="330" t="s">
        <v>454</v>
      </c>
      <c r="F124" s="330" t="s">
        <v>454</v>
      </c>
      <c r="G124" s="331" t="s">
        <v>454</v>
      </c>
      <c r="H124" s="331" t="s">
        <v>454</v>
      </c>
      <c r="I124" s="331" t="s">
        <v>454</v>
      </c>
      <c r="J124" s="331" t="s">
        <v>454</v>
      </c>
      <c r="K124" s="331" t="s">
        <v>454</v>
      </c>
      <c r="L124" s="332" t="s">
        <v>768</v>
      </c>
      <c r="M124" s="332" t="s">
        <v>1684</v>
      </c>
      <c r="N124" s="332"/>
      <c r="O124" s="333" t="s">
        <v>10</v>
      </c>
      <c r="P124" s="334">
        <v>134.5</v>
      </c>
      <c r="Q124" s="334">
        <v>224.95</v>
      </c>
      <c r="R124" s="329">
        <v>1.5</v>
      </c>
      <c r="S124" s="335">
        <f t="shared" si="0"/>
        <v>125</v>
      </c>
      <c r="T124" s="336">
        <f t="shared" si="2"/>
        <v>412.45</v>
      </c>
    </row>
    <row r="125" spans="1:20">
      <c r="A125" s="337" t="s">
        <v>2283</v>
      </c>
      <c r="B125" s="338" t="s">
        <v>1694</v>
      </c>
      <c r="C125" s="339" t="s">
        <v>2284</v>
      </c>
      <c r="D125" s="340" t="s">
        <v>2285</v>
      </c>
      <c r="E125" s="341"/>
      <c r="F125" s="338"/>
      <c r="G125" s="339"/>
      <c r="H125" s="339"/>
      <c r="I125" s="342"/>
      <c r="J125" s="343"/>
      <c r="K125" s="344"/>
      <c r="L125" s="344"/>
      <c r="M125" s="344"/>
      <c r="N125" s="344"/>
      <c r="O125" s="182" t="s">
        <v>10</v>
      </c>
      <c r="P125" s="183">
        <v>245.97</v>
      </c>
      <c r="Q125" s="183">
        <v>409.95</v>
      </c>
      <c r="R125" s="184">
        <v>1.5</v>
      </c>
      <c r="S125" s="217">
        <f t="shared" si="0"/>
        <v>125</v>
      </c>
      <c r="T125" s="185">
        <f t="shared" si="2"/>
        <v>597.45000000000005</v>
      </c>
    </row>
    <row r="126" spans="1:20">
      <c r="A126" s="337" t="s">
        <v>2286</v>
      </c>
      <c r="B126" s="338" t="s">
        <v>1699</v>
      </c>
      <c r="C126" s="339" t="s">
        <v>1830</v>
      </c>
      <c r="D126" s="340" t="s">
        <v>2287</v>
      </c>
      <c r="E126" s="341"/>
      <c r="F126" s="338"/>
      <c r="G126" s="339"/>
      <c r="H126" s="339"/>
      <c r="I126" s="342"/>
      <c r="J126" s="343"/>
      <c r="K126" s="344"/>
      <c r="L126" s="344"/>
      <c r="M126" s="344"/>
      <c r="N126" s="344"/>
      <c r="O126" s="182" t="s">
        <v>10</v>
      </c>
      <c r="P126" s="183">
        <v>570.57000000000005</v>
      </c>
      <c r="Q126" s="183">
        <v>950.95</v>
      </c>
      <c r="R126" s="184">
        <v>1.5</v>
      </c>
      <c r="S126" s="217">
        <f t="shared" si="0"/>
        <v>125</v>
      </c>
      <c r="T126" s="185">
        <f t="shared" si="2"/>
        <v>1138.45</v>
      </c>
    </row>
    <row r="127" spans="1:20">
      <c r="A127" s="162" t="s">
        <v>531</v>
      </c>
      <c r="B127" s="151" t="s">
        <v>541</v>
      </c>
      <c r="C127" s="151" t="s">
        <v>754</v>
      </c>
      <c r="D127" s="145" t="s">
        <v>128</v>
      </c>
      <c r="E127" s="146" t="s">
        <v>454</v>
      </c>
      <c r="F127" s="146" t="s">
        <v>454</v>
      </c>
      <c r="G127" s="147" t="s">
        <v>454</v>
      </c>
      <c r="H127" s="147" t="s">
        <v>454</v>
      </c>
      <c r="I127" s="147" t="s">
        <v>454</v>
      </c>
      <c r="J127" s="147" t="s">
        <v>454</v>
      </c>
      <c r="K127" s="147" t="s">
        <v>454</v>
      </c>
      <c r="L127" s="148" t="s">
        <v>768</v>
      </c>
      <c r="M127" s="148" t="s">
        <v>1684</v>
      </c>
      <c r="N127" s="148"/>
      <c r="O127" s="149" t="s">
        <v>16</v>
      </c>
      <c r="P127" s="150">
        <v>97.77</v>
      </c>
      <c r="Q127" s="150">
        <v>162.94999999999999</v>
      </c>
      <c r="R127" s="145">
        <v>1.5</v>
      </c>
      <c r="S127" s="199">
        <f t="shared" si="0"/>
        <v>125</v>
      </c>
      <c r="T127" s="152">
        <f t="shared" si="2"/>
        <v>350.45</v>
      </c>
    </row>
    <row r="128" spans="1:20">
      <c r="A128" s="284" t="s">
        <v>1812</v>
      </c>
      <c r="B128" s="151" t="s">
        <v>2288</v>
      </c>
      <c r="C128" s="156" t="s">
        <v>1814</v>
      </c>
      <c r="D128" s="145" t="s">
        <v>1813</v>
      </c>
      <c r="E128" s="146" t="s">
        <v>454</v>
      </c>
      <c r="F128" s="146" t="s">
        <v>454</v>
      </c>
      <c r="G128" s="147" t="s">
        <v>454</v>
      </c>
      <c r="H128" s="147" t="s">
        <v>454</v>
      </c>
      <c r="I128" s="147" t="s">
        <v>454</v>
      </c>
      <c r="J128" s="147" t="s">
        <v>454</v>
      </c>
      <c r="K128" s="147" t="s">
        <v>454</v>
      </c>
      <c r="L128" s="167"/>
      <c r="M128" s="167"/>
      <c r="N128" s="167"/>
      <c r="O128" s="149" t="s">
        <v>16</v>
      </c>
      <c r="P128" s="169">
        <v>123.92</v>
      </c>
      <c r="Q128" s="169">
        <v>184.95</v>
      </c>
      <c r="R128" s="145">
        <v>1.5</v>
      </c>
      <c r="S128" s="199">
        <f t="shared" si="0"/>
        <v>125</v>
      </c>
      <c r="T128" s="153">
        <f t="shared" si="2"/>
        <v>372.45</v>
      </c>
    </row>
    <row r="129" spans="1:20">
      <c r="A129" s="162" t="s">
        <v>17</v>
      </c>
      <c r="B129" s="156" t="s">
        <v>644</v>
      </c>
      <c r="C129" s="156" t="s">
        <v>1807</v>
      </c>
      <c r="D129" s="145" t="s">
        <v>1752</v>
      </c>
      <c r="E129" s="146" t="s">
        <v>454</v>
      </c>
      <c r="F129" s="146" t="s">
        <v>454</v>
      </c>
      <c r="G129" s="147" t="s">
        <v>454</v>
      </c>
      <c r="H129" s="147" t="s">
        <v>454</v>
      </c>
      <c r="I129" s="147" t="s">
        <v>454</v>
      </c>
      <c r="J129" s="147" t="s">
        <v>454</v>
      </c>
      <c r="K129" s="147" t="s">
        <v>454</v>
      </c>
      <c r="L129" s="148" t="s">
        <v>768</v>
      </c>
      <c r="M129" s="148"/>
      <c r="N129" s="148"/>
      <c r="O129" s="149" t="s">
        <v>16</v>
      </c>
      <c r="P129" s="150">
        <v>39.99</v>
      </c>
      <c r="Q129" s="150">
        <v>59.95</v>
      </c>
      <c r="R129" s="145">
        <v>1.5</v>
      </c>
      <c r="S129" s="199">
        <f t="shared" si="0"/>
        <v>125</v>
      </c>
      <c r="T129" s="152">
        <f t="shared" si="2"/>
        <v>247.45</v>
      </c>
    </row>
    <row r="130" spans="1:20">
      <c r="A130" s="162" t="s">
        <v>1487</v>
      </c>
      <c r="B130" s="161" t="s">
        <v>1485</v>
      </c>
      <c r="C130" s="157" t="s">
        <v>1486</v>
      </c>
      <c r="D130" s="145" t="s">
        <v>1709</v>
      </c>
      <c r="E130" s="146" t="s">
        <v>454</v>
      </c>
      <c r="F130" s="146" t="s">
        <v>454</v>
      </c>
      <c r="G130" s="147" t="s">
        <v>454</v>
      </c>
      <c r="H130" s="147" t="s">
        <v>454</v>
      </c>
      <c r="I130" s="147" t="s">
        <v>454</v>
      </c>
      <c r="J130" s="147" t="s">
        <v>454</v>
      </c>
      <c r="K130" s="147" t="s">
        <v>454</v>
      </c>
      <c r="L130" s="148" t="s">
        <v>768</v>
      </c>
      <c r="M130" s="148"/>
      <c r="N130" s="148"/>
      <c r="O130" s="149" t="s">
        <v>0</v>
      </c>
      <c r="P130" s="150">
        <v>47</v>
      </c>
      <c r="Q130" s="150">
        <v>64.95</v>
      </c>
      <c r="R130" s="145">
        <v>1.5</v>
      </c>
      <c r="S130" s="199">
        <f t="shared" si="0"/>
        <v>125</v>
      </c>
      <c r="T130" s="152">
        <f t="shared" si="2"/>
        <v>252.45</v>
      </c>
    </row>
    <row r="131" spans="1:20">
      <c r="A131" s="162" t="s">
        <v>294</v>
      </c>
      <c r="B131" s="156" t="s">
        <v>295</v>
      </c>
      <c r="C131" s="156" t="s">
        <v>296</v>
      </c>
      <c r="D131" s="145" t="s">
        <v>1708</v>
      </c>
      <c r="E131" s="146" t="s">
        <v>454</v>
      </c>
      <c r="F131" s="146" t="s">
        <v>454</v>
      </c>
      <c r="G131" s="147" t="s">
        <v>454</v>
      </c>
      <c r="H131" s="147" t="s">
        <v>454</v>
      </c>
      <c r="I131" s="147" t="s">
        <v>454</v>
      </c>
      <c r="J131" s="147" t="s">
        <v>454</v>
      </c>
      <c r="K131" s="147" t="s">
        <v>454</v>
      </c>
      <c r="L131" s="148" t="s">
        <v>768</v>
      </c>
      <c r="M131" s="148"/>
      <c r="N131" s="148"/>
      <c r="O131" s="149" t="s">
        <v>0</v>
      </c>
      <c r="P131" s="150">
        <v>60</v>
      </c>
      <c r="Q131" s="150">
        <v>79.95</v>
      </c>
      <c r="R131" s="145">
        <v>1.5</v>
      </c>
      <c r="S131" s="199">
        <f t="shared" si="0"/>
        <v>125</v>
      </c>
      <c r="T131" s="152">
        <f t="shared" ref="T131:T136" si="3">R131*S131+Q131</f>
        <v>267.45</v>
      </c>
    </row>
    <row r="132" spans="1:20">
      <c r="A132" s="162" t="s">
        <v>522</v>
      </c>
      <c r="B132" s="151" t="s">
        <v>854</v>
      </c>
      <c r="C132" s="151" t="s">
        <v>1811</v>
      </c>
      <c r="D132" s="145" t="s">
        <v>2289</v>
      </c>
      <c r="E132" s="146" t="s">
        <v>454</v>
      </c>
      <c r="F132" s="146" t="s">
        <v>454</v>
      </c>
      <c r="G132" s="147" t="s">
        <v>454</v>
      </c>
      <c r="H132" s="147" t="s">
        <v>454</v>
      </c>
      <c r="I132" s="147" t="s">
        <v>454</v>
      </c>
      <c r="J132" s="147" t="s">
        <v>454</v>
      </c>
      <c r="K132" s="147" t="s">
        <v>454</v>
      </c>
      <c r="L132" s="148"/>
      <c r="M132" s="148"/>
      <c r="N132" s="148"/>
      <c r="O132" s="149" t="s">
        <v>10</v>
      </c>
      <c r="P132" s="150">
        <v>53</v>
      </c>
      <c r="Q132" s="150">
        <v>88.95</v>
      </c>
      <c r="R132" s="145">
        <v>1.5</v>
      </c>
      <c r="S132" s="199">
        <f t="shared" si="0"/>
        <v>125</v>
      </c>
      <c r="T132" s="152">
        <f t="shared" si="3"/>
        <v>276.45</v>
      </c>
    </row>
    <row r="133" spans="1:20">
      <c r="A133" s="162" t="s">
        <v>1059</v>
      </c>
      <c r="B133" s="151" t="s">
        <v>1060</v>
      </c>
      <c r="C133" s="151" t="s">
        <v>1068</v>
      </c>
      <c r="D133" s="145" t="s">
        <v>1856</v>
      </c>
      <c r="E133" s="146" t="s">
        <v>454</v>
      </c>
      <c r="F133" s="146" t="s">
        <v>454</v>
      </c>
      <c r="G133" s="147" t="s">
        <v>454</v>
      </c>
      <c r="H133" s="147" t="s">
        <v>454</v>
      </c>
      <c r="I133" s="147" t="s">
        <v>454</v>
      </c>
      <c r="J133" s="147" t="s">
        <v>454</v>
      </c>
      <c r="K133" s="147" t="s">
        <v>454</v>
      </c>
      <c r="L133" s="148" t="s">
        <v>768</v>
      </c>
      <c r="M133" s="148"/>
      <c r="N133" s="148"/>
      <c r="O133" s="149" t="s">
        <v>4</v>
      </c>
      <c r="P133" s="150">
        <v>2.5</v>
      </c>
      <c r="Q133" s="150">
        <v>4.95</v>
      </c>
      <c r="R133" s="145">
        <v>1.5</v>
      </c>
      <c r="S133" s="199">
        <f t="shared" si="0"/>
        <v>125</v>
      </c>
      <c r="T133" s="152">
        <f t="shared" si="3"/>
        <v>192.45</v>
      </c>
    </row>
    <row r="134" spans="1:20">
      <c r="A134" s="162" t="s">
        <v>1061</v>
      </c>
      <c r="B134" s="151" t="s">
        <v>1646</v>
      </c>
      <c r="C134" s="151" t="s">
        <v>1069</v>
      </c>
      <c r="D134" s="145" t="s">
        <v>1857</v>
      </c>
      <c r="E134" s="146" t="s">
        <v>454</v>
      </c>
      <c r="F134" s="146" t="s">
        <v>454</v>
      </c>
      <c r="G134" s="147" t="s">
        <v>454</v>
      </c>
      <c r="H134" s="147" t="s">
        <v>454</v>
      </c>
      <c r="I134" s="147" t="s">
        <v>454</v>
      </c>
      <c r="J134" s="147" t="s">
        <v>454</v>
      </c>
      <c r="K134" s="147" t="s">
        <v>454</v>
      </c>
      <c r="L134" s="148" t="s">
        <v>768</v>
      </c>
      <c r="M134" s="148"/>
      <c r="N134" s="148"/>
      <c r="O134" s="149" t="s">
        <v>4</v>
      </c>
      <c r="P134" s="150">
        <v>2.5</v>
      </c>
      <c r="Q134" s="150">
        <v>4.95</v>
      </c>
      <c r="R134" s="145">
        <v>1.5</v>
      </c>
      <c r="S134" s="199">
        <f t="shared" si="0"/>
        <v>125</v>
      </c>
      <c r="T134" s="152">
        <f t="shared" si="3"/>
        <v>192.45</v>
      </c>
    </row>
    <row r="135" spans="1:20">
      <c r="A135" s="162" t="s">
        <v>1070</v>
      </c>
      <c r="B135" s="151" t="s">
        <v>1064</v>
      </c>
      <c r="C135" s="151" t="s">
        <v>1066</v>
      </c>
      <c r="D135" s="145" t="s">
        <v>1858</v>
      </c>
      <c r="E135" s="146" t="s">
        <v>454</v>
      </c>
      <c r="F135" s="146" t="s">
        <v>454</v>
      </c>
      <c r="G135" s="147" t="s">
        <v>454</v>
      </c>
      <c r="H135" s="147" t="s">
        <v>454</v>
      </c>
      <c r="I135" s="147" t="s">
        <v>454</v>
      </c>
      <c r="J135" s="147" t="s">
        <v>454</v>
      </c>
      <c r="K135" s="147" t="s">
        <v>454</v>
      </c>
      <c r="L135" s="148" t="s">
        <v>768</v>
      </c>
      <c r="M135" s="148"/>
      <c r="N135" s="148"/>
      <c r="O135" s="149" t="s">
        <v>4</v>
      </c>
      <c r="P135" s="150">
        <v>2.5</v>
      </c>
      <c r="Q135" s="150">
        <v>4.95</v>
      </c>
      <c r="R135" s="145">
        <v>1.5</v>
      </c>
      <c r="S135" s="199">
        <f t="shared" si="0"/>
        <v>125</v>
      </c>
      <c r="T135" s="152">
        <f t="shared" si="3"/>
        <v>192.45</v>
      </c>
    </row>
    <row r="136" spans="1:20">
      <c r="A136" s="162" t="s">
        <v>1071</v>
      </c>
      <c r="B136" s="151" t="s">
        <v>1065</v>
      </c>
      <c r="C136" s="151" t="s">
        <v>1067</v>
      </c>
      <c r="D136" s="145" t="s">
        <v>1858</v>
      </c>
      <c r="E136" s="146" t="s">
        <v>454</v>
      </c>
      <c r="F136" s="146" t="s">
        <v>454</v>
      </c>
      <c r="G136" s="147" t="s">
        <v>454</v>
      </c>
      <c r="H136" s="147" t="s">
        <v>454</v>
      </c>
      <c r="I136" s="147" t="s">
        <v>454</v>
      </c>
      <c r="J136" s="147" t="s">
        <v>454</v>
      </c>
      <c r="K136" s="147" t="s">
        <v>454</v>
      </c>
      <c r="L136" s="148" t="s">
        <v>768</v>
      </c>
      <c r="M136" s="148"/>
      <c r="N136" s="148"/>
      <c r="O136" s="149" t="s">
        <v>4</v>
      </c>
      <c r="P136" s="150">
        <v>2.5</v>
      </c>
      <c r="Q136" s="150">
        <v>4.95</v>
      </c>
      <c r="R136" s="145">
        <v>1.5</v>
      </c>
      <c r="S136" s="199">
        <f t="shared" si="0"/>
        <v>125</v>
      </c>
      <c r="T136" s="152">
        <f t="shared" si="3"/>
        <v>192.45</v>
      </c>
    </row>
  </sheetData>
  <mergeCells count="4">
    <mergeCell ref="A1:D1"/>
    <mergeCell ref="E1:O1"/>
    <mergeCell ref="S1:T1"/>
    <mergeCell ref="M2:N2"/>
  </mergeCells>
  <conditionalFormatting sqref="P15:Q15">
    <cfRule type="cellIs" dxfId="11" priority="1" operator="lessThan">
      <formula>0.02</formula>
    </cfRule>
  </conditionalFormatting>
  <hyperlinks>
    <hyperlink ref="L3" r:id="rId1" xr:uid="{2F073CDC-41BD-4D96-9395-E33CDD50E26A}"/>
    <hyperlink ref="L58" r:id="rId2" xr:uid="{52FB4721-A457-422B-B53F-F2582D7F252D}"/>
    <hyperlink ref="L47" r:id="rId3" xr:uid="{1360BB1C-CDEC-450E-92DF-75C8BC1510B4}"/>
    <hyperlink ref="L46" r:id="rId4" xr:uid="{2466C918-8A8F-4694-92AA-B4E6640AB338}"/>
    <hyperlink ref="L45" r:id="rId5" xr:uid="{E192A6FE-8CA2-40D0-806D-6C4ABC263A97}"/>
    <hyperlink ref="L28" r:id="rId6" xr:uid="{74646152-B565-4A07-9C96-4FA40AACF139}"/>
    <hyperlink ref="L29" r:id="rId7" xr:uid="{D87EEABB-D4AD-4B31-B81B-857D45B5E02A}"/>
    <hyperlink ref="L105" r:id="rId8" xr:uid="{6C72E560-A51D-4D88-ABCE-AE9B59E63E9A}"/>
    <hyperlink ref="L107" r:id="rId9" xr:uid="{FFBDD009-1860-472E-BE1F-52D23C500405}"/>
    <hyperlink ref="L108" r:id="rId10" xr:uid="{4B610CD4-3FC2-4C24-BC43-87585B9A4130}"/>
    <hyperlink ref="L109" r:id="rId11" xr:uid="{D2AE2E1B-FF51-4C54-A211-DB57741949A2}"/>
    <hyperlink ref="L110" r:id="rId12" xr:uid="{A3C702FA-F61E-4B36-8BBB-1E539CD1B47E}"/>
    <hyperlink ref="L111" r:id="rId13" xr:uid="{C5AA02F0-BD8B-4DD0-9295-C9807BB6E496}"/>
    <hyperlink ref="L112" r:id="rId14" xr:uid="{F453B8B7-5F41-45CB-B7D2-64DE6689AEE5}"/>
    <hyperlink ref="L113" r:id="rId15" xr:uid="{2D8AA979-7296-4DEC-AB35-5FD4DB23E4D9}"/>
    <hyperlink ref="L114" r:id="rId16" xr:uid="{0D99B06C-35F0-4FD5-A912-DE2765BB356F}"/>
    <hyperlink ref="L115" r:id="rId17" xr:uid="{7EFAA65E-0653-404F-BB32-D4DDD4CDCE7B}"/>
    <hyperlink ref="L38" r:id="rId18" xr:uid="{9CA874F0-2EE9-4B6A-A7E6-1624A394BCFA}"/>
    <hyperlink ref="L41" r:id="rId19" xr:uid="{A012D5FD-457D-4669-BA10-431D44F77281}"/>
    <hyperlink ref="L43" r:id="rId20" xr:uid="{10C7D998-F6B0-48EF-B4D9-DC05655BE60F}"/>
    <hyperlink ref="L42" r:id="rId21" xr:uid="{CF3FFCDC-B71A-4450-ABB7-8BFEAEE96508}"/>
    <hyperlink ref="L44" r:id="rId22" xr:uid="{A725CC50-74B2-4292-821F-B76D395E1A6E}"/>
    <hyperlink ref="L81" r:id="rId23" xr:uid="{3B5759F0-4E19-46E5-8FAC-0843ECB708E6}"/>
    <hyperlink ref="L57:L61" r:id="rId24" display="PHOTO" xr:uid="{3A4BF96F-4F95-4A20-9864-664CB1399698}"/>
    <hyperlink ref="L116" r:id="rId25" xr:uid="{A9B2953F-0166-498E-8F40-BACBFA179395}"/>
    <hyperlink ref="L36" r:id="rId26" xr:uid="{6D82F8D2-8774-4AEA-B940-2A93E0BABF96}"/>
    <hyperlink ref="L39" r:id="rId27" xr:uid="{A94D48E3-4BA8-4A41-8A94-377D331EB77D}"/>
    <hyperlink ref="L40" r:id="rId28" xr:uid="{57EF180C-2E2A-4E4B-B3BE-D721C7237119}"/>
    <hyperlink ref="L135" r:id="rId29" xr:uid="{4D381226-D81C-4AAB-9292-B2D5B74C26EE}"/>
    <hyperlink ref="L136" r:id="rId30" xr:uid="{E1ED9BB4-64A9-4B94-A4A0-B847ECF3EF15}"/>
    <hyperlink ref="L133" r:id="rId31" xr:uid="{973715E3-671C-46DB-94EC-0F06DCC1C9BB}"/>
    <hyperlink ref="L134" r:id="rId32" xr:uid="{7CAC3B84-B435-4B26-BAE2-35C706628ECC}"/>
    <hyperlink ref="L22" r:id="rId33" xr:uid="{B56140A9-1122-4475-82B6-B552E53F1F47}"/>
    <hyperlink ref="L130" r:id="rId34" xr:uid="{50EB6E37-C2B7-47A9-9540-55554D0CD016}"/>
    <hyperlink ref="L77" r:id="rId35" xr:uid="{778AD83A-3403-41DB-9DE4-CC085A388858}"/>
    <hyperlink ref="L52" r:id="rId36" xr:uid="{23524489-81A8-467D-8C55-6D536465BAD9}"/>
    <hyperlink ref="L71" r:id="rId37" xr:uid="{452808EB-FF0A-414D-A336-C24C764C32EE}"/>
    <hyperlink ref="L127" r:id="rId38" xr:uid="{3F0929DD-0148-4BBF-AA4E-17CCACF483C4}"/>
    <hyperlink ref="L10" r:id="rId39" xr:uid="{232134F3-621D-4389-8822-F48389156DC6}"/>
    <hyperlink ref="L76" r:id="rId40" xr:uid="{2B9B57B1-6ECD-49A2-9532-AF24CD9F8F0E}"/>
    <hyperlink ref="L13" r:id="rId41" xr:uid="{4AB1B57E-3FFB-44C8-9CFB-390E78407063}"/>
    <hyperlink ref="L5" r:id="rId42" xr:uid="{E4936020-DF4C-4879-8389-0BCBC94865CE}"/>
    <hyperlink ref="L25" r:id="rId43" xr:uid="{24B724FD-A93D-463A-A4E9-0AE4DE88496E}"/>
    <hyperlink ref="L26" r:id="rId44" xr:uid="{9AD436C9-439C-4711-AE7D-568FD59ED8C3}"/>
    <hyperlink ref="L27" r:id="rId45" xr:uid="{8AEBAD49-1E48-45D2-B727-FA7544596050}"/>
    <hyperlink ref="L53" r:id="rId46" xr:uid="{C46502A6-6276-438E-A2FE-B3C9194B58F9}"/>
    <hyperlink ref="L88" r:id="rId47" xr:uid="{B9786988-EE9B-4BF6-9731-3D92CC53977E}"/>
    <hyperlink ref="L33" r:id="rId48" xr:uid="{7EEA5AAC-CCCD-49C4-9B78-FB061B53EB07}"/>
    <hyperlink ref="L89" r:id="rId49" xr:uid="{7B0485F0-24D2-4297-9518-3773EF005BF4}"/>
    <hyperlink ref="L21" r:id="rId50" xr:uid="{06DFBB33-9401-4C96-85B0-EBC0D321287C}"/>
    <hyperlink ref="L20" r:id="rId51" xr:uid="{A88D3323-4C6D-4551-B84C-AABD19A2490D}"/>
    <hyperlink ref="L78" r:id="rId52" xr:uid="{175A59FE-B199-4B35-8687-930EBFFE9AC4}"/>
    <hyperlink ref="L15" r:id="rId53" xr:uid="{2CC209A6-7917-42D9-9E6F-489A998F96EE}"/>
    <hyperlink ref="L51" r:id="rId54" xr:uid="{86F3EA7C-1416-45FE-B5D8-F1EA0806AC5C}"/>
    <hyperlink ref="L72" r:id="rId55" xr:uid="{912836BF-E880-48E9-994E-F04988211EF5}"/>
    <hyperlink ref="L12" r:id="rId56" xr:uid="{F2632185-2916-4007-924B-5970F6319F56}"/>
    <hyperlink ref="M28" r:id="rId57" xr:uid="{797F64F1-9D1F-4124-8660-A80E169A154B}"/>
    <hyperlink ref="M3" r:id="rId58" xr:uid="{31CBC7FB-1320-4C4B-B5FD-2A1A5ABA1D87}"/>
    <hyperlink ref="M25" r:id="rId59" xr:uid="{2F3A00E5-434E-450F-8D37-BBAD8C6CD422}"/>
    <hyperlink ref="M23:M24" r:id="rId60" display="SHEET" xr:uid="{1A724718-7232-440C-B329-3542BC5E5073}"/>
    <hyperlink ref="M20" r:id="rId61" xr:uid="{C938614E-1A6B-4DB1-8936-CC78379FE58F}"/>
    <hyperlink ref="M21" r:id="rId62" xr:uid="{FAB7B7F1-47E6-44C4-85C4-6A40116ADB1D}"/>
    <hyperlink ref="M22" r:id="rId63" xr:uid="{7C983551-2377-4C57-AE5F-B98D4225C62B}"/>
    <hyperlink ref="M5" r:id="rId64" xr:uid="{44B9A6EA-4A7E-4C4F-A4B8-E354D5F33CD4}"/>
    <hyperlink ref="M10" r:id="rId65" xr:uid="{561E41C3-875C-48D8-99A5-9BA621AF8319}"/>
    <hyperlink ref="M12" r:id="rId66" xr:uid="{8937B0E6-3781-467F-91C7-479B5191F2A5}"/>
    <hyperlink ref="M127" r:id="rId67" xr:uid="{B92F147F-28B9-4ABE-987B-84DE6AC020B6}"/>
    <hyperlink ref="M89" r:id="rId68" xr:uid="{328C83A4-5BCB-43A7-946B-817D19B21FF3}"/>
    <hyperlink ref="M64:M70" r:id="rId69" display="SHEET" xr:uid="{01D58738-7063-490A-9A3F-29B62A409EEE}"/>
    <hyperlink ref="M79" r:id="rId70" xr:uid="{49F14976-1726-43B4-BC9D-0334A1D09271}"/>
    <hyperlink ref="M55:M62" r:id="rId71" display="SHEET" xr:uid="{7203B409-EAF2-4B54-9036-EEAC85DA0BE3}"/>
    <hyperlink ref="M78" r:id="rId72" xr:uid="{65598F24-7CA1-486A-832F-76F65FE023A8}"/>
    <hyperlink ref="M76" r:id="rId73" xr:uid="{70C8B74E-6322-4AA2-9316-C011CFAB4E38}"/>
    <hyperlink ref="M77" r:id="rId74" xr:uid="{8CA8B8FB-CEFB-4BCA-969B-F4DBC2218C9E}"/>
    <hyperlink ref="M72" r:id="rId75" xr:uid="{FD1D39A6-24CB-4EA9-86E9-21EF108AE95A}"/>
    <hyperlink ref="M29" r:id="rId76" xr:uid="{DC192893-02F1-4373-BC29-55C540D2A459}"/>
    <hyperlink ref="M36" r:id="rId77" xr:uid="{DCDF4F00-6C30-4731-9CE0-0CECDF97B9C4}"/>
    <hyperlink ref="M15" r:id="rId78" xr:uid="{3BBA34BC-8BE4-40C7-B2C3-BAA81DD266A7}"/>
    <hyperlink ref="M45" r:id="rId79" xr:uid="{E7AFCE2D-D821-4642-8CB0-B7DCEBCF8759}"/>
    <hyperlink ref="M39:M40" r:id="rId80" display="SHEET" xr:uid="{27BD01CB-3A47-48B2-B817-2D1B885F918E}"/>
    <hyperlink ref="M51" r:id="rId81" xr:uid="{072BD8CC-2107-4C0A-8525-B6D4C1BDDCBE}"/>
    <hyperlink ref="M52" r:id="rId82" xr:uid="{76CDE305-B6ED-4AC8-82F6-8474486FBF89}"/>
    <hyperlink ref="M53" r:id="rId83" xr:uid="{3237DBE8-F930-4ACE-A4EC-5E898C70C149}"/>
    <hyperlink ref="M57" r:id="rId84" xr:uid="{E8A848D5-FE50-4334-A18A-FC68D31A26B4}"/>
    <hyperlink ref="M58" r:id="rId85" xr:uid="{B8A04281-AE8F-4224-ACEC-DA425C8C08CB}"/>
    <hyperlink ref="M60" r:id="rId86" xr:uid="{3B361AB8-5639-46B4-96DE-4916789709AF}"/>
    <hyperlink ref="M7" r:id="rId87" xr:uid="{9B1B48E0-35CC-417F-BF84-0B1692D62E12}"/>
    <hyperlink ref="M8" r:id="rId88" xr:uid="{0BF6389A-0618-41FA-A80C-B56149E47577}"/>
    <hyperlink ref="M9" r:id="rId89" xr:uid="{F0799427-605D-4919-82A0-6922323FCE09}"/>
    <hyperlink ref="M13" r:id="rId90" xr:uid="{C0B82F12-C0A5-44D5-9729-204741C97BCC}"/>
    <hyperlink ref="M33" r:id="rId91" xr:uid="{94FC2C04-96FC-4DCF-AC2C-48C0379FA658}"/>
    <hyperlink ref="M71" r:id="rId92" xr:uid="{05BACB96-3C09-4122-8451-6BC8303E2A59}"/>
    <hyperlink ref="L97" r:id="rId93" xr:uid="{2912CB6B-473D-4ADC-BA12-92986F2816DC}"/>
    <hyperlink ref="L65:L70" r:id="rId94" display="PHOTO" xr:uid="{C7438FBF-5856-4FF6-8E53-90F179732E97}"/>
    <hyperlink ref="M108" r:id="rId95" xr:uid="{4DBEB8FC-34E6-4D35-861E-C98FC8E5B6A4}"/>
    <hyperlink ref="M107" r:id="rId96" xr:uid="{AABFE586-D867-4C4D-BFA6-2486FCDECBC2}"/>
    <hyperlink ref="M112" r:id="rId97" xr:uid="{E5C8760F-703D-4C25-95A1-9DBE5D9EC745}"/>
    <hyperlink ref="M113" r:id="rId98" xr:uid="{48773B6D-0D93-4BC6-9CBF-BF73BAF149FB}"/>
    <hyperlink ref="L37" r:id="rId99" xr:uid="{F7B2C887-35CB-4EC5-880E-53AF0F0565AC}"/>
    <hyperlink ref="M37" r:id="rId100" xr:uid="{A20DBBEE-9E04-4182-BDDE-05ED09B98482}"/>
    <hyperlink ref="M124" r:id="rId101" xr:uid="{3026E507-C552-4CFC-8F48-6764B6D9CBA7}"/>
    <hyperlink ref="M123" r:id="rId102" xr:uid="{A135DBE1-03FC-4C51-B3B7-CAECD1F06F67}"/>
    <hyperlink ref="L131" r:id="rId103" xr:uid="{47C87A93-463D-49AC-BEA7-D65FC6DEC106}"/>
    <hyperlink ref="L129" r:id="rId104" xr:uid="{E2BF3C7F-19EE-4042-96DC-E8577BB8DA03}"/>
    <hyperlink ref="L4" r:id="rId105" xr:uid="{A9A5236F-2167-4E75-855D-E3A75461058E}"/>
    <hyperlink ref="L17" r:id="rId106" xr:uid="{9A5E7E45-CD51-4504-97DD-44B4B6B6442B}"/>
    <hyperlink ref="L19" r:id="rId107" xr:uid="{93CE3E0E-F203-4701-BE00-30FAB59B3EB1}"/>
    <hyperlink ref="M17" r:id="rId108" xr:uid="{C4976A8A-5062-4D21-BD47-F2FBE725C66B}"/>
    <hyperlink ref="M19" r:id="rId109" xr:uid="{3E5509E0-C434-4417-99AA-DA0F275989D1}"/>
    <hyperlink ref="L75" r:id="rId110" xr:uid="{498E9DCC-6EA8-4B4F-904F-240BB341DB6E}"/>
    <hyperlink ref="L74" r:id="rId111" xr:uid="{325A3424-E7B6-461A-A737-E86EF74ADABF}"/>
    <hyperlink ref="M75" r:id="rId112" xr:uid="{244AFE2C-C20D-44D2-8534-E42BDD58E6BD}"/>
    <hyperlink ref="M74" r:id="rId113" xr:uid="{AC70DE36-5B86-4AE4-B7D4-554D4F956DAD}"/>
    <hyperlink ref="L23" r:id="rId114" xr:uid="{E47B05A2-C47A-462D-B891-FE99D2C92A36}"/>
    <hyperlink ref="L24" r:id="rId115" xr:uid="{8BBFCA19-5067-493D-90DF-0F18677BFE47}"/>
    <hyperlink ref="M23" r:id="rId116" xr:uid="{6560039D-A168-4780-8E30-F0BE0C16FE27}"/>
    <hyperlink ref="L83" r:id="rId117" xr:uid="{959CB4D7-74F2-410A-AD16-9D2E5CA56BE3}"/>
    <hyperlink ref="M83" r:id="rId118" xr:uid="{A93D4F01-F79B-431D-93AB-4D1CD6BB2144}"/>
    <hyperlink ref="M99" r:id="rId119" xr:uid="{32A6015B-F3C5-405B-A284-7F76A971B751}"/>
    <hyperlink ref="L99" r:id="rId120" xr:uid="{910DB508-DE60-4A44-827A-6E1102559A6C}"/>
    <hyperlink ref="M6" r:id="rId121" xr:uid="{064F25AC-715C-4F2E-8500-8A24A7F29D0C}"/>
    <hyperlink ref="L6" r:id="rId122" xr:uid="{61FD3AEF-707A-4219-B6B6-C3E23BB33B7F}"/>
    <hyperlink ref="L57" r:id="rId123" xr:uid="{B5C999EB-80D1-49FB-8942-E8F02E92DAF7}"/>
    <hyperlink ref="M114" r:id="rId124" xr:uid="{034446B4-7DFE-4D4A-B271-389E0A2D5E21}"/>
    <hyperlink ref="L124" r:id="rId125" xr:uid="{3A7E5DDE-5CCB-4A1C-91FF-CF46C5551A16}"/>
    <hyperlink ref="L106" r:id="rId126" xr:uid="{9EC58E23-C790-4B6C-AAA9-AC5CB3D0923A}"/>
    <hyperlink ref="M106" r:id="rId127" xr:uid="{91F3DA85-DEC4-4F28-92B9-FB2C2C97ECC6}"/>
    <hyperlink ref="M73" r:id="rId128" xr:uid="{BE5CE857-A56F-4A82-A7C5-91D6C29AAE19}"/>
    <hyperlink ref="K104" r:id="rId129" display="PHOTO" xr:uid="{0685F1BA-9E38-44F5-B00A-7318E48D0E94}"/>
    <hyperlink ref="J18" r:id="rId130" display="PHOTO" xr:uid="{B347F006-8107-4D22-B330-3C7F4DD10EE3}"/>
    <hyperlink ref="L18" r:id="rId131" display="SHEET" xr:uid="{DB6273C9-D0BC-4F0F-AC0A-A998DEB52DD1}"/>
    <hyperlink ref="K18" r:id="rId132" display="PHOTO" xr:uid="{B464AAA4-883B-4D22-AA8F-F127170D7FBB}"/>
    <hyperlink ref="L30" r:id="rId133" xr:uid="{FEC59ECC-276B-4590-9133-E972138A8973}"/>
    <hyperlink ref="L59" r:id="rId134" xr:uid="{990EB830-42D8-41FD-AE38-A10B038C73FB}"/>
    <hyperlink ref="L80" r:id="rId135" xr:uid="{421A3391-99FA-407B-A0EB-33457BCC30C7}"/>
    <hyperlink ref="L48" r:id="rId136" xr:uid="{2EF79D14-5DD4-42E5-8F9E-7334F5EBE0D1}"/>
    <hyperlink ref="L68" r:id="rId137" xr:uid="{F8A8436E-1739-41DA-9599-62DD1D69E381}"/>
    <hyperlink ref="L61" r:id="rId138" xr:uid="{FD896C22-71FC-4223-B580-5F6FF311A514}"/>
    <hyperlink ref="L63" r:id="rId139" xr:uid="{926EC41C-26E5-4434-AE61-8345DD7A65A5}"/>
    <hyperlink ref="L62" r:id="rId140" xr:uid="{4900899A-4D22-454F-BA08-2DD89A6B2DAB}"/>
    <hyperlink ref="L70" r:id="rId141" xr:uid="{882DD0DC-C23F-48AE-93A5-AA3652117A62}"/>
    <hyperlink ref="L66" r:id="rId142" xr:uid="{910DA166-8B07-4EAD-ACD7-F1AAA7AA6787}"/>
    <hyperlink ref="L64" r:id="rId143" xr:uid="{ED010D2D-621E-42A0-AC5A-B42C1250FFA9}"/>
    <hyperlink ref="L67" r:id="rId144" xr:uid="{DBCC1B99-FCB8-44B2-81E0-BD15C008D624}"/>
    <hyperlink ref="L69" r:id="rId145" xr:uid="{2A284B3A-3428-4E05-AD29-BB01373AB430}"/>
    <hyperlink ref="M54" r:id="rId146" xr:uid="{D5D82EC3-D2FA-4984-A403-8F4BD590367E}"/>
    <hyperlink ref="M55" r:id="rId147" xr:uid="{A8109C9A-738A-4559-B7E3-DA900180F60B}"/>
    <hyperlink ref="L65" r:id="rId148" display="PHOTO" xr:uid="{A23CE755-BE69-4E6C-93D2-C64F9F7BF44F}"/>
    <hyperlink ref="L11" r:id="rId149" xr:uid="{84F2CF67-4522-402A-82F9-5187C550A58A}"/>
    <hyperlink ref="M11" r:id="rId150" xr:uid="{B23E8085-07BA-42D4-9BCD-78B51D16627A}"/>
    <hyperlink ref="L49" r:id="rId151" xr:uid="{4901313D-2CEF-44F4-8087-FAFB6D24A045}"/>
    <hyperlink ref="L35" r:id="rId152" xr:uid="{6C2F98CC-D566-491C-8B62-3AC4675A0018}"/>
    <hyperlink ref="L34" r:id="rId153" xr:uid="{86A5290D-46A7-49D6-988A-7E031C7024E1}"/>
    <hyperlink ref="L31" r:id="rId154" xr:uid="{46852C8D-9272-4BFC-B30E-BC31D76E9A20}"/>
    <hyperlink ref="L32" r:id="rId155" xr:uid="{D8A9F847-85AE-413B-BB74-C42143C180DA}"/>
    <hyperlink ref="L56" r:id="rId156" xr:uid="{68CE2A52-ED9D-469C-86A6-AC01F413E556}"/>
    <hyperlink ref="L14" r:id="rId157" xr:uid="{BF2B5A9E-71C7-4ABC-878E-6C461155719A}"/>
    <hyperlink ref="M95" r:id="rId158" xr:uid="{5CA28931-55A3-416D-8694-675193AF9363}"/>
    <hyperlink ref="M94" r:id="rId159" xr:uid="{D0EDDB63-A363-4C82-BBC8-7C67D8E2097A}"/>
    <hyperlink ref="L96" r:id="rId160" xr:uid="{4C810A86-3ECE-4707-91A4-6373B9A08A97}"/>
    <hyperlink ref="L123:L128" r:id="rId161" display="PHOTO" xr:uid="{E74AD731-DC47-4121-9E27-3EA41272B11D}"/>
    <hyperlink ref="M122:M136" r:id="rId162" display="SHEET" xr:uid="{3DBB3B2A-D49C-4165-A7FA-996F837D0F3F}"/>
  </hyperlinks>
  <pageMargins left="0.7" right="0.7" top="0.75" bottom="0.75" header="0.3" footer="0.3"/>
  <legacyDrawing r:id="rId16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CDFA-74F0-4670-9CA5-9B666F8F9BB5}">
  <sheetPr published="0">
    <tabColor theme="5" tint="0.59999389629810485"/>
  </sheetPr>
  <dimension ref="A1:AZ131"/>
  <sheetViews>
    <sheetView zoomScale="85" zoomScaleNormal="85" workbookViewId="0">
      <pane xSplit="2" ySplit="2" topLeftCell="C3" activePane="bottomRight" state="frozenSplit"/>
      <selection pane="topRight" activeCell="C1" sqref="C1"/>
      <selection pane="bottomLeft" activeCell="A21" sqref="A21"/>
      <selection pane="bottomRight" activeCell="A2" sqref="A2"/>
    </sheetView>
  </sheetViews>
  <sheetFormatPr defaultColWidth="10.5703125" defaultRowHeight="15"/>
  <cols>
    <col min="1" max="1" width="22.7109375" bestFit="1" customWidth="1"/>
    <col min="2" max="2" width="85.42578125" customWidth="1"/>
    <col min="3" max="3" width="122" style="223" customWidth="1"/>
    <col min="4" max="4" width="112.140625" style="18" bestFit="1" customWidth="1"/>
    <col min="5" max="5" width="8.85546875" style="140" bestFit="1" customWidth="1"/>
    <col min="6" max="6" width="8.85546875" style="140" customWidth="1"/>
    <col min="7" max="9" width="8.85546875" style="140" bestFit="1" customWidth="1"/>
    <col min="10" max="10" width="11" style="140" bestFit="1" customWidth="1"/>
    <col min="11" max="11" width="9" style="11" bestFit="1" customWidth="1"/>
    <col min="12" max="12" width="6.5703125" style="11" bestFit="1" customWidth="1"/>
    <col min="13" max="13" width="4.140625" style="11" bestFit="1" customWidth="1"/>
    <col min="14" max="14" width="12.7109375" style="18" bestFit="1" customWidth="1"/>
    <col min="15" max="15" width="11.85546875" style="20" bestFit="1" customWidth="1"/>
    <col min="16" max="16" width="11.85546875" style="69" bestFit="1" customWidth="1"/>
    <col min="17" max="17" width="8.42578125" style="18" bestFit="1" customWidth="1"/>
    <col min="18" max="18" width="10.28515625" bestFit="1" customWidth="1"/>
    <col min="19" max="19" width="13.28515625" style="142" bestFit="1" customWidth="1"/>
    <col min="20" max="20" width="3.5703125" customWidth="1"/>
    <col min="21" max="21" width="2.28515625" bestFit="1" customWidth="1"/>
    <col min="22" max="22" width="13.85546875" customWidth="1"/>
  </cols>
  <sheetData>
    <row r="1" spans="1:52" s="2" customFormat="1" ht="45">
      <c r="A1" s="177" t="s">
        <v>2212</v>
      </c>
      <c r="B1" s="1"/>
      <c r="C1" s="1"/>
      <c r="D1" s="348" t="s">
        <v>1039</v>
      </c>
      <c r="E1" s="348"/>
      <c r="F1" s="348"/>
      <c r="G1" s="348"/>
      <c r="H1" s="348"/>
      <c r="I1" s="348"/>
      <c r="J1" s="348"/>
      <c r="K1" s="348"/>
      <c r="L1" s="348"/>
      <c r="M1" s="348"/>
      <c r="N1" s="9">
        <v>125</v>
      </c>
      <c r="O1" s="54"/>
      <c r="P1" s="68"/>
      <c r="Q1" s="229"/>
      <c r="R1" s="353" t="s">
        <v>213</v>
      </c>
      <c r="S1" s="354"/>
    </row>
    <row r="2" spans="1:52" s="12" customFormat="1" ht="47.25">
      <c r="A2" s="10" t="s">
        <v>140</v>
      </c>
      <c r="B2" s="10" t="s">
        <v>141</v>
      </c>
      <c r="C2" s="163" t="s">
        <v>142</v>
      </c>
      <c r="D2" s="10" t="s">
        <v>143</v>
      </c>
      <c r="E2" s="4" t="s">
        <v>1950</v>
      </c>
      <c r="F2" s="4" t="s">
        <v>1951</v>
      </c>
      <c r="G2" s="4" t="s">
        <v>1952</v>
      </c>
      <c r="H2" s="4" t="s">
        <v>1953</v>
      </c>
      <c r="I2" s="4" t="s">
        <v>1954</v>
      </c>
      <c r="J2" s="4" t="s">
        <v>1955</v>
      </c>
      <c r="K2" s="10" t="s">
        <v>768</v>
      </c>
      <c r="L2" s="355" t="s">
        <v>1685</v>
      </c>
      <c r="M2" s="356"/>
      <c r="N2" s="10" t="s">
        <v>144</v>
      </c>
      <c r="O2" s="219" t="s">
        <v>145</v>
      </c>
      <c r="P2" s="219" t="s">
        <v>146</v>
      </c>
      <c r="Q2" s="10" t="s">
        <v>147</v>
      </c>
      <c r="R2" s="202" t="s">
        <v>148</v>
      </c>
      <c r="S2" s="219" t="s">
        <v>149</v>
      </c>
    </row>
    <row r="3" spans="1:52">
      <c r="A3" s="162" t="s">
        <v>521</v>
      </c>
      <c r="B3" s="144" t="s">
        <v>555</v>
      </c>
      <c r="C3" s="144" t="s">
        <v>967</v>
      </c>
      <c r="D3" s="145" t="s">
        <v>855</v>
      </c>
      <c r="E3" s="172" t="s">
        <v>454</v>
      </c>
      <c r="F3" s="159"/>
      <c r="G3" s="159"/>
      <c r="H3" s="159"/>
      <c r="I3" s="159"/>
      <c r="J3" s="159"/>
      <c r="K3" s="148" t="s">
        <v>768</v>
      </c>
      <c r="L3" s="148" t="s">
        <v>1684</v>
      </c>
      <c r="M3" s="148"/>
      <c r="N3" s="149" t="s">
        <v>10</v>
      </c>
      <c r="O3" s="150">
        <v>463.77</v>
      </c>
      <c r="P3" s="150">
        <v>772.95</v>
      </c>
      <c r="Q3" s="145">
        <v>0.5</v>
      </c>
      <c r="R3" s="199">
        <f t="shared" ref="R3:R61" si="0">$N$1</f>
        <v>125</v>
      </c>
      <c r="S3" s="152">
        <f t="shared" ref="S3:S67" si="1">Q3*R3+P3</f>
        <v>835.45</v>
      </c>
      <c r="T3" s="12"/>
    </row>
    <row r="4" spans="1:52">
      <c r="A4" s="162" t="s">
        <v>871</v>
      </c>
      <c r="B4" s="144" t="s">
        <v>1794</v>
      </c>
      <c r="C4" s="144" t="s">
        <v>1949</v>
      </c>
      <c r="D4" s="145" t="s">
        <v>1843</v>
      </c>
      <c r="E4" s="172" t="s">
        <v>454</v>
      </c>
      <c r="F4" s="159" t="s">
        <v>454</v>
      </c>
      <c r="G4" s="159" t="s">
        <v>454</v>
      </c>
      <c r="H4" s="159" t="s">
        <v>454</v>
      </c>
      <c r="I4" s="159" t="s">
        <v>454</v>
      </c>
      <c r="J4" s="159" t="s">
        <v>454</v>
      </c>
      <c r="K4" s="148" t="s">
        <v>768</v>
      </c>
      <c r="L4" s="148"/>
      <c r="M4" s="148"/>
      <c r="N4" s="149" t="s">
        <v>59</v>
      </c>
      <c r="O4" s="150">
        <v>1750</v>
      </c>
      <c r="P4" s="150">
        <v>2295.9499999999998</v>
      </c>
      <c r="Q4" s="145">
        <v>1.5</v>
      </c>
      <c r="R4" s="199">
        <f t="shared" si="0"/>
        <v>125</v>
      </c>
      <c r="S4" s="152">
        <f t="shared" si="1"/>
        <v>2483.4499999999998</v>
      </c>
      <c r="T4" s="12"/>
    </row>
    <row r="5" spans="1:52">
      <c r="A5" s="162" t="s">
        <v>1927</v>
      </c>
      <c r="B5" s="144" t="s">
        <v>1988</v>
      </c>
      <c r="C5" s="144" t="s">
        <v>1989</v>
      </c>
      <c r="D5" s="145" t="s">
        <v>1926</v>
      </c>
      <c r="E5" s="172" t="s">
        <v>454</v>
      </c>
      <c r="F5" s="159" t="s">
        <v>454</v>
      </c>
      <c r="G5" s="159" t="s">
        <v>454</v>
      </c>
      <c r="H5" s="159" t="s">
        <v>454</v>
      </c>
      <c r="I5" s="159" t="s">
        <v>454</v>
      </c>
      <c r="J5" s="159" t="s">
        <v>454</v>
      </c>
      <c r="K5" s="167" t="s">
        <v>768</v>
      </c>
      <c r="L5" s="167" t="s">
        <v>1684</v>
      </c>
      <c r="M5" s="167"/>
      <c r="N5" s="149" t="s">
        <v>0</v>
      </c>
      <c r="O5" s="169">
        <v>102.1</v>
      </c>
      <c r="P5" s="169">
        <v>169.95</v>
      </c>
      <c r="Q5" s="145">
        <v>0</v>
      </c>
      <c r="R5" s="199">
        <f t="shared" si="0"/>
        <v>125</v>
      </c>
      <c r="S5" s="153">
        <f t="shared" si="1"/>
        <v>169.95</v>
      </c>
      <c r="T5" s="12"/>
    </row>
    <row r="6" spans="1:52">
      <c r="A6" s="162" t="s">
        <v>523</v>
      </c>
      <c r="B6" s="144" t="s">
        <v>1990</v>
      </c>
      <c r="C6" s="144" t="s">
        <v>1991</v>
      </c>
      <c r="D6" s="145" t="s">
        <v>1992</v>
      </c>
      <c r="E6" s="172" t="s">
        <v>454</v>
      </c>
      <c r="F6" s="159" t="s">
        <v>454</v>
      </c>
      <c r="G6" s="159" t="s">
        <v>454</v>
      </c>
      <c r="H6" s="159" t="s">
        <v>454</v>
      </c>
      <c r="I6" s="159" t="s">
        <v>454</v>
      </c>
      <c r="J6" s="159" t="s">
        <v>454</v>
      </c>
      <c r="K6" s="167" t="s">
        <v>768</v>
      </c>
      <c r="L6" s="167"/>
      <c r="M6" s="167"/>
      <c r="N6" s="149" t="s">
        <v>4</v>
      </c>
      <c r="O6" s="169">
        <v>232.17</v>
      </c>
      <c r="P6" s="169">
        <v>386.95</v>
      </c>
      <c r="Q6" s="145">
        <v>0.4</v>
      </c>
      <c r="R6" s="199">
        <f t="shared" si="0"/>
        <v>125</v>
      </c>
      <c r="S6" s="153">
        <f t="shared" si="1"/>
        <v>436.95</v>
      </c>
      <c r="T6" s="12"/>
    </row>
    <row r="7" spans="1:52">
      <c r="A7" s="162" t="s">
        <v>480</v>
      </c>
      <c r="B7" s="144" t="s">
        <v>544</v>
      </c>
      <c r="C7" s="144" t="s">
        <v>969</v>
      </c>
      <c r="D7" s="145"/>
      <c r="E7" s="172" t="s">
        <v>454</v>
      </c>
      <c r="F7" s="159" t="s">
        <v>454</v>
      </c>
      <c r="G7" s="159" t="s">
        <v>454</v>
      </c>
      <c r="H7" s="159" t="s">
        <v>454</v>
      </c>
      <c r="I7" s="159" t="s">
        <v>454</v>
      </c>
      <c r="J7" s="159" t="s">
        <v>454</v>
      </c>
      <c r="K7" s="203" t="s">
        <v>768</v>
      </c>
      <c r="L7" s="167" t="s">
        <v>1684</v>
      </c>
      <c r="M7" s="167"/>
      <c r="N7" s="149" t="s">
        <v>10</v>
      </c>
      <c r="O7" s="169">
        <v>203.37</v>
      </c>
      <c r="P7" s="169">
        <v>338.95</v>
      </c>
      <c r="Q7" s="145">
        <v>0.3</v>
      </c>
      <c r="R7" s="199">
        <f t="shared" si="0"/>
        <v>125</v>
      </c>
      <c r="S7" s="153">
        <f t="shared" si="1"/>
        <v>376.45</v>
      </c>
      <c r="T7" s="12"/>
    </row>
    <row r="8" spans="1:52">
      <c r="A8" s="162" t="s">
        <v>2078</v>
      </c>
      <c r="B8" s="144" t="s">
        <v>2082</v>
      </c>
      <c r="C8" s="144" t="s">
        <v>2087</v>
      </c>
      <c r="D8" s="145"/>
      <c r="E8" s="172" t="s">
        <v>454</v>
      </c>
      <c r="F8" s="159" t="s">
        <v>454</v>
      </c>
      <c r="G8" s="159" t="s">
        <v>454</v>
      </c>
      <c r="H8" s="159" t="s">
        <v>454</v>
      </c>
      <c r="I8" s="159" t="s">
        <v>454</v>
      </c>
      <c r="J8" s="159" t="s">
        <v>454</v>
      </c>
      <c r="K8" s="167"/>
      <c r="L8" s="167"/>
      <c r="M8" s="167"/>
      <c r="N8" s="149" t="s">
        <v>16</v>
      </c>
      <c r="O8" s="169">
        <v>131.37</v>
      </c>
      <c r="P8" s="169">
        <v>218.95</v>
      </c>
      <c r="Q8" s="145">
        <v>0.1</v>
      </c>
      <c r="R8" s="199">
        <f t="shared" ref="R8" si="2">$N$1</f>
        <v>125</v>
      </c>
      <c r="S8" s="153">
        <f>Q8*R8+P8</f>
        <v>231.45</v>
      </c>
    </row>
    <row r="9" spans="1:52">
      <c r="A9" s="162" t="s">
        <v>526</v>
      </c>
      <c r="B9" s="144" t="s">
        <v>539</v>
      </c>
      <c r="C9" s="144" t="s">
        <v>94</v>
      </c>
      <c r="D9" s="145" t="s">
        <v>128</v>
      </c>
      <c r="E9" s="172" t="s">
        <v>454</v>
      </c>
      <c r="F9" s="159" t="s">
        <v>454</v>
      </c>
      <c r="G9" s="159" t="s">
        <v>454</v>
      </c>
      <c r="H9" s="159" t="s">
        <v>454</v>
      </c>
      <c r="I9" s="159" t="s">
        <v>454</v>
      </c>
      <c r="J9" s="159" t="s">
        <v>454</v>
      </c>
      <c r="K9" s="167"/>
      <c r="L9" s="167" t="s">
        <v>1684</v>
      </c>
      <c r="M9" s="167"/>
      <c r="N9" s="149" t="s">
        <v>16</v>
      </c>
      <c r="O9" s="169">
        <v>37.67</v>
      </c>
      <c r="P9" s="169">
        <v>57.95</v>
      </c>
      <c r="Q9" s="145">
        <v>0</v>
      </c>
      <c r="R9" s="199">
        <f t="shared" si="0"/>
        <v>125</v>
      </c>
      <c r="S9" s="153">
        <f t="shared" si="1"/>
        <v>57.95</v>
      </c>
      <c r="T9" s="12"/>
    </row>
    <row r="10" spans="1:52">
      <c r="A10" s="162" t="s">
        <v>527</v>
      </c>
      <c r="B10" s="144" t="s">
        <v>795</v>
      </c>
      <c r="C10" s="144" t="s">
        <v>1936</v>
      </c>
      <c r="D10" s="145" t="s">
        <v>857</v>
      </c>
      <c r="E10" s="172" t="s">
        <v>454</v>
      </c>
      <c r="F10" s="159" t="s">
        <v>454</v>
      </c>
      <c r="G10" s="159" t="s">
        <v>454</v>
      </c>
      <c r="H10" s="159" t="s">
        <v>454</v>
      </c>
      <c r="I10" s="159" t="s">
        <v>454</v>
      </c>
      <c r="J10" s="159" t="s">
        <v>454</v>
      </c>
      <c r="K10" s="167" t="s">
        <v>768</v>
      </c>
      <c r="L10" s="167" t="s">
        <v>1684</v>
      </c>
      <c r="M10" s="167"/>
      <c r="N10" s="149" t="s">
        <v>16</v>
      </c>
      <c r="O10" s="169">
        <v>363.57</v>
      </c>
      <c r="P10" s="169">
        <v>605.95000000000005</v>
      </c>
      <c r="Q10" s="145">
        <v>0</v>
      </c>
      <c r="R10" s="199">
        <f t="shared" si="0"/>
        <v>125</v>
      </c>
      <c r="S10" s="153">
        <f t="shared" si="1"/>
        <v>605.95000000000005</v>
      </c>
      <c r="T10" s="12"/>
    </row>
    <row r="11" spans="1:52">
      <c r="A11" s="162" t="s">
        <v>1883</v>
      </c>
      <c r="B11" s="144" t="s">
        <v>1938</v>
      </c>
      <c r="C11" s="144" t="s">
        <v>1960</v>
      </c>
      <c r="D11" s="145"/>
      <c r="E11" s="172" t="s">
        <v>454</v>
      </c>
      <c r="F11" s="159" t="s">
        <v>454</v>
      </c>
      <c r="G11" s="159" t="s">
        <v>454</v>
      </c>
      <c r="H11" s="159" t="s">
        <v>454</v>
      </c>
      <c r="I11" s="159" t="s">
        <v>454</v>
      </c>
      <c r="J11" s="159" t="s">
        <v>454</v>
      </c>
      <c r="K11" s="167" t="s">
        <v>768</v>
      </c>
      <c r="L11" s="167" t="s">
        <v>1684</v>
      </c>
      <c r="M11" s="167"/>
      <c r="N11" s="149" t="s">
        <v>0</v>
      </c>
      <c r="O11" s="169">
        <v>122.97</v>
      </c>
      <c r="P11" s="169">
        <v>204.95</v>
      </c>
      <c r="Q11" s="145">
        <v>0.5</v>
      </c>
      <c r="R11" s="199">
        <f t="shared" si="0"/>
        <v>125</v>
      </c>
      <c r="S11" s="153">
        <f t="shared" si="1"/>
        <v>267.45</v>
      </c>
      <c r="T11" s="12"/>
    </row>
    <row r="12" spans="1:52">
      <c r="A12" s="162" t="s">
        <v>1681</v>
      </c>
      <c r="B12" s="144" t="s">
        <v>1884</v>
      </c>
      <c r="C12" s="144" t="s">
        <v>1972</v>
      </c>
      <c r="D12" s="145"/>
      <c r="E12" s="172" t="s">
        <v>454</v>
      </c>
      <c r="F12" s="159" t="s">
        <v>454</v>
      </c>
      <c r="G12" s="159" t="s">
        <v>454</v>
      </c>
      <c r="H12" s="159" t="s">
        <v>454</v>
      </c>
      <c r="I12" s="159" t="s">
        <v>454</v>
      </c>
      <c r="J12" s="159" t="s">
        <v>454</v>
      </c>
      <c r="K12" s="167" t="s">
        <v>768</v>
      </c>
      <c r="L12" s="167" t="s">
        <v>1684</v>
      </c>
      <c r="M12" s="167"/>
      <c r="N12" s="149" t="s">
        <v>0</v>
      </c>
      <c r="O12" s="169">
        <v>56.69</v>
      </c>
      <c r="P12" s="169">
        <v>94.95</v>
      </c>
      <c r="Q12" s="145">
        <v>0</v>
      </c>
      <c r="R12" s="199">
        <f t="shared" si="0"/>
        <v>125</v>
      </c>
      <c r="S12" s="153">
        <f t="shared" si="1"/>
        <v>94.95</v>
      </c>
      <c r="T12" s="12"/>
    </row>
    <row r="13" spans="1:52">
      <c r="A13" s="162" t="s">
        <v>1928</v>
      </c>
      <c r="B13" s="144" t="s">
        <v>1083</v>
      </c>
      <c r="C13" s="144" t="s">
        <v>2108</v>
      </c>
      <c r="D13" s="145"/>
      <c r="E13" s="172" t="s">
        <v>454</v>
      </c>
      <c r="F13" s="159" t="s">
        <v>454</v>
      </c>
      <c r="G13" s="159" t="s">
        <v>454</v>
      </c>
      <c r="H13" s="159" t="s">
        <v>454</v>
      </c>
      <c r="I13" s="159" t="s">
        <v>454</v>
      </c>
      <c r="J13" s="159" t="s">
        <v>454</v>
      </c>
      <c r="K13" s="167" t="s">
        <v>768</v>
      </c>
      <c r="L13" s="167"/>
      <c r="M13" s="167"/>
      <c r="N13" s="149" t="s">
        <v>0</v>
      </c>
      <c r="O13" s="169">
        <v>143.97</v>
      </c>
      <c r="P13" s="169">
        <v>239.95</v>
      </c>
      <c r="Q13" s="145">
        <v>0.7</v>
      </c>
      <c r="R13" s="199">
        <f t="shared" si="0"/>
        <v>125</v>
      </c>
      <c r="S13" s="153">
        <f t="shared" si="1"/>
        <v>327.45</v>
      </c>
      <c r="T13" s="12"/>
    </row>
    <row r="14" spans="1:52">
      <c r="A14" s="162" t="s">
        <v>1758</v>
      </c>
      <c r="B14" s="144" t="s">
        <v>1755</v>
      </c>
      <c r="C14" s="144" t="s">
        <v>2199</v>
      </c>
      <c r="D14" s="166" t="s">
        <v>1759</v>
      </c>
      <c r="E14" s="172" t="s">
        <v>454</v>
      </c>
      <c r="F14" s="159" t="s">
        <v>454</v>
      </c>
      <c r="G14" s="159" t="s">
        <v>454</v>
      </c>
      <c r="H14" s="159" t="s">
        <v>454</v>
      </c>
      <c r="I14" s="159" t="s">
        <v>454</v>
      </c>
      <c r="J14" s="159" t="s">
        <v>454</v>
      </c>
      <c r="K14" s="148" t="s">
        <v>768</v>
      </c>
      <c r="L14" s="148" t="s">
        <v>1684</v>
      </c>
      <c r="M14" s="148"/>
      <c r="N14" s="149" t="s">
        <v>59</v>
      </c>
      <c r="O14" s="150">
        <v>225</v>
      </c>
      <c r="P14" s="150">
        <v>319.95</v>
      </c>
      <c r="Q14" s="145">
        <v>0.7</v>
      </c>
      <c r="R14" s="199">
        <f t="shared" si="0"/>
        <v>125</v>
      </c>
      <c r="S14" s="152">
        <f t="shared" si="1"/>
        <v>407.45</v>
      </c>
      <c r="T14" s="12"/>
    </row>
    <row r="15" spans="1:52" s="201" customFormat="1" ht="12.75">
      <c r="A15" s="170" t="s">
        <v>2187</v>
      </c>
      <c r="B15" s="171" t="s">
        <v>2213</v>
      </c>
      <c r="C15" s="209" t="s">
        <v>2201</v>
      </c>
      <c r="D15" s="180" t="s">
        <v>2188</v>
      </c>
      <c r="E15" s="180" t="s">
        <v>454</v>
      </c>
      <c r="F15" s="180" t="s">
        <v>454</v>
      </c>
      <c r="G15" s="180" t="s">
        <v>454</v>
      </c>
      <c r="H15" s="180" t="s">
        <v>454</v>
      </c>
      <c r="I15" s="180" t="s">
        <v>454</v>
      </c>
      <c r="J15" s="180" t="s">
        <v>454</v>
      </c>
      <c r="K15" s="180"/>
      <c r="L15" s="180"/>
      <c r="M15" s="180"/>
      <c r="N15" s="210" t="s">
        <v>59</v>
      </c>
      <c r="O15" s="211">
        <v>489.99</v>
      </c>
      <c r="P15" s="211">
        <v>699.95</v>
      </c>
      <c r="Q15" s="212">
        <v>0.7</v>
      </c>
      <c r="R15" s="217">
        <f t="shared" si="0"/>
        <v>125</v>
      </c>
      <c r="S15" s="213">
        <f t="shared" si="1"/>
        <v>787.45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1:52">
      <c r="A16" s="162" t="s">
        <v>1757</v>
      </c>
      <c r="B16" s="144" t="s">
        <v>1756</v>
      </c>
      <c r="C16" s="144" t="s">
        <v>2200</v>
      </c>
      <c r="D16" s="166" t="s">
        <v>1759</v>
      </c>
      <c r="E16" s="172" t="s">
        <v>454</v>
      </c>
      <c r="F16" s="159" t="s">
        <v>454</v>
      </c>
      <c r="G16" s="159" t="s">
        <v>454</v>
      </c>
      <c r="H16" s="159" t="s">
        <v>454</v>
      </c>
      <c r="I16" s="159" t="s">
        <v>454</v>
      </c>
      <c r="J16" s="159" t="s">
        <v>454</v>
      </c>
      <c r="K16" s="148" t="s">
        <v>768</v>
      </c>
      <c r="L16" s="148" t="s">
        <v>1684</v>
      </c>
      <c r="M16" s="148"/>
      <c r="N16" s="149" t="s">
        <v>59</v>
      </c>
      <c r="O16" s="150">
        <v>598</v>
      </c>
      <c r="P16" s="150">
        <v>849.95</v>
      </c>
      <c r="Q16" s="145">
        <v>0.7</v>
      </c>
      <c r="R16" s="199">
        <f t="shared" si="0"/>
        <v>125</v>
      </c>
      <c r="S16" s="152">
        <f t="shared" si="1"/>
        <v>937.45</v>
      </c>
      <c r="T16" s="12"/>
    </row>
    <row r="17" spans="1:20">
      <c r="A17" s="162" t="s">
        <v>514</v>
      </c>
      <c r="B17" s="144" t="s">
        <v>550</v>
      </c>
      <c r="C17" s="144" t="s">
        <v>971</v>
      </c>
      <c r="D17" s="145" t="s">
        <v>58</v>
      </c>
      <c r="E17" s="172" t="s">
        <v>454</v>
      </c>
      <c r="F17" s="159" t="s">
        <v>454</v>
      </c>
      <c r="G17" s="159" t="s">
        <v>454</v>
      </c>
      <c r="H17" s="159" t="s">
        <v>454</v>
      </c>
      <c r="I17" s="159" t="s">
        <v>454</v>
      </c>
      <c r="J17" s="159" t="s">
        <v>454</v>
      </c>
      <c r="K17" s="148" t="s">
        <v>768</v>
      </c>
      <c r="L17" s="148" t="s">
        <v>1684</v>
      </c>
      <c r="M17" s="148"/>
      <c r="N17" s="149" t="s">
        <v>10</v>
      </c>
      <c r="O17" s="150">
        <v>76.17</v>
      </c>
      <c r="P17" s="150">
        <v>126.95</v>
      </c>
      <c r="Q17" s="145">
        <v>0.2</v>
      </c>
      <c r="R17" s="199">
        <f t="shared" si="0"/>
        <v>125</v>
      </c>
      <c r="S17" s="152">
        <f t="shared" si="1"/>
        <v>151.94999999999999</v>
      </c>
      <c r="T17" s="12"/>
    </row>
    <row r="18" spans="1:20">
      <c r="A18" s="162" t="s">
        <v>157</v>
      </c>
      <c r="B18" s="144" t="s">
        <v>207</v>
      </c>
      <c r="C18" s="144" t="s">
        <v>972</v>
      </c>
      <c r="D18" s="145" t="s">
        <v>56</v>
      </c>
      <c r="E18" s="172" t="s">
        <v>454</v>
      </c>
      <c r="F18" s="159" t="s">
        <v>454</v>
      </c>
      <c r="G18" s="159" t="s">
        <v>454</v>
      </c>
      <c r="H18" s="159" t="s">
        <v>454</v>
      </c>
      <c r="I18" s="159" t="s">
        <v>454</v>
      </c>
      <c r="J18" s="159" t="s">
        <v>454</v>
      </c>
      <c r="K18" s="148" t="s">
        <v>768</v>
      </c>
      <c r="L18" s="148" t="s">
        <v>1684</v>
      </c>
      <c r="M18" s="148"/>
      <c r="N18" s="149" t="s">
        <v>10</v>
      </c>
      <c r="O18" s="150">
        <v>141.57</v>
      </c>
      <c r="P18" s="150">
        <v>235.95</v>
      </c>
      <c r="Q18" s="145">
        <v>0.2</v>
      </c>
      <c r="R18" s="199">
        <f t="shared" si="0"/>
        <v>125</v>
      </c>
      <c r="S18" s="152">
        <f t="shared" si="1"/>
        <v>260.95</v>
      </c>
      <c r="T18" s="12"/>
    </row>
    <row r="19" spans="1:20">
      <c r="A19" s="162" t="s">
        <v>1080</v>
      </c>
      <c r="B19" s="144" t="s">
        <v>1081</v>
      </c>
      <c r="C19" s="144" t="s">
        <v>2024</v>
      </c>
      <c r="D19" s="145" t="s">
        <v>732</v>
      </c>
      <c r="E19" s="172" t="s">
        <v>454</v>
      </c>
      <c r="F19" s="159" t="s">
        <v>454</v>
      </c>
      <c r="G19" s="159" t="s">
        <v>454</v>
      </c>
      <c r="H19" s="159" t="s">
        <v>454</v>
      </c>
      <c r="I19" s="159" t="s">
        <v>454</v>
      </c>
      <c r="J19" s="159" t="s">
        <v>454</v>
      </c>
      <c r="K19" s="148" t="s">
        <v>768</v>
      </c>
      <c r="L19" s="148"/>
      <c r="M19" s="148"/>
      <c r="N19" s="149" t="s">
        <v>0</v>
      </c>
      <c r="O19" s="150">
        <v>173.37</v>
      </c>
      <c r="P19" s="150">
        <v>288.95</v>
      </c>
      <c r="Q19" s="145">
        <v>0.2</v>
      </c>
      <c r="R19" s="199">
        <f t="shared" si="0"/>
        <v>125</v>
      </c>
      <c r="S19" s="152">
        <f t="shared" si="1"/>
        <v>313.95</v>
      </c>
      <c r="T19" s="12"/>
    </row>
    <row r="20" spans="1:20">
      <c r="A20" s="162" t="s">
        <v>1885</v>
      </c>
      <c r="B20" s="144" t="s">
        <v>1087</v>
      </c>
      <c r="C20" s="144" t="s">
        <v>1971</v>
      </c>
      <c r="D20" s="145"/>
      <c r="E20" s="172" t="s">
        <v>454</v>
      </c>
      <c r="F20" s="159" t="s">
        <v>454</v>
      </c>
      <c r="G20" s="159" t="s">
        <v>454</v>
      </c>
      <c r="H20" s="159" t="s">
        <v>454</v>
      </c>
      <c r="I20" s="159" t="s">
        <v>454</v>
      </c>
      <c r="J20" s="159" t="s">
        <v>454</v>
      </c>
      <c r="K20" s="167" t="s">
        <v>768</v>
      </c>
      <c r="L20" s="167" t="s">
        <v>410</v>
      </c>
      <c r="M20" s="167" t="s">
        <v>410</v>
      </c>
      <c r="N20" s="149" t="s">
        <v>10</v>
      </c>
      <c r="O20" s="169">
        <v>454.17</v>
      </c>
      <c r="P20" s="169">
        <v>756.95</v>
      </c>
      <c r="Q20" s="145">
        <v>2</v>
      </c>
      <c r="R20" s="199">
        <f t="shared" si="0"/>
        <v>125</v>
      </c>
      <c r="S20" s="153">
        <f t="shared" si="1"/>
        <v>1006.95</v>
      </c>
      <c r="T20" s="12"/>
    </row>
    <row r="21" spans="1:20">
      <c r="A21" s="164" t="s">
        <v>1816</v>
      </c>
      <c r="B21" s="165" t="s">
        <v>1072</v>
      </c>
      <c r="C21" s="165" t="s">
        <v>1076</v>
      </c>
      <c r="D21" s="184" t="s">
        <v>2202</v>
      </c>
      <c r="E21" s="204" t="s">
        <v>454</v>
      </c>
      <c r="F21" s="205" t="s">
        <v>454</v>
      </c>
      <c r="G21" s="205" t="s">
        <v>454</v>
      </c>
      <c r="H21" s="205" t="s">
        <v>454</v>
      </c>
      <c r="I21" s="205" t="s">
        <v>454</v>
      </c>
      <c r="J21" s="205" t="s">
        <v>454</v>
      </c>
      <c r="K21" s="181" t="s">
        <v>768</v>
      </c>
      <c r="L21" s="181" t="s">
        <v>2214</v>
      </c>
      <c r="M21" s="181" t="s">
        <v>2215</v>
      </c>
      <c r="N21" s="182" t="s">
        <v>4</v>
      </c>
      <c r="O21" s="183">
        <v>75.268299999999996</v>
      </c>
      <c r="P21" s="183">
        <v>112.95</v>
      </c>
      <c r="Q21" s="184">
        <v>1</v>
      </c>
      <c r="R21" s="217">
        <f t="shared" si="0"/>
        <v>125</v>
      </c>
      <c r="S21" s="185">
        <f t="shared" si="1"/>
        <v>237.95</v>
      </c>
      <c r="T21" s="12"/>
    </row>
    <row r="22" spans="1:20">
      <c r="A22" s="162" t="s">
        <v>1074</v>
      </c>
      <c r="B22" s="144" t="s">
        <v>1073</v>
      </c>
      <c r="C22" s="144" t="s">
        <v>1077</v>
      </c>
      <c r="D22" s="145" t="s">
        <v>2203</v>
      </c>
      <c r="E22" s="172" t="s">
        <v>454</v>
      </c>
      <c r="F22" s="159" t="s">
        <v>454</v>
      </c>
      <c r="G22" s="159" t="s">
        <v>454</v>
      </c>
      <c r="H22" s="159" t="s">
        <v>454</v>
      </c>
      <c r="I22" s="159" t="s">
        <v>454</v>
      </c>
      <c r="J22" s="159" t="s">
        <v>454</v>
      </c>
      <c r="K22" s="167" t="s">
        <v>768</v>
      </c>
      <c r="L22" s="167"/>
      <c r="M22"/>
      <c r="N22" s="149" t="s">
        <v>4</v>
      </c>
      <c r="O22" s="169">
        <v>65.727199999999996</v>
      </c>
      <c r="P22" s="169">
        <v>98.95</v>
      </c>
      <c r="Q22" s="145">
        <v>0</v>
      </c>
      <c r="R22" s="199">
        <f t="shared" si="0"/>
        <v>125</v>
      </c>
      <c r="S22" s="153">
        <f t="shared" si="1"/>
        <v>98.95</v>
      </c>
      <c r="T22" s="12"/>
    </row>
    <row r="23" spans="1:20">
      <c r="A23" s="162" t="s">
        <v>1886</v>
      </c>
      <c r="B23" s="144" t="s">
        <v>293</v>
      </c>
      <c r="C23" s="144" t="s">
        <v>2092</v>
      </c>
      <c r="D23" s="145"/>
      <c r="E23" s="172" t="s">
        <v>454</v>
      </c>
      <c r="F23" s="159" t="s">
        <v>454</v>
      </c>
      <c r="G23" s="159" t="s">
        <v>454</v>
      </c>
      <c r="H23" s="159" t="s">
        <v>454</v>
      </c>
      <c r="I23" s="159" t="s">
        <v>454</v>
      </c>
      <c r="J23" s="159" t="s">
        <v>454</v>
      </c>
      <c r="K23" s="167" t="s">
        <v>768</v>
      </c>
      <c r="L23" s="167"/>
      <c r="M23" s="167"/>
      <c r="N23" s="149" t="s">
        <v>10</v>
      </c>
      <c r="O23" s="169">
        <v>66.56</v>
      </c>
      <c r="P23" s="169">
        <v>110.95</v>
      </c>
      <c r="Q23" s="145">
        <v>0.3</v>
      </c>
      <c r="R23" s="199">
        <f t="shared" si="0"/>
        <v>125</v>
      </c>
      <c r="S23" s="153">
        <f t="shared" si="1"/>
        <v>148.44999999999999</v>
      </c>
      <c r="T23" s="12"/>
    </row>
    <row r="24" spans="1:20">
      <c r="A24" s="162" t="s">
        <v>1887</v>
      </c>
      <c r="B24" s="144" t="s">
        <v>545</v>
      </c>
      <c r="C24" s="144" t="s">
        <v>2093</v>
      </c>
      <c r="D24" s="145"/>
      <c r="E24" s="172" t="s">
        <v>454</v>
      </c>
      <c r="F24" s="159" t="s">
        <v>454</v>
      </c>
      <c r="G24" s="159" t="s">
        <v>454</v>
      </c>
      <c r="H24" s="159" t="s">
        <v>454</v>
      </c>
      <c r="I24" s="159" t="s">
        <v>454</v>
      </c>
      <c r="J24" s="159" t="s">
        <v>454</v>
      </c>
      <c r="K24" s="167" t="s">
        <v>768</v>
      </c>
      <c r="L24" s="167"/>
      <c r="M24" s="167"/>
      <c r="N24" s="149" t="s">
        <v>10</v>
      </c>
      <c r="O24" s="169">
        <v>66.56</v>
      </c>
      <c r="P24" s="169">
        <v>110.95</v>
      </c>
      <c r="Q24" s="145">
        <v>0.3</v>
      </c>
      <c r="R24" s="199">
        <f t="shared" si="0"/>
        <v>125</v>
      </c>
      <c r="S24" s="153">
        <f t="shared" si="1"/>
        <v>148.44999999999999</v>
      </c>
      <c r="T24" s="12"/>
    </row>
    <row r="25" spans="1:20">
      <c r="A25" s="162" t="s">
        <v>1888</v>
      </c>
      <c r="B25" s="144" t="s">
        <v>546</v>
      </c>
      <c r="C25" s="144" t="s">
        <v>2094</v>
      </c>
      <c r="D25" s="145"/>
      <c r="E25" s="172" t="s">
        <v>454</v>
      </c>
      <c r="F25" s="159" t="s">
        <v>454</v>
      </c>
      <c r="G25" s="159" t="s">
        <v>454</v>
      </c>
      <c r="H25" s="159" t="s">
        <v>454</v>
      </c>
      <c r="I25" s="159" t="s">
        <v>454</v>
      </c>
      <c r="J25" s="159" t="s">
        <v>454</v>
      </c>
      <c r="K25" s="167" t="s">
        <v>768</v>
      </c>
      <c r="L25" s="167"/>
      <c r="M25" s="167"/>
      <c r="N25" s="149" t="s">
        <v>10</v>
      </c>
      <c r="O25" s="169">
        <v>66.56</v>
      </c>
      <c r="P25" s="169">
        <v>110.95</v>
      </c>
      <c r="Q25" s="145">
        <v>0.3</v>
      </c>
      <c r="R25" s="199">
        <f t="shared" si="0"/>
        <v>125</v>
      </c>
      <c r="S25" s="153">
        <f t="shared" si="1"/>
        <v>148.44999999999999</v>
      </c>
      <c r="T25" s="12"/>
    </row>
    <row r="26" spans="1:20">
      <c r="A26" s="162" t="s">
        <v>2075</v>
      </c>
      <c r="B26" s="144" t="s">
        <v>2073</v>
      </c>
      <c r="C26" s="144" t="s">
        <v>2076</v>
      </c>
      <c r="D26" s="145"/>
      <c r="E26" s="159" t="s">
        <v>454</v>
      </c>
      <c r="F26" s="159" t="s">
        <v>454</v>
      </c>
      <c r="G26" s="159" t="s">
        <v>454</v>
      </c>
      <c r="H26" s="159" t="s">
        <v>454</v>
      </c>
      <c r="I26" s="159" t="s">
        <v>454</v>
      </c>
      <c r="J26" s="159" t="s">
        <v>454</v>
      </c>
      <c r="K26" s="167" t="s">
        <v>768</v>
      </c>
      <c r="L26" s="149"/>
      <c r="M26" s="149"/>
      <c r="N26" s="149" t="s">
        <v>10</v>
      </c>
      <c r="O26" s="169">
        <v>832</v>
      </c>
      <c r="P26" s="169">
        <v>1386.95</v>
      </c>
      <c r="Q26" s="145">
        <v>0.6</v>
      </c>
      <c r="R26" s="199">
        <f t="shared" si="0"/>
        <v>125</v>
      </c>
      <c r="S26" s="153">
        <f t="shared" si="1"/>
        <v>1461.95</v>
      </c>
      <c r="T26" s="12"/>
    </row>
    <row r="27" spans="1:20">
      <c r="A27" s="162" t="s">
        <v>533</v>
      </c>
      <c r="B27" s="144" t="s">
        <v>1993</v>
      </c>
      <c r="C27" s="144" t="s">
        <v>1994</v>
      </c>
      <c r="D27" s="145" t="s">
        <v>410</v>
      </c>
      <c r="E27" s="172" t="s">
        <v>454</v>
      </c>
      <c r="F27" s="159" t="s">
        <v>454</v>
      </c>
      <c r="G27" s="159" t="s">
        <v>454</v>
      </c>
      <c r="H27" s="159" t="s">
        <v>454</v>
      </c>
      <c r="I27" s="159" t="s">
        <v>454</v>
      </c>
      <c r="J27" s="159" t="s">
        <v>454</v>
      </c>
      <c r="K27" s="167" t="s">
        <v>768</v>
      </c>
      <c r="L27" s="167" t="s">
        <v>410</v>
      </c>
      <c r="M27" s="167"/>
      <c r="N27" s="149" t="s">
        <v>0</v>
      </c>
      <c r="O27" s="169">
        <v>160.77000000000001</v>
      </c>
      <c r="P27" s="169">
        <v>267.95</v>
      </c>
      <c r="Q27" s="145">
        <v>1.5</v>
      </c>
      <c r="R27" s="199">
        <f t="shared" si="0"/>
        <v>125</v>
      </c>
      <c r="S27" s="153">
        <f t="shared" si="1"/>
        <v>455.45</v>
      </c>
      <c r="T27" s="12"/>
    </row>
    <row r="28" spans="1:20">
      <c r="A28" s="162" t="s">
        <v>1925</v>
      </c>
      <c r="B28" s="144" t="s">
        <v>1987</v>
      </c>
      <c r="C28" s="144" t="s">
        <v>1995</v>
      </c>
      <c r="D28" s="145" t="s">
        <v>858</v>
      </c>
      <c r="E28" s="172" t="s">
        <v>454</v>
      </c>
      <c r="F28" s="159" t="s">
        <v>454</v>
      </c>
      <c r="G28" s="159" t="s">
        <v>454</v>
      </c>
      <c r="H28" s="159" t="s">
        <v>454</v>
      </c>
      <c r="I28" s="159" t="s">
        <v>454</v>
      </c>
      <c r="J28" s="159" t="s">
        <v>454</v>
      </c>
      <c r="K28" s="167" t="s">
        <v>768</v>
      </c>
      <c r="L28" s="167" t="s">
        <v>1684</v>
      </c>
      <c r="M28" s="167"/>
      <c r="N28" s="149" t="s">
        <v>0</v>
      </c>
      <c r="O28" s="169">
        <v>110.22</v>
      </c>
      <c r="P28" s="169">
        <v>183.95</v>
      </c>
      <c r="Q28" s="145">
        <v>0</v>
      </c>
      <c r="R28" s="199">
        <f t="shared" si="0"/>
        <v>125</v>
      </c>
      <c r="S28" s="153">
        <f t="shared" si="1"/>
        <v>183.95</v>
      </c>
      <c r="T28" s="12"/>
    </row>
    <row r="29" spans="1:20">
      <c r="A29" s="162" t="s">
        <v>2020</v>
      </c>
      <c r="B29" s="144" t="s">
        <v>2037</v>
      </c>
      <c r="C29" s="144" t="s">
        <v>2023</v>
      </c>
      <c r="D29" s="149"/>
      <c r="E29" s="172" t="s">
        <v>454</v>
      </c>
      <c r="F29" s="159" t="s">
        <v>454</v>
      </c>
      <c r="G29" s="159" t="s">
        <v>454</v>
      </c>
      <c r="H29" s="159" t="s">
        <v>454</v>
      </c>
      <c r="I29" s="159" t="s">
        <v>454</v>
      </c>
      <c r="J29" s="159" t="s">
        <v>454</v>
      </c>
      <c r="K29" s="167" t="s">
        <v>768</v>
      </c>
      <c r="L29" s="167"/>
      <c r="M29" s="167"/>
      <c r="N29" s="149" t="s">
        <v>10</v>
      </c>
      <c r="O29" s="169">
        <v>271.82</v>
      </c>
      <c r="P29" s="169">
        <v>452.95</v>
      </c>
      <c r="Q29" s="145">
        <v>0.6</v>
      </c>
      <c r="R29" s="199">
        <f t="shared" si="0"/>
        <v>125</v>
      </c>
      <c r="S29" s="153">
        <f t="shared" si="1"/>
        <v>527.95000000000005</v>
      </c>
      <c r="T29" s="12"/>
    </row>
    <row r="30" spans="1:20">
      <c r="A30" s="162" t="s">
        <v>2068</v>
      </c>
      <c r="B30" s="144" t="s">
        <v>547</v>
      </c>
      <c r="C30" s="144" t="s">
        <v>2014</v>
      </c>
      <c r="D30" s="145"/>
      <c r="E30" s="172" t="s">
        <v>454</v>
      </c>
      <c r="F30" s="159" t="s">
        <v>454</v>
      </c>
      <c r="G30" s="159" t="s">
        <v>454</v>
      </c>
      <c r="H30" s="159" t="s">
        <v>454</v>
      </c>
      <c r="I30" s="159" t="s">
        <v>454</v>
      </c>
      <c r="J30" s="159" t="s">
        <v>454</v>
      </c>
      <c r="K30" s="167" t="s">
        <v>768</v>
      </c>
      <c r="L30" s="167" t="s">
        <v>1684</v>
      </c>
      <c r="M30" s="167"/>
      <c r="N30" s="149" t="s">
        <v>10</v>
      </c>
      <c r="O30" s="169">
        <v>451.17</v>
      </c>
      <c r="P30" s="169">
        <v>751.95</v>
      </c>
      <c r="Q30" s="145">
        <v>0.5</v>
      </c>
      <c r="R30" s="199">
        <f t="shared" si="0"/>
        <v>125</v>
      </c>
      <c r="S30" s="153">
        <f t="shared" si="1"/>
        <v>814.45</v>
      </c>
      <c r="T30" s="12"/>
    </row>
    <row r="31" spans="1:20">
      <c r="A31" s="162" t="s">
        <v>2069</v>
      </c>
      <c r="B31" s="144" t="s">
        <v>2070</v>
      </c>
      <c r="C31" s="144" t="s">
        <v>2071</v>
      </c>
      <c r="D31" s="145"/>
      <c r="E31" s="172" t="s">
        <v>454</v>
      </c>
      <c r="F31" s="159" t="s">
        <v>454</v>
      </c>
      <c r="G31" s="159" t="s">
        <v>454</v>
      </c>
      <c r="H31" s="159" t="s">
        <v>454</v>
      </c>
      <c r="I31" s="159" t="s">
        <v>454</v>
      </c>
      <c r="J31" s="159" t="s">
        <v>454</v>
      </c>
      <c r="K31" s="167" t="s">
        <v>768</v>
      </c>
      <c r="L31" s="167" t="s">
        <v>1684</v>
      </c>
      <c r="M31" s="167"/>
      <c r="N31" s="149" t="s">
        <v>10</v>
      </c>
      <c r="O31" s="169">
        <v>422.97</v>
      </c>
      <c r="P31" s="169">
        <v>704.95</v>
      </c>
      <c r="Q31" s="145">
        <v>0.5</v>
      </c>
      <c r="R31" s="199">
        <f t="shared" si="0"/>
        <v>125</v>
      </c>
      <c r="S31" s="153">
        <f t="shared" si="1"/>
        <v>767.45</v>
      </c>
      <c r="T31" s="12"/>
    </row>
    <row r="32" spans="1:20">
      <c r="A32" s="162" t="s">
        <v>515</v>
      </c>
      <c r="B32" s="144" t="s">
        <v>832</v>
      </c>
      <c r="C32" s="144" t="s">
        <v>979</v>
      </c>
      <c r="D32" s="145"/>
      <c r="E32" s="172" t="s">
        <v>454</v>
      </c>
      <c r="F32" s="159" t="s">
        <v>454</v>
      </c>
      <c r="G32" s="159" t="s">
        <v>454</v>
      </c>
      <c r="H32" s="159" t="s">
        <v>454</v>
      </c>
      <c r="I32" s="159" t="s">
        <v>454</v>
      </c>
      <c r="J32" s="159" t="s">
        <v>454</v>
      </c>
      <c r="K32" s="167" t="s">
        <v>768</v>
      </c>
      <c r="L32" s="167" t="s">
        <v>1684</v>
      </c>
      <c r="M32" s="167"/>
      <c r="N32" s="149" t="s">
        <v>10</v>
      </c>
      <c r="O32" s="169">
        <v>152.37</v>
      </c>
      <c r="P32" s="169">
        <v>253.95</v>
      </c>
      <c r="Q32" s="145">
        <v>0.3</v>
      </c>
      <c r="R32" s="199">
        <f t="shared" si="0"/>
        <v>125</v>
      </c>
      <c r="S32" s="153">
        <f t="shared" si="1"/>
        <v>291.45</v>
      </c>
      <c r="T32" s="12"/>
    </row>
    <row r="33" spans="1:20">
      <c r="A33" s="162" t="s">
        <v>2009</v>
      </c>
      <c r="B33" s="144" t="s">
        <v>2011</v>
      </c>
      <c r="C33" s="144" t="s">
        <v>2013</v>
      </c>
      <c r="D33" s="145"/>
      <c r="E33" s="172" t="s">
        <v>454</v>
      </c>
      <c r="F33" s="159" t="s">
        <v>454</v>
      </c>
      <c r="G33" s="159" t="s">
        <v>454</v>
      </c>
      <c r="H33" s="159" t="s">
        <v>454</v>
      </c>
      <c r="I33" s="159" t="s">
        <v>454</v>
      </c>
      <c r="J33" s="159" t="s">
        <v>454</v>
      </c>
      <c r="K33" s="167" t="s">
        <v>768</v>
      </c>
      <c r="L33" s="167"/>
      <c r="M33" s="167"/>
      <c r="N33" s="149" t="s">
        <v>10</v>
      </c>
      <c r="O33" s="169">
        <v>379.77</v>
      </c>
      <c r="P33" s="169">
        <v>632.95000000000005</v>
      </c>
      <c r="Q33" s="145">
        <v>0.4</v>
      </c>
      <c r="R33" s="199">
        <f t="shared" si="0"/>
        <v>125</v>
      </c>
      <c r="S33" s="153">
        <f t="shared" si="1"/>
        <v>682.95</v>
      </c>
      <c r="T33" s="12"/>
    </row>
    <row r="34" spans="1:20">
      <c r="A34" s="162" t="s">
        <v>2010</v>
      </c>
      <c r="B34" s="144" t="s">
        <v>2012</v>
      </c>
      <c r="C34" s="144" t="s">
        <v>2015</v>
      </c>
      <c r="D34" s="145"/>
      <c r="E34" s="172" t="s">
        <v>454</v>
      </c>
      <c r="F34" s="159" t="s">
        <v>454</v>
      </c>
      <c r="G34" s="159" t="s">
        <v>454</v>
      </c>
      <c r="H34" s="159" t="s">
        <v>454</v>
      </c>
      <c r="I34" s="159" t="s">
        <v>454</v>
      </c>
      <c r="J34" s="159" t="s">
        <v>454</v>
      </c>
      <c r="K34" s="167" t="s">
        <v>768</v>
      </c>
      <c r="L34" s="167"/>
      <c r="M34" s="167"/>
      <c r="N34" s="149" t="s">
        <v>10</v>
      </c>
      <c r="O34" s="169">
        <v>358.17</v>
      </c>
      <c r="P34" s="169">
        <v>596.95000000000005</v>
      </c>
      <c r="Q34" s="145">
        <v>0.4</v>
      </c>
      <c r="R34" s="199">
        <f t="shared" si="0"/>
        <v>125</v>
      </c>
      <c r="S34" s="153">
        <f t="shared" si="1"/>
        <v>646.95000000000005</v>
      </c>
      <c r="T34" s="12"/>
    </row>
    <row r="35" spans="1:20">
      <c r="A35" s="162" t="s">
        <v>2085</v>
      </c>
      <c r="B35" s="144" t="s">
        <v>554</v>
      </c>
      <c r="C35" s="144" t="s">
        <v>2208</v>
      </c>
      <c r="D35" s="145"/>
      <c r="E35" s="172" t="s">
        <v>454</v>
      </c>
      <c r="F35" s="159" t="s">
        <v>454</v>
      </c>
      <c r="G35" s="159" t="s">
        <v>454</v>
      </c>
      <c r="H35" s="159" t="s">
        <v>454</v>
      </c>
      <c r="I35" s="159" t="s">
        <v>454</v>
      </c>
      <c r="J35" s="159" t="s">
        <v>454</v>
      </c>
      <c r="K35" s="167"/>
      <c r="L35" s="167"/>
      <c r="M35" s="167"/>
      <c r="N35" s="149" t="s">
        <v>10</v>
      </c>
      <c r="O35" s="169">
        <v>145.77000000000001</v>
      </c>
      <c r="P35" s="169">
        <v>239.95</v>
      </c>
      <c r="Q35" s="145">
        <v>0.5</v>
      </c>
      <c r="R35" s="199">
        <f t="shared" si="0"/>
        <v>125</v>
      </c>
      <c r="S35" s="153">
        <f t="shared" si="1"/>
        <v>302.45</v>
      </c>
    </row>
    <row r="36" spans="1:20">
      <c r="A36" s="162" t="s">
        <v>561</v>
      </c>
      <c r="B36" s="144" t="s">
        <v>563</v>
      </c>
      <c r="C36" s="144" t="s">
        <v>566</v>
      </c>
      <c r="D36" s="147" t="s">
        <v>1829</v>
      </c>
      <c r="E36" s="172" t="s">
        <v>454</v>
      </c>
      <c r="F36" s="159" t="s">
        <v>454</v>
      </c>
      <c r="G36" s="159" t="s">
        <v>454</v>
      </c>
      <c r="H36" s="159" t="s">
        <v>454</v>
      </c>
      <c r="I36" s="159" t="s">
        <v>454</v>
      </c>
      <c r="J36" s="159" t="s">
        <v>454</v>
      </c>
      <c r="K36" s="148" t="s">
        <v>768</v>
      </c>
      <c r="L36" s="148"/>
      <c r="M36" s="148"/>
      <c r="N36" s="149" t="s">
        <v>10</v>
      </c>
      <c r="O36" s="150">
        <v>14.77</v>
      </c>
      <c r="P36" s="150">
        <v>39.950000000000003</v>
      </c>
      <c r="Q36" s="145">
        <v>0</v>
      </c>
      <c r="R36" s="199">
        <f t="shared" si="0"/>
        <v>125</v>
      </c>
      <c r="S36" s="152">
        <f t="shared" si="1"/>
        <v>39.950000000000003</v>
      </c>
      <c r="T36" s="12"/>
    </row>
    <row r="37" spans="1:20">
      <c r="A37" s="162" t="s">
        <v>1046</v>
      </c>
      <c r="B37" s="144" t="s">
        <v>1047</v>
      </c>
      <c r="C37" s="144" t="s">
        <v>1050</v>
      </c>
      <c r="D37" s="147" t="s">
        <v>1829</v>
      </c>
      <c r="E37" s="172" t="s">
        <v>454</v>
      </c>
      <c r="F37" s="159" t="s">
        <v>454</v>
      </c>
      <c r="G37" s="159" t="s">
        <v>454</v>
      </c>
      <c r="H37" s="159" t="s">
        <v>454</v>
      </c>
      <c r="I37" s="159" t="s">
        <v>454</v>
      </c>
      <c r="J37" s="159" t="s">
        <v>454</v>
      </c>
      <c r="K37" s="148" t="s">
        <v>768</v>
      </c>
      <c r="L37" s="148"/>
      <c r="M37" s="148"/>
      <c r="N37" s="149" t="s">
        <v>10</v>
      </c>
      <c r="O37" s="150">
        <v>18.5</v>
      </c>
      <c r="P37" s="150">
        <v>0</v>
      </c>
      <c r="Q37" s="145">
        <v>0</v>
      </c>
      <c r="R37" s="199">
        <f t="shared" si="0"/>
        <v>125</v>
      </c>
      <c r="S37" s="152">
        <f t="shared" si="1"/>
        <v>0</v>
      </c>
      <c r="T37" s="12"/>
    </row>
    <row r="38" spans="1:20">
      <c r="A38" s="162" t="s">
        <v>1048</v>
      </c>
      <c r="B38" s="144" t="s">
        <v>1049</v>
      </c>
      <c r="C38" s="144" t="s">
        <v>1051</v>
      </c>
      <c r="D38" s="145" t="s">
        <v>128</v>
      </c>
      <c r="E38" s="172" t="s">
        <v>454</v>
      </c>
      <c r="F38" s="159" t="s">
        <v>454</v>
      </c>
      <c r="G38" s="159" t="s">
        <v>454</v>
      </c>
      <c r="H38" s="159" t="s">
        <v>454</v>
      </c>
      <c r="I38" s="159" t="s">
        <v>454</v>
      </c>
      <c r="J38" s="159" t="s">
        <v>454</v>
      </c>
      <c r="K38" s="148" t="s">
        <v>768</v>
      </c>
      <c r="L38" s="148"/>
      <c r="M38" s="148"/>
      <c r="N38" s="149" t="s">
        <v>10</v>
      </c>
      <c r="O38" s="150">
        <v>14.25</v>
      </c>
      <c r="P38" s="150">
        <v>0</v>
      </c>
      <c r="Q38" s="145">
        <v>0</v>
      </c>
      <c r="R38" s="199">
        <f t="shared" si="0"/>
        <v>125</v>
      </c>
      <c r="S38" s="152">
        <f t="shared" si="1"/>
        <v>0</v>
      </c>
      <c r="T38" s="12"/>
    </row>
    <row r="39" spans="1:20">
      <c r="A39" s="162" t="s">
        <v>562</v>
      </c>
      <c r="B39" s="144" t="s">
        <v>565</v>
      </c>
      <c r="C39" s="144" t="s">
        <v>980</v>
      </c>
      <c r="D39" s="147" t="s">
        <v>1829</v>
      </c>
      <c r="E39" s="172" t="s">
        <v>454</v>
      </c>
      <c r="F39" s="159" t="s">
        <v>454</v>
      </c>
      <c r="G39" s="159" t="s">
        <v>454</v>
      </c>
      <c r="H39" s="159" t="s">
        <v>454</v>
      </c>
      <c r="I39" s="159" t="s">
        <v>454</v>
      </c>
      <c r="J39" s="159" t="s">
        <v>454</v>
      </c>
      <c r="K39" s="148" t="s">
        <v>768</v>
      </c>
      <c r="L39" s="148"/>
      <c r="M39" s="148"/>
      <c r="N39" s="149" t="s">
        <v>10</v>
      </c>
      <c r="O39" s="150">
        <v>18.09</v>
      </c>
      <c r="P39" s="150">
        <v>0</v>
      </c>
      <c r="Q39" s="145">
        <v>0</v>
      </c>
      <c r="R39" s="199">
        <f t="shared" si="0"/>
        <v>125</v>
      </c>
      <c r="S39" s="152">
        <f t="shared" si="1"/>
        <v>0</v>
      </c>
      <c r="T39" s="12"/>
    </row>
    <row r="40" spans="1:20">
      <c r="A40" s="162" t="s">
        <v>560</v>
      </c>
      <c r="B40" s="144" t="s">
        <v>885</v>
      </c>
      <c r="C40" s="144" t="s">
        <v>905</v>
      </c>
      <c r="D40" s="147" t="s">
        <v>1829</v>
      </c>
      <c r="E40" s="172" t="s">
        <v>454</v>
      </c>
      <c r="F40" s="159" t="s">
        <v>454</v>
      </c>
      <c r="G40" s="159" t="s">
        <v>454</v>
      </c>
      <c r="H40" s="159" t="s">
        <v>454</v>
      </c>
      <c r="I40" s="159" t="s">
        <v>454</v>
      </c>
      <c r="J40" s="159" t="s">
        <v>454</v>
      </c>
      <c r="K40" s="148" t="s">
        <v>768</v>
      </c>
      <c r="L40" s="148"/>
      <c r="M40" s="148"/>
      <c r="N40" s="149" t="s">
        <v>10</v>
      </c>
      <c r="O40" s="150">
        <v>16.45</v>
      </c>
      <c r="P40" s="150">
        <v>39.950000000000003</v>
      </c>
      <c r="Q40" s="145">
        <v>0</v>
      </c>
      <c r="R40" s="199">
        <f t="shared" si="0"/>
        <v>125</v>
      </c>
      <c r="S40" s="152">
        <f t="shared" si="1"/>
        <v>39.950000000000003</v>
      </c>
      <c r="T40" s="12"/>
    </row>
    <row r="41" spans="1:20">
      <c r="A41" s="162" t="s">
        <v>570</v>
      </c>
      <c r="B41" s="144" t="s">
        <v>564</v>
      </c>
      <c r="C41" s="144" t="s">
        <v>981</v>
      </c>
      <c r="D41" s="147" t="s">
        <v>1829</v>
      </c>
      <c r="E41" s="172" t="s">
        <v>454</v>
      </c>
      <c r="F41" s="159" t="s">
        <v>454</v>
      </c>
      <c r="G41" s="159" t="s">
        <v>454</v>
      </c>
      <c r="H41" s="159" t="s">
        <v>454</v>
      </c>
      <c r="I41" s="159" t="s">
        <v>454</v>
      </c>
      <c r="J41" s="159" t="s">
        <v>454</v>
      </c>
      <c r="K41" s="148" t="s">
        <v>768</v>
      </c>
      <c r="L41" s="148"/>
      <c r="M41" s="148"/>
      <c r="N41" s="149" t="s">
        <v>10</v>
      </c>
      <c r="O41" s="150">
        <v>99.95</v>
      </c>
      <c r="P41" s="150">
        <v>39.950000000000003</v>
      </c>
      <c r="Q41" s="145">
        <v>0</v>
      </c>
      <c r="R41" s="199">
        <f t="shared" si="0"/>
        <v>125</v>
      </c>
      <c r="S41" s="152">
        <f t="shared" si="1"/>
        <v>39.950000000000003</v>
      </c>
      <c r="T41" s="12"/>
    </row>
    <row r="42" spans="1:20">
      <c r="A42" s="162" t="s">
        <v>512</v>
      </c>
      <c r="B42" s="144" t="s">
        <v>762</v>
      </c>
      <c r="C42" s="144" t="s">
        <v>1042</v>
      </c>
      <c r="D42" s="147" t="s">
        <v>1878</v>
      </c>
      <c r="E42" s="172" t="s">
        <v>454</v>
      </c>
      <c r="F42" s="159" t="s">
        <v>454</v>
      </c>
      <c r="G42" s="159" t="s">
        <v>454</v>
      </c>
      <c r="H42" s="159" t="s">
        <v>454</v>
      </c>
      <c r="I42" s="159" t="s">
        <v>454</v>
      </c>
      <c r="J42" s="159" t="s">
        <v>454</v>
      </c>
      <c r="K42" s="148" t="s">
        <v>768</v>
      </c>
      <c r="L42" s="148" t="s">
        <v>1684</v>
      </c>
      <c r="M42" s="148"/>
      <c r="N42" s="149" t="s">
        <v>10</v>
      </c>
      <c r="O42" s="150">
        <v>178.77</v>
      </c>
      <c r="P42" s="150">
        <v>297.95</v>
      </c>
      <c r="Q42" s="145">
        <v>0.3</v>
      </c>
      <c r="R42" s="199">
        <f t="shared" si="0"/>
        <v>125</v>
      </c>
      <c r="S42" s="153">
        <f t="shared" si="1"/>
        <v>335.45</v>
      </c>
      <c r="T42" s="12"/>
    </row>
    <row r="43" spans="1:20">
      <c r="A43" s="162" t="s">
        <v>511</v>
      </c>
      <c r="B43" s="144" t="s">
        <v>548</v>
      </c>
      <c r="C43" s="144" t="s">
        <v>1043</v>
      </c>
      <c r="D43" s="147" t="s">
        <v>1878</v>
      </c>
      <c r="E43" s="172" t="s">
        <v>454</v>
      </c>
      <c r="F43" s="159" t="s">
        <v>454</v>
      </c>
      <c r="G43" s="159" t="s">
        <v>454</v>
      </c>
      <c r="H43" s="159" t="s">
        <v>454</v>
      </c>
      <c r="I43" s="159" t="s">
        <v>454</v>
      </c>
      <c r="J43" s="159" t="s">
        <v>454</v>
      </c>
      <c r="K43" s="148" t="s">
        <v>768</v>
      </c>
      <c r="L43" s="148" t="s">
        <v>1684</v>
      </c>
      <c r="M43" s="148"/>
      <c r="N43" s="149" t="s">
        <v>10</v>
      </c>
      <c r="O43" s="169">
        <v>117.57</v>
      </c>
      <c r="P43" s="169">
        <v>195.95</v>
      </c>
      <c r="Q43" s="145">
        <v>0.3</v>
      </c>
      <c r="R43" s="199">
        <f t="shared" si="0"/>
        <v>125</v>
      </c>
      <c r="S43" s="153">
        <f t="shared" si="1"/>
        <v>233.45</v>
      </c>
      <c r="T43" s="12"/>
    </row>
    <row r="44" spans="1:20">
      <c r="A44" s="162" t="s">
        <v>513</v>
      </c>
      <c r="B44" s="144" t="s">
        <v>549</v>
      </c>
      <c r="C44" s="168" t="s">
        <v>1044</v>
      </c>
      <c r="D44" s="147" t="s">
        <v>1878</v>
      </c>
      <c r="E44" s="172" t="s">
        <v>454</v>
      </c>
      <c r="F44" s="159" t="s">
        <v>454</v>
      </c>
      <c r="G44" s="159" t="s">
        <v>454</v>
      </c>
      <c r="H44" s="159" t="s">
        <v>454</v>
      </c>
      <c r="I44" s="159" t="s">
        <v>454</v>
      </c>
      <c r="J44" s="159" t="s">
        <v>454</v>
      </c>
      <c r="K44" s="148" t="s">
        <v>768</v>
      </c>
      <c r="L44" s="148" t="s">
        <v>1684</v>
      </c>
      <c r="M44" s="148"/>
      <c r="N44" s="149" t="s">
        <v>10</v>
      </c>
      <c r="O44" s="150">
        <v>145.77000000000001</v>
      </c>
      <c r="P44" s="150">
        <v>242.95</v>
      </c>
      <c r="Q44" s="145">
        <v>0.3</v>
      </c>
      <c r="R44" s="199">
        <f t="shared" si="0"/>
        <v>125</v>
      </c>
      <c r="S44" s="152">
        <f t="shared" si="1"/>
        <v>280.45</v>
      </c>
      <c r="T44" s="12"/>
    </row>
    <row r="45" spans="1:20">
      <c r="A45" s="162" t="s">
        <v>2027</v>
      </c>
      <c r="B45" s="144" t="s">
        <v>2029</v>
      </c>
      <c r="C45" s="144" t="s">
        <v>2031</v>
      </c>
      <c r="D45" s="145"/>
      <c r="E45" s="159" t="s">
        <v>454</v>
      </c>
      <c r="F45" s="159" t="s">
        <v>454</v>
      </c>
      <c r="G45" s="159" t="s">
        <v>454</v>
      </c>
      <c r="H45" s="159" t="s">
        <v>454</v>
      </c>
      <c r="I45" s="159" t="s">
        <v>454</v>
      </c>
      <c r="J45" s="159" t="s">
        <v>454</v>
      </c>
      <c r="K45" s="167" t="s">
        <v>768</v>
      </c>
      <c r="L45" s="149"/>
      <c r="M45" s="149"/>
      <c r="N45" s="149" t="s">
        <v>10</v>
      </c>
      <c r="O45" s="169">
        <v>316.14</v>
      </c>
      <c r="P45" s="169">
        <v>526.95000000000005</v>
      </c>
      <c r="Q45" s="145">
        <v>0.4</v>
      </c>
      <c r="R45" s="199">
        <f t="shared" si="0"/>
        <v>125</v>
      </c>
      <c r="S45" s="153">
        <f t="shared" si="1"/>
        <v>576.95000000000005</v>
      </c>
      <c r="T45" s="12"/>
    </row>
    <row r="46" spans="1:20">
      <c r="A46" s="162" t="s">
        <v>2028</v>
      </c>
      <c r="B46" s="144" t="s">
        <v>2030</v>
      </c>
      <c r="C46" s="144" t="s">
        <v>2032</v>
      </c>
      <c r="D46" s="145"/>
      <c r="E46" s="159" t="s">
        <v>454</v>
      </c>
      <c r="F46" s="159" t="s">
        <v>454</v>
      </c>
      <c r="G46" s="159" t="s">
        <v>454</v>
      </c>
      <c r="H46" s="159" t="s">
        <v>454</v>
      </c>
      <c r="I46" s="159" t="s">
        <v>454</v>
      </c>
      <c r="J46" s="159" t="s">
        <v>454</v>
      </c>
      <c r="K46" s="167" t="s">
        <v>768</v>
      </c>
      <c r="L46" s="167"/>
      <c r="M46" s="167"/>
      <c r="N46" s="149" t="s">
        <v>10</v>
      </c>
      <c r="O46" s="169">
        <v>316.14</v>
      </c>
      <c r="P46" s="169">
        <v>526.95000000000005</v>
      </c>
      <c r="Q46" s="145">
        <v>0.4</v>
      </c>
      <c r="R46" s="199">
        <f t="shared" si="0"/>
        <v>125</v>
      </c>
      <c r="S46" s="153">
        <f t="shared" si="1"/>
        <v>576.95000000000005</v>
      </c>
      <c r="T46" s="12"/>
    </row>
    <row r="47" spans="1:20">
      <c r="A47" s="162" t="s">
        <v>1820</v>
      </c>
      <c r="B47" s="144" t="s">
        <v>1822</v>
      </c>
      <c r="C47" s="144" t="s">
        <v>1958</v>
      </c>
      <c r="D47" s="220" t="s">
        <v>2001</v>
      </c>
      <c r="E47" s="172" t="s">
        <v>454</v>
      </c>
      <c r="F47" s="159" t="s">
        <v>454</v>
      </c>
      <c r="G47" s="159" t="s">
        <v>454</v>
      </c>
      <c r="H47" s="159" t="s">
        <v>454</v>
      </c>
      <c r="I47" s="159" t="s">
        <v>454</v>
      </c>
      <c r="J47" s="159" t="s">
        <v>454</v>
      </c>
      <c r="K47" s="148" t="s">
        <v>768</v>
      </c>
      <c r="L47" s="148" t="s">
        <v>1684</v>
      </c>
      <c r="M47" s="148"/>
      <c r="N47" s="149" t="s">
        <v>10</v>
      </c>
      <c r="O47" s="150">
        <v>75.56</v>
      </c>
      <c r="P47" s="150">
        <v>125.95</v>
      </c>
      <c r="Q47" s="145">
        <v>0.8</v>
      </c>
      <c r="R47" s="199">
        <f t="shared" si="0"/>
        <v>125</v>
      </c>
      <c r="S47" s="152">
        <f t="shared" si="1"/>
        <v>225.95</v>
      </c>
      <c r="T47" s="12"/>
    </row>
    <row r="48" spans="1:20">
      <c r="A48" s="162" t="s">
        <v>471</v>
      </c>
      <c r="B48" s="144" t="s">
        <v>1996</v>
      </c>
      <c r="C48" s="144" t="s">
        <v>1997</v>
      </c>
      <c r="D48" s="145" t="s">
        <v>1998</v>
      </c>
      <c r="E48" s="172" t="s">
        <v>454</v>
      </c>
      <c r="F48" s="159" t="s">
        <v>454</v>
      </c>
      <c r="G48" s="159" t="s">
        <v>454</v>
      </c>
      <c r="H48" s="159" t="s">
        <v>454</v>
      </c>
      <c r="I48" s="159" t="s">
        <v>454</v>
      </c>
      <c r="J48" s="159" t="s">
        <v>454</v>
      </c>
      <c r="K48" s="148" t="s">
        <v>768</v>
      </c>
      <c r="L48" s="148" t="s">
        <v>1684</v>
      </c>
      <c r="M48" s="148"/>
      <c r="N48" s="149" t="s">
        <v>10</v>
      </c>
      <c r="O48" s="150">
        <v>38.97</v>
      </c>
      <c r="P48" s="150">
        <v>64.95</v>
      </c>
      <c r="Q48" s="145">
        <v>0.4</v>
      </c>
      <c r="R48" s="199">
        <f t="shared" si="0"/>
        <v>125</v>
      </c>
      <c r="S48" s="152">
        <f t="shared" si="1"/>
        <v>114.95</v>
      </c>
      <c r="T48" s="12"/>
    </row>
    <row r="49" spans="1:20">
      <c r="A49" s="162" t="s">
        <v>826</v>
      </c>
      <c r="B49" s="144" t="s">
        <v>1999</v>
      </c>
      <c r="C49" s="144" t="s">
        <v>2000</v>
      </c>
      <c r="D49" s="145" t="s">
        <v>1998</v>
      </c>
      <c r="E49" s="172" t="s">
        <v>454</v>
      </c>
      <c r="F49" s="159" t="s">
        <v>454</v>
      </c>
      <c r="G49" s="159" t="s">
        <v>454</v>
      </c>
      <c r="H49" s="159" t="s">
        <v>454</v>
      </c>
      <c r="I49" s="159" t="s">
        <v>454</v>
      </c>
      <c r="J49" s="159" t="s">
        <v>454</v>
      </c>
      <c r="K49" s="148" t="s">
        <v>768</v>
      </c>
      <c r="L49" s="148" t="s">
        <v>1684</v>
      </c>
      <c r="M49" s="148"/>
      <c r="N49" s="149" t="s">
        <v>10</v>
      </c>
      <c r="O49" s="150">
        <v>38.97</v>
      </c>
      <c r="P49" s="150">
        <v>64.95</v>
      </c>
      <c r="Q49" s="145">
        <v>0.4</v>
      </c>
      <c r="R49" s="199">
        <f t="shared" si="0"/>
        <v>125</v>
      </c>
      <c r="S49" s="152">
        <f t="shared" si="1"/>
        <v>114.95</v>
      </c>
      <c r="T49" s="130"/>
    </row>
    <row r="50" spans="1:20">
      <c r="A50" s="162" t="s">
        <v>872</v>
      </c>
      <c r="B50" s="144" t="s">
        <v>873</v>
      </c>
      <c r="C50" s="144" t="s">
        <v>875</v>
      </c>
      <c r="D50" s="145" t="s">
        <v>1844</v>
      </c>
      <c r="E50" s="172" t="s">
        <v>454</v>
      </c>
      <c r="F50" s="159" t="s">
        <v>454</v>
      </c>
      <c r="G50" s="159" t="s">
        <v>454</v>
      </c>
      <c r="H50" s="159" t="s">
        <v>454</v>
      </c>
      <c r="I50" s="159" t="s">
        <v>454</v>
      </c>
      <c r="J50" s="159" t="s">
        <v>454</v>
      </c>
      <c r="K50" s="167"/>
      <c r="L50" s="167"/>
      <c r="M50" s="167"/>
      <c r="N50" s="149" t="s">
        <v>59</v>
      </c>
      <c r="O50" s="169">
        <v>84</v>
      </c>
      <c r="P50" s="169">
        <v>119.95</v>
      </c>
      <c r="Q50" s="145">
        <v>0</v>
      </c>
      <c r="R50" s="199">
        <f t="shared" si="0"/>
        <v>125</v>
      </c>
      <c r="S50" s="153">
        <f t="shared" si="1"/>
        <v>119.95</v>
      </c>
      <c r="T50" s="130"/>
    </row>
    <row r="51" spans="1:20">
      <c r="A51" s="162" t="s">
        <v>528</v>
      </c>
      <c r="B51" s="144" t="s">
        <v>1647</v>
      </c>
      <c r="C51" s="144" t="s">
        <v>2090</v>
      </c>
      <c r="D51" s="145" t="s">
        <v>1054</v>
      </c>
      <c r="E51" s="172" t="s">
        <v>454</v>
      </c>
      <c r="F51" s="159" t="s">
        <v>454</v>
      </c>
      <c r="G51" s="159" t="s">
        <v>454</v>
      </c>
      <c r="H51" s="159" t="s">
        <v>454</v>
      </c>
      <c r="I51" s="159" t="s">
        <v>454</v>
      </c>
      <c r="J51" s="159" t="s">
        <v>454</v>
      </c>
      <c r="K51" s="148" t="s">
        <v>768</v>
      </c>
      <c r="L51" s="148" t="s">
        <v>1684</v>
      </c>
      <c r="M51" s="148"/>
      <c r="N51" s="149" t="s">
        <v>0</v>
      </c>
      <c r="O51" s="150">
        <v>269.97000000000003</v>
      </c>
      <c r="P51" s="169">
        <v>449.95</v>
      </c>
      <c r="Q51" s="145">
        <v>0</v>
      </c>
      <c r="R51" s="199">
        <f t="shared" si="0"/>
        <v>125</v>
      </c>
      <c r="S51" s="152">
        <f t="shared" si="1"/>
        <v>449.95</v>
      </c>
      <c r="T51" s="130"/>
    </row>
    <row r="52" spans="1:20">
      <c r="A52" s="162" t="s">
        <v>2079</v>
      </c>
      <c r="B52" s="144" t="s">
        <v>2083</v>
      </c>
      <c r="C52" s="144" t="s">
        <v>2089</v>
      </c>
      <c r="D52" s="145"/>
      <c r="E52" s="172" t="s">
        <v>454</v>
      </c>
      <c r="F52" s="159" t="s">
        <v>454</v>
      </c>
      <c r="G52" s="159" t="s">
        <v>454</v>
      </c>
      <c r="H52" s="159" t="s">
        <v>454</v>
      </c>
      <c r="I52" s="159" t="s">
        <v>454</v>
      </c>
      <c r="J52" s="159" t="s">
        <v>454</v>
      </c>
      <c r="K52" s="167"/>
      <c r="L52" s="167" t="s">
        <v>1684</v>
      </c>
      <c r="M52" s="167"/>
      <c r="N52" s="149" t="s">
        <v>10</v>
      </c>
      <c r="O52" s="169">
        <v>94.77</v>
      </c>
      <c r="P52" s="169">
        <v>157.94999999999999</v>
      </c>
      <c r="Q52" s="145">
        <v>0.5</v>
      </c>
      <c r="R52" s="199">
        <f t="shared" si="0"/>
        <v>125</v>
      </c>
      <c r="S52" s="153">
        <f t="shared" si="1"/>
        <v>220.45</v>
      </c>
    </row>
    <row r="53" spans="1:20">
      <c r="A53" s="162" t="s">
        <v>2080</v>
      </c>
      <c r="B53" s="144" t="s">
        <v>2084</v>
      </c>
      <c r="C53" s="144" t="s">
        <v>2088</v>
      </c>
      <c r="D53" s="145"/>
      <c r="E53" s="172" t="s">
        <v>454</v>
      </c>
      <c r="F53" s="159" t="s">
        <v>454</v>
      </c>
      <c r="G53" s="159" t="s">
        <v>454</v>
      </c>
      <c r="H53" s="159" t="s">
        <v>454</v>
      </c>
      <c r="I53" s="159" t="s">
        <v>454</v>
      </c>
      <c r="J53" s="159" t="s">
        <v>454</v>
      </c>
      <c r="K53" s="167"/>
      <c r="L53" s="167" t="s">
        <v>1684</v>
      </c>
      <c r="M53" s="167"/>
      <c r="N53" s="149" t="s">
        <v>10</v>
      </c>
      <c r="O53" s="169">
        <v>94.77</v>
      </c>
      <c r="P53" s="169">
        <v>157.94999999999999</v>
      </c>
      <c r="Q53" s="145">
        <v>0.5</v>
      </c>
      <c r="R53" s="199">
        <f t="shared" si="0"/>
        <v>125</v>
      </c>
      <c r="S53" s="153">
        <f t="shared" si="1"/>
        <v>220.45</v>
      </c>
    </row>
    <row r="54" spans="1:20">
      <c r="A54" s="162" t="s">
        <v>1890</v>
      </c>
      <c r="B54" s="144" t="s">
        <v>2055</v>
      </c>
      <c r="C54" s="144" t="s">
        <v>2065</v>
      </c>
      <c r="D54" s="145"/>
      <c r="E54" s="172" t="s">
        <v>454</v>
      </c>
      <c r="F54" s="159" t="s">
        <v>454</v>
      </c>
      <c r="G54" s="159" t="s">
        <v>454</v>
      </c>
      <c r="H54" s="159" t="s">
        <v>454</v>
      </c>
      <c r="I54" s="159" t="s">
        <v>454</v>
      </c>
      <c r="J54" s="159" t="s">
        <v>454</v>
      </c>
      <c r="K54" s="167" t="s">
        <v>768</v>
      </c>
      <c r="L54" s="167" t="s">
        <v>1684</v>
      </c>
      <c r="M54" s="167"/>
      <c r="N54" s="149" t="s">
        <v>10</v>
      </c>
      <c r="O54" s="169">
        <v>263.97000000000003</v>
      </c>
      <c r="P54" s="169">
        <v>439.95</v>
      </c>
      <c r="Q54" s="145">
        <v>0.4</v>
      </c>
      <c r="R54" s="199">
        <f t="shared" si="0"/>
        <v>125</v>
      </c>
      <c r="S54" s="153">
        <f t="shared" si="1"/>
        <v>489.95</v>
      </c>
      <c r="T54" s="12"/>
    </row>
    <row r="55" spans="1:20">
      <c r="A55" s="162" t="s">
        <v>1935</v>
      </c>
      <c r="B55" s="144" t="s">
        <v>2056</v>
      </c>
      <c r="C55" s="144" t="s">
        <v>2072</v>
      </c>
      <c r="D55" s="145"/>
      <c r="E55" s="172" t="s">
        <v>454</v>
      </c>
      <c r="F55" s="159" t="s">
        <v>454</v>
      </c>
      <c r="G55" s="159" t="s">
        <v>454</v>
      </c>
      <c r="H55" s="159" t="s">
        <v>454</v>
      </c>
      <c r="I55" s="159" t="s">
        <v>454</v>
      </c>
      <c r="J55" s="159" t="s">
        <v>454</v>
      </c>
      <c r="K55" s="167" t="s">
        <v>768</v>
      </c>
      <c r="L55" s="167"/>
      <c r="M55" s="167"/>
      <c r="N55" s="149" t="s">
        <v>10</v>
      </c>
      <c r="O55" s="169">
        <v>276.57</v>
      </c>
      <c r="P55" s="169">
        <v>460.95</v>
      </c>
      <c r="Q55" s="145">
        <v>0.4</v>
      </c>
      <c r="R55" s="199">
        <f t="shared" si="0"/>
        <v>125</v>
      </c>
      <c r="S55" s="153">
        <f t="shared" si="1"/>
        <v>510.95</v>
      </c>
      <c r="T55" s="12"/>
    </row>
    <row r="56" spans="1:20">
      <c r="A56" s="162" t="s">
        <v>1889</v>
      </c>
      <c r="B56" s="144" t="s">
        <v>1891</v>
      </c>
      <c r="C56" s="144" t="s">
        <v>1961</v>
      </c>
      <c r="D56" s="145"/>
      <c r="E56" s="172" t="s">
        <v>454</v>
      </c>
      <c r="F56" s="159" t="s">
        <v>454</v>
      </c>
      <c r="G56" s="159" t="s">
        <v>454</v>
      </c>
      <c r="H56" s="159" t="s">
        <v>454</v>
      </c>
      <c r="I56" s="159" t="s">
        <v>454</v>
      </c>
      <c r="J56" s="159" t="s">
        <v>454</v>
      </c>
      <c r="K56" s="167" t="s">
        <v>768</v>
      </c>
      <c r="L56" s="167" t="s">
        <v>1684</v>
      </c>
      <c r="M56" s="167"/>
      <c r="N56" s="149" t="s">
        <v>10</v>
      </c>
      <c r="O56" s="169">
        <v>167.97</v>
      </c>
      <c r="P56" s="169">
        <v>279.95</v>
      </c>
      <c r="Q56" s="145">
        <v>0.4</v>
      </c>
      <c r="R56" s="199">
        <f t="shared" si="0"/>
        <v>125</v>
      </c>
      <c r="S56" s="153">
        <f t="shared" si="1"/>
        <v>329.95</v>
      </c>
      <c r="T56" s="12"/>
    </row>
    <row r="57" spans="1:20">
      <c r="A57" s="162" t="s">
        <v>2021</v>
      </c>
      <c r="B57" s="144" t="s">
        <v>2018</v>
      </c>
      <c r="C57" s="144" t="s">
        <v>2022</v>
      </c>
      <c r="D57" s="149"/>
      <c r="E57" s="172" t="s">
        <v>454</v>
      </c>
      <c r="F57" s="159" t="s">
        <v>454</v>
      </c>
      <c r="G57" s="159" t="s">
        <v>454</v>
      </c>
      <c r="H57" s="159" t="s">
        <v>454</v>
      </c>
      <c r="I57" s="159" t="s">
        <v>454</v>
      </c>
      <c r="J57" s="159" t="s">
        <v>454</v>
      </c>
      <c r="K57" s="167" t="s">
        <v>768</v>
      </c>
      <c r="L57" s="167"/>
      <c r="M57" s="167"/>
      <c r="N57" s="149" t="s">
        <v>10</v>
      </c>
      <c r="O57" s="169">
        <v>398.6</v>
      </c>
      <c r="P57" s="169">
        <v>663.95</v>
      </c>
      <c r="Q57" s="145">
        <v>0.5</v>
      </c>
      <c r="R57" s="199">
        <f t="shared" si="0"/>
        <v>125</v>
      </c>
      <c r="S57" s="153">
        <f t="shared" si="1"/>
        <v>726.45</v>
      </c>
      <c r="T57" s="12"/>
    </row>
    <row r="58" spans="1:20" s="7" customFormat="1" ht="12.75">
      <c r="A58" s="162" t="s">
        <v>529</v>
      </c>
      <c r="B58" s="144" t="s">
        <v>536</v>
      </c>
      <c r="C58" s="144" t="s">
        <v>993</v>
      </c>
      <c r="D58" s="145"/>
      <c r="E58" s="172" t="s">
        <v>454</v>
      </c>
      <c r="F58" s="159" t="s">
        <v>454</v>
      </c>
      <c r="G58" s="159" t="s">
        <v>454</v>
      </c>
      <c r="H58" s="159" t="s">
        <v>454</v>
      </c>
      <c r="I58" s="159" t="s">
        <v>454</v>
      </c>
      <c r="J58" s="159" t="s">
        <v>454</v>
      </c>
      <c r="K58" s="148"/>
      <c r="L58" s="148" t="s">
        <v>1684</v>
      </c>
      <c r="M58" s="148"/>
      <c r="N58" s="149" t="s">
        <v>16</v>
      </c>
      <c r="O58" s="150">
        <v>34.770000000000003</v>
      </c>
      <c r="P58" s="150">
        <v>57.95</v>
      </c>
      <c r="Q58" s="145">
        <v>0</v>
      </c>
      <c r="R58" s="199">
        <f t="shared" si="0"/>
        <v>125</v>
      </c>
      <c r="S58" s="152">
        <f t="shared" si="1"/>
        <v>57.95</v>
      </c>
      <c r="T58" s="130"/>
    </row>
    <row r="59" spans="1:20" ht="25.5">
      <c r="A59" s="162" t="s">
        <v>469</v>
      </c>
      <c r="B59" s="144" t="s">
        <v>779</v>
      </c>
      <c r="C59" s="144" t="s">
        <v>1939</v>
      </c>
      <c r="D59" s="145" t="s">
        <v>2002</v>
      </c>
      <c r="E59" s="172" t="s">
        <v>454</v>
      </c>
      <c r="F59" s="159" t="s">
        <v>454</v>
      </c>
      <c r="G59" s="159" t="s">
        <v>454</v>
      </c>
      <c r="H59" s="159" t="s">
        <v>454</v>
      </c>
      <c r="I59" s="159" t="s">
        <v>454</v>
      </c>
      <c r="J59" s="159" t="s">
        <v>454</v>
      </c>
      <c r="K59" s="148" t="s">
        <v>768</v>
      </c>
      <c r="L59" s="148"/>
      <c r="M59" s="148"/>
      <c r="N59" s="149" t="s">
        <v>59</v>
      </c>
      <c r="O59" s="150">
        <v>60</v>
      </c>
      <c r="P59" s="150">
        <v>84.95</v>
      </c>
      <c r="Q59" s="145">
        <v>0.8</v>
      </c>
      <c r="R59" s="199">
        <f t="shared" si="0"/>
        <v>125</v>
      </c>
      <c r="S59" s="152">
        <f t="shared" si="1"/>
        <v>184.95</v>
      </c>
      <c r="T59" s="130"/>
    </row>
    <row r="60" spans="1:20">
      <c r="A60" s="162" t="s">
        <v>1680</v>
      </c>
      <c r="B60" s="144" t="s">
        <v>1800</v>
      </c>
      <c r="C60" s="144" t="s">
        <v>1970</v>
      </c>
      <c r="D60" s="145" t="s">
        <v>1804</v>
      </c>
      <c r="E60" s="172" t="s">
        <v>454</v>
      </c>
      <c r="F60" s="159" t="s">
        <v>454</v>
      </c>
      <c r="G60" s="159" t="s">
        <v>454</v>
      </c>
      <c r="H60" s="159" t="s">
        <v>454</v>
      </c>
      <c r="I60" s="159" t="s">
        <v>454</v>
      </c>
      <c r="J60" s="159" t="s">
        <v>454</v>
      </c>
      <c r="K60" s="148" t="s">
        <v>768</v>
      </c>
      <c r="L60" s="148"/>
      <c r="M60" s="148"/>
      <c r="N60" s="149" t="s">
        <v>59</v>
      </c>
      <c r="O60" s="150">
        <v>258.75</v>
      </c>
      <c r="P60" s="150">
        <v>389.95</v>
      </c>
      <c r="Q60" s="145">
        <v>0.8</v>
      </c>
      <c r="R60" s="199">
        <f t="shared" si="0"/>
        <v>125</v>
      </c>
      <c r="S60" s="152">
        <f t="shared" si="1"/>
        <v>489.95</v>
      </c>
      <c r="T60" s="12"/>
    </row>
    <row r="61" spans="1:20">
      <c r="A61" s="162" t="s">
        <v>1052</v>
      </c>
      <c r="B61" s="144" t="s">
        <v>1792</v>
      </c>
      <c r="C61" s="144" t="s">
        <v>1941</v>
      </c>
      <c r="D61" s="145" t="s">
        <v>2003</v>
      </c>
      <c r="E61" s="172" t="s">
        <v>454</v>
      </c>
      <c r="F61" s="159" t="s">
        <v>454</v>
      </c>
      <c r="G61" s="159" t="s">
        <v>454</v>
      </c>
      <c r="H61" s="159" t="s">
        <v>454</v>
      </c>
      <c r="I61" s="159" t="s">
        <v>454</v>
      </c>
      <c r="J61" s="159" t="s">
        <v>454</v>
      </c>
      <c r="K61" s="148" t="s">
        <v>768</v>
      </c>
      <c r="L61" s="148"/>
      <c r="M61" s="148"/>
      <c r="N61" s="149" t="s">
        <v>59</v>
      </c>
      <c r="O61" s="150">
        <v>150</v>
      </c>
      <c r="P61" s="150">
        <v>214.95</v>
      </c>
      <c r="Q61" s="145">
        <v>0.8</v>
      </c>
      <c r="R61" s="199">
        <f t="shared" si="0"/>
        <v>125</v>
      </c>
      <c r="S61" s="152">
        <f t="shared" si="1"/>
        <v>314.95</v>
      </c>
      <c r="T61" s="12"/>
    </row>
    <row r="62" spans="1:20">
      <c r="A62" s="164" t="s">
        <v>2211</v>
      </c>
      <c r="B62" s="165" t="s">
        <v>2198</v>
      </c>
      <c r="C62" s="165" t="s">
        <v>2196</v>
      </c>
      <c r="D62" s="216" t="s">
        <v>2197</v>
      </c>
      <c r="E62" s="204" t="s">
        <v>454</v>
      </c>
      <c r="F62" s="205" t="s">
        <v>454</v>
      </c>
      <c r="G62" s="205" t="s">
        <v>454</v>
      </c>
      <c r="H62" s="205" t="s">
        <v>454</v>
      </c>
      <c r="I62" s="205" t="s">
        <v>454</v>
      </c>
      <c r="J62" s="205" t="s">
        <v>454</v>
      </c>
      <c r="K62" s="181" t="s">
        <v>768</v>
      </c>
      <c r="L62" s="181" t="s">
        <v>1684</v>
      </c>
      <c r="M62" s="181"/>
      <c r="N62" s="182" t="s">
        <v>59</v>
      </c>
      <c r="O62" s="183">
        <v>315</v>
      </c>
      <c r="P62" s="183">
        <v>449.95</v>
      </c>
      <c r="Q62" s="207">
        <v>0.8</v>
      </c>
      <c r="R62" s="183">
        <v>125</v>
      </c>
      <c r="S62" s="185">
        <f t="shared" si="1"/>
        <v>549.95000000000005</v>
      </c>
      <c r="T62" s="14"/>
    </row>
    <row r="63" spans="1:20">
      <c r="A63" s="162" t="s">
        <v>286</v>
      </c>
      <c r="B63" s="144" t="s">
        <v>287</v>
      </c>
      <c r="C63" s="144" t="s">
        <v>292</v>
      </c>
      <c r="D63" s="145"/>
      <c r="E63" s="172" t="s">
        <v>454</v>
      </c>
      <c r="F63" s="159" t="s">
        <v>454</v>
      </c>
      <c r="G63" s="159" t="s">
        <v>454</v>
      </c>
      <c r="H63" s="159" t="s">
        <v>454</v>
      </c>
      <c r="I63" s="159" t="s">
        <v>454</v>
      </c>
      <c r="J63" s="159" t="s">
        <v>454</v>
      </c>
      <c r="K63" s="148" t="s">
        <v>768</v>
      </c>
      <c r="L63" s="148"/>
      <c r="M63" s="148"/>
      <c r="N63" s="149" t="s">
        <v>59</v>
      </c>
      <c r="O63" s="150">
        <v>230</v>
      </c>
      <c r="P63" s="150">
        <v>329.95</v>
      </c>
      <c r="Q63" s="145">
        <v>0.8</v>
      </c>
      <c r="R63" s="199">
        <f t="shared" ref="R63:R126" si="3">$N$1</f>
        <v>125</v>
      </c>
      <c r="S63" s="152">
        <f t="shared" si="1"/>
        <v>429.95</v>
      </c>
      <c r="T63" s="12"/>
    </row>
    <row r="64" spans="1:20" ht="25.5">
      <c r="A64" s="162" t="s">
        <v>1754</v>
      </c>
      <c r="B64" s="144" t="s">
        <v>2209</v>
      </c>
      <c r="C64" s="144" t="s">
        <v>1943</v>
      </c>
      <c r="D64" s="145" t="s">
        <v>2007</v>
      </c>
      <c r="E64" s="172" t="s">
        <v>454</v>
      </c>
      <c r="F64" s="159" t="s">
        <v>454</v>
      </c>
      <c r="G64" s="159" t="s">
        <v>454</v>
      </c>
      <c r="H64" s="159" t="s">
        <v>454</v>
      </c>
      <c r="I64" s="159" t="s">
        <v>454</v>
      </c>
      <c r="J64" s="159" t="s">
        <v>454</v>
      </c>
      <c r="K64" s="167" t="s">
        <v>410</v>
      </c>
      <c r="L64" s="167"/>
      <c r="M64" s="167"/>
      <c r="N64" s="149" t="s">
        <v>59</v>
      </c>
      <c r="O64" s="169">
        <v>230</v>
      </c>
      <c r="P64" s="169">
        <v>329.95</v>
      </c>
      <c r="Q64" s="145">
        <v>0.8</v>
      </c>
      <c r="R64" s="199">
        <f t="shared" si="3"/>
        <v>125</v>
      </c>
      <c r="S64" s="153">
        <f t="shared" si="1"/>
        <v>429.95</v>
      </c>
      <c r="T64" s="130"/>
    </row>
    <row r="65" spans="1:20">
      <c r="A65" s="162" t="s">
        <v>558</v>
      </c>
      <c r="B65" s="144" t="s">
        <v>1801</v>
      </c>
      <c r="C65" s="144" t="s">
        <v>1942</v>
      </c>
      <c r="D65" s="145" t="s">
        <v>2005</v>
      </c>
      <c r="E65" s="172" t="s">
        <v>454</v>
      </c>
      <c r="F65" s="159" t="s">
        <v>454</v>
      </c>
      <c r="G65" s="159" t="s">
        <v>454</v>
      </c>
      <c r="H65" s="159" t="s">
        <v>454</v>
      </c>
      <c r="I65" s="159" t="s">
        <v>454</v>
      </c>
      <c r="J65" s="159" t="s">
        <v>454</v>
      </c>
      <c r="K65" s="148" t="s">
        <v>768</v>
      </c>
      <c r="L65" s="148"/>
      <c r="M65" s="148"/>
      <c r="N65" s="149" t="s">
        <v>59</v>
      </c>
      <c r="O65" s="150">
        <v>150</v>
      </c>
      <c r="P65" s="150">
        <v>214.95</v>
      </c>
      <c r="Q65" s="145">
        <v>0.8</v>
      </c>
      <c r="R65" s="199">
        <f t="shared" si="3"/>
        <v>125</v>
      </c>
      <c r="S65" s="152">
        <f t="shared" si="1"/>
        <v>314.95</v>
      </c>
      <c r="T65" s="12"/>
    </row>
    <row r="66" spans="1:20">
      <c r="A66" s="162" t="s">
        <v>283</v>
      </c>
      <c r="B66" s="144" t="s">
        <v>284</v>
      </c>
      <c r="C66" s="144" t="s">
        <v>2216</v>
      </c>
      <c r="D66" s="145" t="s">
        <v>302</v>
      </c>
      <c r="E66" s="172" t="s">
        <v>454</v>
      </c>
      <c r="F66" s="159" t="s">
        <v>454</v>
      </c>
      <c r="G66" s="159" t="s">
        <v>454</v>
      </c>
      <c r="H66" s="159" t="s">
        <v>454</v>
      </c>
      <c r="I66" s="159" t="s">
        <v>454</v>
      </c>
      <c r="J66" s="159" t="s">
        <v>454</v>
      </c>
      <c r="K66" s="148" t="s">
        <v>768</v>
      </c>
      <c r="L66" s="148"/>
      <c r="M66" s="148"/>
      <c r="N66" s="149" t="s">
        <v>59</v>
      </c>
      <c r="O66" s="150">
        <v>150</v>
      </c>
      <c r="P66" s="150">
        <v>214.95</v>
      </c>
      <c r="Q66" s="145">
        <v>0.8</v>
      </c>
      <c r="R66" s="199">
        <f t="shared" si="3"/>
        <v>125</v>
      </c>
      <c r="S66" s="152">
        <f t="shared" si="1"/>
        <v>314.95</v>
      </c>
      <c r="T66" s="12"/>
    </row>
    <row r="67" spans="1:20">
      <c r="A67" s="162" t="s">
        <v>299</v>
      </c>
      <c r="B67" s="144" t="s">
        <v>300</v>
      </c>
      <c r="C67" s="144" t="s">
        <v>2217</v>
      </c>
      <c r="D67" s="145"/>
      <c r="E67" s="172" t="s">
        <v>454</v>
      </c>
      <c r="F67" s="159" t="s">
        <v>454</v>
      </c>
      <c r="G67" s="159" t="s">
        <v>454</v>
      </c>
      <c r="H67" s="159" t="s">
        <v>454</v>
      </c>
      <c r="I67" s="159" t="s">
        <v>454</v>
      </c>
      <c r="J67" s="159" t="s">
        <v>454</v>
      </c>
      <c r="K67" s="148" t="s">
        <v>768</v>
      </c>
      <c r="L67" s="148"/>
      <c r="M67" s="148"/>
      <c r="N67" s="149" t="s">
        <v>59</v>
      </c>
      <c r="O67" s="150">
        <v>60</v>
      </c>
      <c r="P67" s="150">
        <v>79.95</v>
      </c>
      <c r="Q67" s="145">
        <v>0.8</v>
      </c>
      <c r="R67" s="199">
        <f t="shared" si="3"/>
        <v>125</v>
      </c>
      <c r="S67" s="152">
        <f t="shared" si="1"/>
        <v>179.95</v>
      </c>
      <c r="T67" s="12"/>
    </row>
    <row r="68" spans="1:20">
      <c r="A68" s="162" t="s">
        <v>468</v>
      </c>
      <c r="B68" s="144" t="s">
        <v>1793</v>
      </c>
      <c r="C68" s="144" t="s">
        <v>1940</v>
      </c>
      <c r="D68" s="145" t="s">
        <v>2004</v>
      </c>
      <c r="E68" s="172" t="s">
        <v>454</v>
      </c>
      <c r="F68" s="159" t="s">
        <v>454</v>
      </c>
      <c r="G68" s="159" t="s">
        <v>454</v>
      </c>
      <c r="H68" s="159" t="s">
        <v>454</v>
      </c>
      <c r="I68" s="159" t="s">
        <v>454</v>
      </c>
      <c r="J68" s="159" t="s">
        <v>454</v>
      </c>
      <c r="K68" s="148" t="s">
        <v>768</v>
      </c>
      <c r="L68" s="148"/>
      <c r="M68" s="148"/>
      <c r="N68" s="149" t="s">
        <v>59</v>
      </c>
      <c r="O68" s="150">
        <v>88.5</v>
      </c>
      <c r="P68" s="150">
        <v>124.95</v>
      </c>
      <c r="Q68" s="145">
        <v>0.8</v>
      </c>
      <c r="R68" s="199">
        <f t="shared" si="3"/>
        <v>125</v>
      </c>
      <c r="S68" s="152">
        <f t="shared" ref="S68:S131" si="4">Q68*R68+P68</f>
        <v>224.95</v>
      </c>
      <c r="T68" s="12"/>
    </row>
    <row r="69" spans="1:20">
      <c r="A69" s="162" t="s">
        <v>524</v>
      </c>
      <c r="B69" s="144" t="s">
        <v>1637</v>
      </c>
      <c r="C69" s="144" t="s">
        <v>1639</v>
      </c>
      <c r="D69" s="145" t="s">
        <v>1085</v>
      </c>
      <c r="E69" s="172" t="s">
        <v>454</v>
      </c>
      <c r="F69" s="159" t="s">
        <v>454</v>
      </c>
      <c r="G69" s="159" t="s">
        <v>454</v>
      </c>
      <c r="H69" s="159" t="s">
        <v>454</v>
      </c>
      <c r="I69" s="159" t="s">
        <v>454</v>
      </c>
      <c r="J69" s="159" t="s">
        <v>454</v>
      </c>
      <c r="K69" s="148" t="s">
        <v>768</v>
      </c>
      <c r="L69" s="148" t="s">
        <v>1684</v>
      </c>
      <c r="M69" s="148"/>
      <c r="N69" s="149" t="s">
        <v>0</v>
      </c>
      <c r="O69" s="150">
        <v>244.17</v>
      </c>
      <c r="P69" s="150">
        <v>406.95</v>
      </c>
      <c r="Q69" s="145">
        <v>0.5</v>
      </c>
      <c r="R69" s="199">
        <f t="shared" si="3"/>
        <v>125</v>
      </c>
      <c r="S69" s="152">
        <f t="shared" si="4"/>
        <v>469.45</v>
      </c>
      <c r="T69" s="12"/>
    </row>
    <row r="70" spans="1:20">
      <c r="A70" s="162" t="s">
        <v>520</v>
      </c>
      <c r="B70" s="144" t="s">
        <v>825</v>
      </c>
      <c r="C70" s="144" t="s">
        <v>1791</v>
      </c>
      <c r="D70" s="145" t="s">
        <v>1986</v>
      </c>
      <c r="E70" s="172" t="s">
        <v>454</v>
      </c>
      <c r="F70" s="159" t="s">
        <v>454</v>
      </c>
      <c r="G70" s="159" t="s">
        <v>454</v>
      </c>
      <c r="H70" s="159" t="s">
        <v>454</v>
      </c>
      <c r="I70" s="159" t="s">
        <v>454</v>
      </c>
      <c r="J70" s="159" t="s">
        <v>454</v>
      </c>
      <c r="K70" s="148" t="s">
        <v>768</v>
      </c>
      <c r="L70" s="148" t="s">
        <v>1684</v>
      </c>
      <c r="M70" s="148"/>
      <c r="N70" s="149" t="s">
        <v>10</v>
      </c>
      <c r="O70" s="150">
        <v>281.37</v>
      </c>
      <c r="P70" s="150">
        <v>468.95</v>
      </c>
      <c r="Q70" s="145">
        <v>0.5</v>
      </c>
      <c r="R70" s="199">
        <f t="shared" si="3"/>
        <v>125</v>
      </c>
      <c r="S70" s="152">
        <f t="shared" si="4"/>
        <v>531.45000000000005</v>
      </c>
      <c r="T70" s="12"/>
    </row>
    <row r="71" spans="1:20">
      <c r="A71" s="162" t="s">
        <v>861</v>
      </c>
      <c r="B71" s="144" t="s">
        <v>2066</v>
      </c>
      <c r="C71" s="144" t="s">
        <v>1853</v>
      </c>
      <c r="D71" s="145" t="s">
        <v>1707</v>
      </c>
      <c r="E71" s="172" t="s">
        <v>454</v>
      </c>
      <c r="F71" s="159" t="s">
        <v>454</v>
      </c>
      <c r="G71" s="159" t="s">
        <v>454</v>
      </c>
      <c r="H71" s="159" t="s">
        <v>454</v>
      </c>
      <c r="I71" s="159" t="s">
        <v>454</v>
      </c>
      <c r="J71" s="159" t="s">
        <v>454</v>
      </c>
      <c r="K71" s="148" t="s">
        <v>768</v>
      </c>
      <c r="L71" s="148" t="s">
        <v>1684</v>
      </c>
      <c r="M71" s="148"/>
      <c r="N71" s="149" t="s">
        <v>10</v>
      </c>
      <c r="O71" s="150">
        <v>769.97</v>
      </c>
      <c r="P71" s="150">
        <v>1099.95</v>
      </c>
      <c r="Q71" s="145">
        <v>0.5</v>
      </c>
      <c r="R71" s="199">
        <f t="shared" si="3"/>
        <v>125</v>
      </c>
      <c r="S71" s="152">
        <f t="shared" si="4"/>
        <v>1162.45</v>
      </c>
      <c r="T71" s="12"/>
    </row>
    <row r="72" spans="1:20">
      <c r="A72" s="162" t="s">
        <v>862</v>
      </c>
      <c r="B72" s="144" t="s">
        <v>2067</v>
      </c>
      <c r="C72" s="144" t="s">
        <v>2110</v>
      </c>
      <c r="D72" s="145" t="s">
        <v>1707</v>
      </c>
      <c r="E72" s="172" t="s">
        <v>454</v>
      </c>
      <c r="F72" s="159" t="s">
        <v>454</v>
      </c>
      <c r="G72" s="159" t="s">
        <v>454</v>
      </c>
      <c r="H72" s="159" t="s">
        <v>454</v>
      </c>
      <c r="I72" s="159" t="s">
        <v>454</v>
      </c>
      <c r="J72" s="159" t="s">
        <v>454</v>
      </c>
      <c r="K72" s="148" t="s">
        <v>768</v>
      </c>
      <c r="L72" s="148" t="s">
        <v>1684</v>
      </c>
      <c r="M72" s="148"/>
      <c r="N72" s="149" t="s">
        <v>10</v>
      </c>
      <c r="O72" s="150">
        <v>476.43</v>
      </c>
      <c r="P72" s="150">
        <v>669.95</v>
      </c>
      <c r="Q72" s="145">
        <v>0.5</v>
      </c>
      <c r="R72" s="199">
        <f t="shared" si="3"/>
        <v>125</v>
      </c>
      <c r="S72" s="152">
        <f t="shared" si="4"/>
        <v>732.45</v>
      </c>
      <c r="T72" s="12"/>
    </row>
    <row r="73" spans="1:20">
      <c r="A73" s="162" t="s">
        <v>1610</v>
      </c>
      <c r="B73" s="144" t="s">
        <v>860</v>
      </c>
      <c r="C73" s="144" t="s">
        <v>866</v>
      </c>
      <c r="D73" s="145" t="s">
        <v>1707</v>
      </c>
      <c r="E73" s="172" t="s">
        <v>454</v>
      </c>
      <c r="F73" s="159" t="s">
        <v>454</v>
      </c>
      <c r="G73" s="159" t="s">
        <v>454</v>
      </c>
      <c r="H73" s="159" t="s">
        <v>454</v>
      </c>
      <c r="I73" s="159" t="s">
        <v>454</v>
      </c>
      <c r="J73" s="159" t="s">
        <v>454</v>
      </c>
      <c r="K73" s="167"/>
      <c r="L73" s="224" t="s">
        <v>1684</v>
      </c>
      <c r="M73" s="224"/>
      <c r="N73" s="149" t="s">
        <v>10</v>
      </c>
      <c r="O73" s="169">
        <v>392.67</v>
      </c>
      <c r="P73" s="169">
        <v>560.95000000000005</v>
      </c>
      <c r="Q73" s="145">
        <v>1.5</v>
      </c>
      <c r="R73" s="199">
        <f t="shared" si="3"/>
        <v>125</v>
      </c>
      <c r="S73" s="153">
        <f t="shared" si="4"/>
        <v>748.45</v>
      </c>
      <c r="T73" s="12"/>
    </row>
    <row r="74" spans="1:20">
      <c r="A74" s="162" t="s">
        <v>525</v>
      </c>
      <c r="B74" s="144" t="s">
        <v>763</v>
      </c>
      <c r="C74" s="144" t="s">
        <v>994</v>
      </c>
      <c r="D74" s="145"/>
      <c r="E74" s="172" t="s">
        <v>454</v>
      </c>
      <c r="F74" s="159" t="s">
        <v>454</v>
      </c>
      <c r="G74" s="159" t="s">
        <v>454</v>
      </c>
      <c r="H74" s="159" t="s">
        <v>454</v>
      </c>
      <c r="I74" s="159" t="s">
        <v>454</v>
      </c>
      <c r="J74" s="159" t="s">
        <v>454</v>
      </c>
      <c r="K74" s="148" t="s">
        <v>768</v>
      </c>
      <c r="L74" s="148" t="s">
        <v>1684</v>
      </c>
      <c r="M74" s="148"/>
      <c r="N74" s="149" t="s">
        <v>0</v>
      </c>
      <c r="O74" s="150">
        <v>163.77000000000001</v>
      </c>
      <c r="P74" s="150">
        <v>272.95</v>
      </c>
      <c r="Q74" s="145">
        <v>0.5</v>
      </c>
      <c r="R74" s="199">
        <f t="shared" si="3"/>
        <v>125</v>
      </c>
      <c r="S74" s="152">
        <f t="shared" si="4"/>
        <v>335.45</v>
      </c>
      <c r="T74" s="12"/>
    </row>
    <row r="75" spans="1:20">
      <c r="A75" s="162" t="s">
        <v>534</v>
      </c>
      <c r="B75" s="144" t="s">
        <v>556</v>
      </c>
      <c r="C75" s="144" t="s">
        <v>995</v>
      </c>
      <c r="D75" s="145"/>
      <c r="E75" s="172" t="s">
        <v>454</v>
      </c>
      <c r="F75" s="159" t="s">
        <v>454</v>
      </c>
      <c r="G75" s="159" t="s">
        <v>454</v>
      </c>
      <c r="H75" s="159" t="s">
        <v>454</v>
      </c>
      <c r="I75" s="159" t="s">
        <v>454</v>
      </c>
      <c r="J75" s="159" t="s">
        <v>454</v>
      </c>
      <c r="K75" s="148" t="s">
        <v>768</v>
      </c>
      <c r="L75" s="148" t="s">
        <v>1684</v>
      </c>
      <c r="M75" s="148"/>
      <c r="N75" s="149" t="s">
        <v>0</v>
      </c>
      <c r="O75" s="150">
        <v>334.17</v>
      </c>
      <c r="P75" s="150">
        <v>556.95000000000005</v>
      </c>
      <c r="Q75" s="145">
        <v>0.5</v>
      </c>
      <c r="R75" s="199">
        <f t="shared" si="3"/>
        <v>125</v>
      </c>
      <c r="S75" s="152">
        <f t="shared" si="4"/>
        <v>619.45000000000005</v>
      </c>
      <c r="T75" s="12"/>
    </row>
    <row r="76" spans="1:20">
      <c r="A76" s="162" t="s">
        <v>2077</v>
      </c>
      <c r="B76" s="144" t="s">
        <v>2081</v>
      </c>
      <c r="C76" s="144" t="s">
        <v>2086</v>
      </c>
      <c r="D76" s="145"/>
      <c r="E76" s="172" t="s">
        <v>454</v>
      </c>
      <c r="F76" s="159" t="s">
        <v>454</v>
      </c>
      <c r="G76" s="159" t="s">
        <v>454</v>
      </c>
      <c r="H76" s="159" t="s">
        <v>454</v>
      </c>
      <c r="I76" s="159" t="s">
        <v>454</v>
      </c>
      <c r="J76" s="159" t="s">
        <v>454</v>
      </c>
      <c r="K76" s="167"/>
      <c r="L76" s="167"/>
      <c r="M76" s="167"/>
      <c r="N76" s="149" t="s">
        <v>10</v>
      </c>
      <c r="O76" s="169">
        <v>119.97</v>
      </c>
      <c r="P76" s="169">
        <v>199.95</v>
      </c>
      <c r="Q76" s="145">
        <v>0.1</v>
      </c>
      <c r="R76" s="199">
        <f t="shared" si="3"/>
        <v>125</v>
      </c>
      <c r="S76" s="153">
        <f t="shared" si="4"/>
        <v>212.45</v>
      </c>
    </row>
    <row r="77" spans="1:20">
      <c r="A77" s="162" t="s">
        <v>510</v>
      </c>
      <c r="B77" s="144" t="s">
        <v>1854</v>
      </c>
      <c r="C77" s="144" t="s">
        <v>2008</v>
      </c>
      <c r="D77" s="145" t="s">
        <v>1055</v>
      </c>
      <c r="E77" s="172" t="s">
        <v>454</v>
      </c>
      <c r="F77" s="159" t="s">
        <v>454</v>
      </c>
      <c r="G77" s="159" t="s">
        <v>454</v>
      </c>
      <c r="H77" s="159" t="s">
        <v>454</v>
      </c>
      <c r="I77" s="159" t="s">
        <v>454</v>
      </c>
      <c r="J77" s="159" t="s">
        <v>454</v>
      </c>
      <c r="K77" s="148" t="s">
        <v>768</v>
      </c>
      <c r="L77" s="148" t="s">
        <v>1684</v>
      </c>
      <c r="M77" s="148"/>
      <c r="N77" s="149" t="s">
        <v>10</v>
      </c>
      <c r="O77" s="150">
        <v>578.37</v>
      </c>
      <c r="P77" s="150">
        <v>963.95</v>
      </c>
      <c r="Q77" s="145">
        <v>0.8</v>
      </c>
      <c r="R77" s="199">
        <f t="shared" si="3"/>
        <v>125</v>
      </c>
      <c r="S77" s="152">
        <f t="shared" si="4"/>
        <v>1063.95</v>
      </c>
      <c r="T77" s="12"/>
    </row>
    <row r="78" spans="1:20">
      <c r="A78" s="162" t="s">
        <v>518</v>
      </c>
      <c r="B78" s="144" t="s">
        <v>553</v>
      </c>
      <c r="C78" s="144" t="s">
        <v>996</v>
      </c>
      <c r="D78" s="145"/>
      <c r="E78" s="172" t="s">
        <v>454</v>
      </c>
      <c r="F78" s="159" t="s">
        <v>454</v>
      </c>
      <c r="G78" s="159" t="s">
        <v>454</v>
      </c>
      <c r="H78" s="159" t="s">
        <v>454</v>
      </c>
      <c r="I78" s="159" t="s">
        <v>454</v>
      </c>
      <c r="J78" s="159" t="s">
        <v>454</v>
      </c>
      <c r="K78" s="148" t="s">
        <v>768</v>
      </c>
      <c r="L78" s="148" t="s">
        <v>1684</v>
      </c>
      <c r="M78" s="148"/>
      <c r="N78" s="149" t="s">
        <v>10</v>
      </c>
      <c r="O78" s="150">
        <v>160.16</v>
      </c>
      <c r="P78" s="150">
        <v>266.95</v>
      </c>
      <c r="Q78" s="145">
        <v>0.5</v>
      </c>
      <c r="R78" s="199">
        <f t="shared" si="3"/>
        <v>125</v>
      </c>
      <c r="S78" s="152">
        <f t="shared" si="4"/>
        <v>329.45</v>
      </c>
      <c r="T78" s="12"/>
    </row>
    <row r="79" spans="1:20">
      <c r="A79" s="162" t="s">
        <v>2019</v>
      </c>
      <c r="B79" s="144" t="s">
        <v>2016</v>
      </c>
      <c r="C79" s="144" t="s">
        <v>2017</v>
      </c>
      <c r="D79" s="149"/>
      <c r="E79" s="172" t="s">
        <v>454</v>
      </c>
      <c r="F79" s="159" t="s">
        <v>454</v>
      </c>
      <c r="G79" s="159" t="s">
        <v>454</v>
      </c>
      <c r="H79" s="159" t="s">
        <v>454</v>
      </c>
      <c r="I79" s="159" t="s">
        <v>454</v>
      </c>
      <c r="J79" s="159" t="s">
        <v>454</v>
      </c>
      <c r="K79" s="167" t="s">
        <v>768</v>
      </c>
      <c r="L79" s="167"/>
      <c r="M79" s="167"/>
      <c r="N79" s="149" t="s">
        <v>10</v>
      </c>
      <c r="O79" s="169">
        <v>424.29</v>
      </c>
      <c r="P79" s="169">
        <v>699.95</v>
      </c>
      <c r="Q79" s="145">
        <v>1</v>
      </c>
      <c r="R79" s="199">
        <f t="shared" si="3"/>
        <v>125</v>
      </c>
      <c r="S79" s="153">
        <f t="shared" si="4"/>
        <v>824.95</v>
      </c>
      <c r="T79" s="12"/>
    </row>
    <row r="80" spans="1:20">
      <c r="A80" s="162" t="s">
        <v>504</v>
      </c>
      <c r="B80" s="144" t="s">
        <v>951</v>
      </c>
      <c r="C80" s="144" t="s">
        <v>997</v>
      </c>
      <c r="D80" s="145"/>
      <c r="E80" s="172" t="s">
        <v>454</v>
      </c>
      <c r="F80" s="159" t="s">
        <v>454</v>
      </c>
      <c r="G80" s="159" t="s">
        <v>454</v>
      </c>
      <c r="H80" s="159" t="s">
        <v>454</v>
      </c>
      <c r="I80" s="159" t="s">
        <v>454</v>
      </c>
      <c r="J80" s="159" t="s">
        <v>410</v>
      </c>
      <c r="K80" s="148" t="s">
        <v>768</v>
      </c>
      <c r="L80" s="148" t="s">
        <v>1684</v>
      </c>
      <c r="M80" s="148"/>
      <c r="N80" s="149" t="s">
        <v>10</v>
      </c>
      <c r="O80" s="150">
        <v>719.37</v>
      </c>
      <c r="P80" s="150">
        <v>1198.95</v>
      </c>
      <c r="Q80" s="145">
        <v>1</v>
      </c>
      <c r="R80" s="199">
        <f t="shared" si="3"/>
        <v>125</v>
      </c>
      <c r="S80" s="152">
        <f t="shared" si="4"/>
        <v>1323.95</v>
      </c>
      <c r="T80" s="12"/>
    </row>
    <row r="81" spans="1:20">
      <c r="A81" s="162" t="s">
        <v>507</v>
      </c>
      <c r="B81" s="144" t="s">
        <v>952</v>
      </c>
      <c r="C81" s="144" t="s">
        <v>998</v>
      </c>
      <c r="D81" s="145"/>
      <c r="E81" s="172" t="s">
        <v>454</v>
      </c>
      <c r="F81" s="159" t="s">
        <v>454</v>
      </c>
      <c r="G81" s="159" t="s">
        <v>454</v>
      </c>
      <c r="H81" s="159" t="s">
        <v>454</v>
      </c>
      <c r="I81" s="159" t="s">
        <v>454</v>
      </c>
      <c r="J81" s="159" t="s">
        <v>410</v>
      </c>
      <c r="K81" s="148" t="s">
        <v>768</v>
      </c>
      <c r="L81" s="148" t="s">
        <v>1684</v>
      </c>
      <c r="M81" s="148"/>
      <c r="N81" s="149" t="s">
        <v>10</v>
      </c>
      <c r="O81" s="150">
        <v>719.37</v>
      </c>
      <c r="P81" s="150">
        <v>1198.95</v>
      </c>
      <c r="Q81" s="145">
        <v>1</v>
      </c>
      <c r="R81" s="199">
        <f t="shared" si="3"/>
        <v>125</v>
      </c>
      <c r="S81" s="152">
        <f t="shared" si="4"/>
        <v>1323.95</v>
      </c>
      <c r="T81" s="12"/>
    </row>
    <row r="82" spans="1:20">
      <c r="A82" s="162" t="s">
        <v>506</v>
      </c>
      <c r="B82" s="144" t="s">
        <v>1013</v>
      </c>
      <c r="C82" s="144" t="s">
        <v>999</v>
      </c>
      <c r="D82" s="145"/>
      <c r="E82" s="172" t="s">
        <v>454</v>
      </c>
      <c r="F82" s="159" t="s">
        <v>454</v>
      </c>
      <c r="G82" s="159" t="s">
        <v>454</v>
      </c>
      <c r="H82" s="159" t="s">
        <v>454</v>
      </c>
      <c r="I82" s="159" t="s">
        <v>454</v>
      </c>
      <c r="J82" s="159" t="s">
        <v>410</v>
      </c>
      <c r="K82" s="148" t="s">
        <v>768</v>
      </c>
      <c r="L82" s="148" t="s">
        <v>1684</v>
      </c>
      <c r="M82" s="148"/>
      <c r="N82" s="149" t="s">
        <v>10</v>
      </c>
      <c r="O82" s="150">
        <v>719.37</v>
      </c>
      <c r="P82" s="150">
        <v>1198.95</v>
      </c>
      <c r="Q82" s="145">
        <v>1</v>
      </c>
      <c r="R82" s="199">
        <f t="shared" si="3"/>
        <v>125</v>
      </c>
      <c r="S82" s="152">
        <f t="shared" si="4"/>
        <v>1323.95</v>
      </c>
      <c r="T82" s="12"/>
    </row>
    <row r="83" spans="1:20">
      <c r="A83" s="162" t="s">
        <v>1837</v>
      </c>
      <c r="B83" s="144" t="s">
        <v>1882</v>
      </c>
      <c r="C83" s="144" t="s">
        <v>1871</v>
      </c>
      <c r="D83" s="145"/>
      <c r="E83" s="172" t="s">
        <v>454</v>
      </c>
      <c r="F83" s="159" t="s">
        <v>454</v>
      </c>
      <c r="G83" s="159" t="s">
        <v>454</v>
      </c>
      <c r="H83" s="159" t="s">
        <v>454</v>
      </c>
      <c r="I83" s="159" t="s">
        <v>454</v>
      </c>
      <c r="J83" s="159" t="s">
        <v>454</v>
      </c>
      <c r="K83" s="167" t="s">
        <v>768</v>
      </c>
      <c r="L83" s="167" t="s">
        <v>1684</v>
      </c>
      <c r="M83" s="167"/>
      <c r="N83" s="149" t="s">
        <v>10</v>
      </c>
      <c r="O83" s="169">
        <v>719.37</v>
      </c>
      <c r="P83" s="169">
        <v>1198.95</v>
      </c>
      <c r="Q83" s="145">
        <v>1</v>
      </c>
      <c r="R83" s="199">
        <f t="shared" si="3"/>
        <v>125</v>
      </c>
      <c r="S83" s="153">
        <f t="shared" si="4"/>
        <v>1323.95</v>
      </c>
      <c r="T83" s="12"/>
    </row>
    <row r="84" spans="1:20">
      <c r="A84" s="162" t="s">
        <v>503</v>
      </c>
      <c r="B84" s="144" t="s">
        <v>1027</v>
      </c>
      <c r="C84" s="144" t="s">
        <v>1032</v>
      </c>
      <c r="D84" s="145"/>
      <c r="E84" s="172" t="s">
        <v>410</v>
      </c>
      <c r="F84" s="159" t="s">
        <v>410</v>
      </c>
      <c r="G84" s="159" t="s">
        <v>454</v>
      </c>
      <c r="H84" s="159" t="s">
        <v>454</v>
      </c>
      <c r="I84" s="159" t="s">
        <v>454</v>
      </c>
      <c r="J84" s="159" t="s">
        <v>454</v>
      </c>
      <c r="K84" s="148" t="s">
        <v>768</v>
      </c>
      <c r="L84" s="148" t="s">
        <v>1684</v>
      </c>
      <c r="M84" s="148"/>
      <c r="N84" s="149" t="s">
        <v>10</v>
      </c>
      <c r="O84" s="150">
        <v>719.37</v>
      </c>
      <c r="P84" s="150">
        <v>1198.95</v>
      </c>
      <c r="Q84" s="145">
        <v>1</v>
      </c>
      <c r="R84" s="199">
        <f t="shared" si="3"/>
        <v>125</v>
      </c>
      <c r="S84" s="152">
        <f t="shared" si="4"/>
        <v>1323.95</v>
      </c>
      <c r="T84" s="12"/>
    </row>
    <row r="85" spans="1:20">
      <c r="A85" s="162" t="s">
        <v>505</v>
      </c>
      <c r="B85" s="144" t="s">
        <v>953</v>
      </c>
      <c r="C85" s="144" t="s">
        <v>1000</v>
      </c>
      <c r="D85" s="145"/>
      <c r="E85" s="172" t="s">
        <v>454</v>
      </c>
      <c r="F85" s="159" t="s">
        <v>454</v>
      </c>
      <c r="G85" s="159" t="s">
        <v>454</v>
      </c>
      <c r="H85" s="159" t="s">
        <v>454</v>
      </c>
      <c r="I85" s="159" t="s">
        <v>454</v>
      </c>
      <c r="J85" s="159" t="s">
        <v>454</v>
      </c>
      <c r="K85" s="148" t="s">
        <v>768</v>
      </c>
      <c r="L85" s="148" t="s">
        <v>1684</v>
      </c>
      <c r="M85" s="148"/>
      <c r="N85" s="149" t="s">
        <v>10</v>
      </c>
      <c r="O85" s="150">
        <v>719.37</v>
      </c>
      <c r="P85" s="150">
        <v>1198.95</v>
      </c>
      <c r="Q85" s="145">
        <v>1</v>
      </c>
      <c r="R85" s="199">
        <f t="shared" si="3"/>
        <v>125</v>
      </c>
      <c r="S85" s="152">
        <f t="shared" si="4"/>
        <v>1323.95</v>
      </c>
      <c r="T85" s="12"/>
    </row>
    <row r="86" spans="1:20">
      <c r="A86" s="162" t="s">
        <v>501</v>
      </c>
      <c r="B86" s="144" t="s">
        <v>1019</v>
      </c>
      <c r="C86" s="144" t="s">
        <v>1023</v>
      </c>
      <c r="D86" s="145"/>
      <c r="E86" s="172" t="s">
        <v>454</v>
      </c>
      <c r="F86" s="159" t="s">
        <v>454</v>
      </c>
      <c r="G86" s="159" t="s">
        <v>454</v>
      </c>
      <c r="H86" s="159" t="s">
        <v>454</v>
      </c>
      <c r="I86" s="159" t="s">
        <v>454</v>
      </c>
      <c r="J86" s="159" t="s">
        <v>454</v>
      </c>
      <c r="K86" s="148" t="s">
        <v>768</v>
      </c>
      <c r="L86" s="148" t="s">
        <v>1684</v>
      </c>
      <c r="M86" s="148"/>
      <c r="N86" s="149" t="s">
        <v>10</v>
      </c>
      <c r="O86" s="150">
        <v>719.37</v>
      </c>
      <c r="P86" s="150">
        <v>1198.95</v>
      </c>
      <c r="Q86" s="145">
        <v>1</v>
      </c>
      <c r="R86" s="199">
        <f t="shared" si="3"/>
        <v>125</v>
      </c>
      <c r="S86" s="152">
        <f t="shared" si="4"/>
        <v>1323.95</v>
      </c>
      <c r="T86" s="12"/>
    </row>
    <row r="87" spans="1:20">
      <c r="A87" s="162" t="s">
        <v>500</v>
      </c>
      <c r="B87" s="144" t="s">
        <v>954</v>
      </c>
      <c r="C87" s="144" t="s">
        <v>1001</v>
      </c>
      <c r="D87" s="145"/>
      <c r="E87" s="172" t="s">
        <v>454</v>
      </c>
      <c r="F87" s="159" t="s">
        <v>454</v>
      </c>
      <c r="G87" s="159" t="s">
        <v>454</v>
      </c>
      <c r="H87" s="159" t="s">
        <v>454</v>
      </c>
      <c r="I87" s="159" t="s">
        <v>454</v>
      </c>
      <c r="J87" s="159" t="s">
        <v>454</v>
      </c>
      <c r="K87" s="148" t="s">
        <v>768</v>
      </c>
      <c r="L87" s="148" t="s">
        <v>1684</v>
      </c>
      <c r="M87" s="148"/>
      <c r="N87" s="149" t="s">
        <v>10</v>
      </c>
      <c r="O87" s="150">
        <v>719.37</v>
      </c>
      <c r="P87" s="150">
        <v>1198.95</v>
      </c>
      <c r="Q87" s="145">
        <v>1</v>
      </c>
      <c r="R87" s="199">
        <f t="shared" si="3"/>
        <v>125</v>
      </c>
      <c r="S87" s="152">
        <f t="shared" si="4"/>
        <v>1323.95</v>
      </c>
      <c r="T87" s="12"/>
    </row>
    <row r="88" spans="1:20">
      <c r="A88" s="162" t="s">
        <v>470</v>
      </c>
      <c r="B88" s="144" t="s">
        <v>543</v>
      </c>
      <c r="C88" s="144" t="s">
        <v>1002</v>
      </c>
      <c r="D88" s="145"/>
      <c r="E88" s="172" t="s">
        <v>454</v>
      </c>
      <c r="F88" s="159" t="s">
        <v>454</v>
      </c>
      <c r="G88" s="159" t="s">
        <v>454</v>
      </c>
      <c r="H88" s="159" t="s">
        <v>454</v>
      </c>
      <c r="I88" s="159" t="s">
        <v>454</v>
      </c>
      <c r="J88" s="159" t="s">
        <v>454</v>
      </c>
      <c r="K88" s="148" t="s">
        <v>768</v>
      </c>
      <c r="L88" s="148" t="s">
        <v>1684</v>
      </c>
      <c r="M88" s="148"/>
      <c r="N88" s="149" t="s">
        <v>10</v>
      </c>
      <c r="O88" s="150">
        <v>154.16</v>
      </c>
      <c r="P88" s="150">
        <v>256.95</v>
      </c>
      <c r="Q88" s="145">
        <v>0.8</v>
      </c>
      <c r="R88" s="199">
        <f t="shared" si="3"/>
        <v>125</v>
      </c>
      <c r="S88" s="152">
        <f t="shared" si="4"/>
        <v>356.95</v>
      </c>
      <c r="T88" s="12"/>
    </row>
    <row r="89" spans="1:20">
      <c r="A89" s="162" t="s">
        <v>516</v>
      </c>
      <c r="B89" s="144" t="s">
        <v>551</v>
      </c>
      <c r="C89" s="144" t="s">
        <v>2025</v>
      </c>
      <c r="D89" s="145"/>
      <c r="E89" s="172" t="s">
        <v>454</v>
      </c>
      <c r="F89" s="159" t="s">
        <v>454</v>
      </c>
      <c r="G89" s="159" t="s">
        <v>454</v>
      </c>
      <c r="H89" s="159" t="s">
        <v>454</v>
      </c>
      <c r="I89" s="159" t="s">
        <v>454</v>
      </c>
      <c r="J89" s="159" t="s">
        <v>454</v>
      </c>
      <c r="K89" s="148" t="s">
        <v>768</v>
      </c>
      <c r="L89" s="148" t="s">
        <v>1684</v>
      </c>
      <c r="M89" s="148"/>
      <c r="N89" s="149" t="s">
        <v>10</v>
      </c>
      <c r="O89" s="150">
        <v>125.97</v>
      </c>
      <c r="P89" s="150">
        <v>209.95</v>
      </c>
      <c r="Q89" s="145">
        <v>0.2</v>
      </c>
      <c r="R89" s="199">
        <f t="shared" si="3"/>
        <v>125</v>
      </c>
      <c r="S89" s="152">
        <f t="shared" si="4"/>
        <v>234.95</v>
      </c>
      <c r="T89" s="12"/>
    </row>
    <row r="90" spans="1:20">
      <c r="A90" s="162" t="s">
        <v>1894</v>
      </c>
      <c r="B90" s="144" t="s">
        <v>2061</v>
      </c>
      <c r="C90" s="144" t="s">
        <v>764</v>
      </c>
      <c r="D90" s="145"/>
      <c r="E90" s="172"/>
      <c r="F90" s="159"/>
      <c r="G90" s="159" t="s">
        <v>454</v>
      </c>
      <c r="H90" s="159" t="s">
        <v>454</v>
      </c>
      <c r="I90" s="159" t="s">
        <v>454</v>
      </c>
      <c r="J90" s="159" t="s">
        <v>454</v>
      </c>
      <c r="K90" s="167" t="s">
        <v>768</v>
      </c>
      <c r="L90" s="167" t="s">
        <v>1684</v>
      </c>
      <c r="M90" s="167"/>
      <c r="N90" s="149" t="s">
        <v>10</v>
      </c>
      <c r="O90" s="169">
        <v>447.57</v>
      </c>
      <c r="P90" s="169">
        <v>745.95</v>
      </c>
      <c r="Q90" s="145">
        <v>0.7</v>
      </c>
      <c r="R90" s="199">
        <f t="shared" si="3"/>
        <v>125</v>
      </c>
      <c r="S90" s="153">
        <f t="shared" si="4"/>
        <v>833.45</v>
      </c>
      <c r="T90" s="12"/>
    </row>
    <row r="91" spans="1:20">
      <c r="A91" s="162" t="s">
        <v>1897</v>
      </c>
      <c r="B91" s="144" t="s">
        <v>2058</v>
      </c>
      <c r="C91" s="144" t="s">
        <v>322</v>
      </c>
      <c r="D91" s="145"/>
      <c r="E91" s="172" t="s">
        <v>454</v>
      </c>
      <c r="F91" s="159" t="s">
        <v>454</v>
      </c>
      <c r="G91" s="159" t="s">
        <v>454</v>
      </c>
      <c r="H91" s="159" t="s">
        <v>454</v>
      </c>
      <c r="I91" s="159" t="s">
        <v>454</v>
      </c>
      <c r="J91" s="159" t="s">
        <v>454</v>
      </c>
      <c r="K91" s="167" t="s">
        <v>768</v>
      </c>
      <c r="L91" s="167" t="s">
        <v>1684</v>
      </c>
      <c r="M91" s="167"/>
      <c r="N91" s="149" t="s">
        <v>10</v>
      </c>
      <c r="O91" s="169">
        <v>447.57</v>
      </c>
      <c r="P91" s="169">
        <v>745.95</v>
      </c>
      <c r="Q91" s="145">
        <v>0.7</v>
      </c>
      <c r="R91" s="199">
        <f t="shared" si="3"/>
        <v>125</v>
      </c>
      <c r="S91" s="153">
        <f t="shared" si="4"/>
        <v>833.45</v>
      </c>
      <c r="T91" s="12"/>
    </row>
    <row r="92" spans="1:20">
      <c r="A92" s="162" t="s">
        <v>1896</v>
      </c>
      <c r="B92" s="144" t="s">
        <v>2062</v>
      </c>
      <c r="C92" s="144" t="s">
        <v>1872</v>
      </c>
      <c r="D92" s="145"/>
      <c r="E92" s="172" t="s">
        <v>454</v>
      </c>
      <c r="F92" s="159" t="s">
        <v>454</v>
      </c>
      <c r="G92" s="159" t="s">
        <v>454</v>
      </c>
      <c r="H92" s="159" t="s">
        <v>454</v>
      </c>
      <c r="I92" s="159" t="s">
        <v>454</v>
      </c>
      <c r="J92" s="159" t="s">
        <v>454</v>
      </c>
      <c r="K92" s="167" t="s">
        <v>768</v>
      </c>
      <c r="L92" s="167" t="s">
        <v>1684</v>
      </c>
      <c r="M92" s="167"/>
      <c r="N92" s="149" t="s">
        <v>10</v>
      </c>
      <c r="O92" s="169">
        <v>447.57</v>
      </c>
      <c r="P92" s="169">
        <v>745.95</v>
      </c>
      <c r="Q92" s="145">
        <v>0.7</v>
      </c>
      <c r="R92" s="199">
        <f t="shared" si="3"/>
        <v>125</v>
      </c>
      <c r="S92" s="153">
        <f t="shared" si="4"/>
        <v>833.45</v>
      </c>
      <c r="T92" s="12"/>
    </row>
    <row r="93" spans="1:20" s="7" customFormat="1" ht="12.75">
      <c r="A93" s="162" t="s">
        <v>1893</v>
      </c>
      <c r="B93" s="144" t="s">
        <v>2059</v>
      </c>
      <c r="C93" s="144" t="s">
        <v>1033</v>
      </c>
      <c r="D93" s="145"/>
      <c r="E93" s="172" t="s">
        <v>454</v>
      </c>
      <c r="F93" s="159" t="s">
        <v>454</v>
      </c>
      <c r="G93" s="159"/>
      <c r="H93" s="159"/>
      <c r="I93" s="159"/>
      <c r="J93" s="159"/>
      <c r="K93" s="167" t="s">
        <v>768</v>
      </c>
      <c r="L93" s="167" t="s">
        <v>1684</v>
      </c>
      <c r="M93" s="167"/>
      <c r="N93" s="149" t="s">
        <v>10</v>
      </c>
      <c r="O93" s="169">
        <v>447.57</v>
      </c>
      <c r="P93" s="169">
        <v>745.95</v>
      </c>
      <c r="Q93" s="145">
        <v>0.7</v>
      </c>
      <c r="R93" s="199">
        <f t="shared" si="3"/>
        <v>125</v>
      </c>
      <c r="S93" s="153">
        <f t="shared" si="4"/>
        <v>833.45</v>
      </c>
      <c r="T93" s="12"/>
    </row>
    <row r="94" spans="1:20">
      <c r="A94" s="162" t="s">
        <v>1946</v>
      </c>
      <c r="B94" s="144" t="s">
        <v>2063</v>
      </c>
      <c r="C94" s="144" t="s">
        <v>1969</v>
      </c>
      <c r="D94" s="145"/>
      <c r="E94" s="172"/>
      <c r="F94" s="159"/>
      <c r="G94" s="159"/>
      <c r="H94" s="159" t="s">
        <v>454</v>
      </c>
      <c r="I94" s="159" t="s">
        <v>454</v>
      </c>
      <c r="J94" s="159" t="s">
        <v>454</v>
      </c>
      <c r="K94" s="167" t="s">
        <v>768</v>
      </c>
      <c r="L94" s="167" t="s">
        <v>1684</v>
      </c>
      <c r="M94" s="167"/>
      <c r="N94" s="149" t="s">
        <v>10</v>
      </c>
      <c r="O94" s="169">
        <v>447.57</v>
      </c>
      <c r="P94" s="169">
        <v>745.95</v>
      </c>
      <c r="Q94" s="145">
        <v>0.7</v>
      </c>
      <c r="R94" s="199">
        <f t="shared" si="3"/>
        <v>125</v>
      </c>
      <c r="S94" s="153">
        <f t="shared" si="4"/>
        <v>833.45</v>
      </c>
      <c r="T94" s="12"/>
    </row>
    <row r="95" spans="1:20" s="7" customFormat="1" ht="12.75">
      <c r="A95" s="162" t="s">
        <v>1898</v>
      </c>
      <c r="B95" s="144" t="s">
        <v>2060</v>
      </c>
      <c r="C95" s="144" t="s">
        <v>2091</v>
      </c>
      <c r="D95" s="145"/>
      <c r="E95" s="172" t="s">
        <v>454</v>
      </c>
      <c r="F95" s="159" t="s">
        <v>454</v>
      </c>
      <c r="G95" s="159" t="s">
        <v>454</v>
      </c>
      <c r="H95" s="159" t="s">
        <v>454</v>
      </c>
      <c r="I95" s="159" t="s">
        <v>454</v>
      </c>
      <c r="J95" s="159"/>
      <c r="K95" s="167" t="s">
        <v>768</v>
      </c>
      <c r="L95" s="167" t="s">
        <v>1684</v>
      </c>
      <c r="M95" s="167"/>
      <c r="N95" s="149" t="s">
        <v>10</v>
      </c>
      <c r="O95" s="169">
        <v>447.57</v>
      </c>
      <c r="P95" s="169">
        <v>745.95</v>
      </c>
      <c r="Q95" s="145">
        <v>0.7</v>
      </c>
      <c r="R95" s="199">
        <f t="shared" si="3"/>
        <v>125</v>
      </c>
      <c r="S95" s="153">
        <f t="shared" si="4"/>
        <v>833.45</v>
      </c>
      <c r="T95" s="12"/>
    </row>
    <row r="96" spans="1:20">
      <c r="A96" s="162" t="s">
        <v>1895</v>
      </c>
      <c r="B96" s="144" t="s">
        <v>2064</v>
      </c>
      <c r="C96" s="144" t="s">
        <v>317</v>
      </c>
      <c r="D96" s="145"/>
      <c r="E96" s="172" t="s">
        <v>454</v>
      </c>
      <c r="F96" s="159" t="s">
        <v>454</v>
      </c>
      <c r="G96" s="159" t="s">
        <v>454</v>
      </c>
      <c r="H96" s="159" t="s">
        <v>454</v>
      </c>
      <c r="I96" s="159" t="s">
        <v>454</v>
      </c>
      <c r="J96" s="159" t="s">
        <v>454</v>
      </c>
      <c r="K96" s="167" t="s">
        <v>768</v>
      </c>
      <c r="L96" s="167" t="s">
        <v>1684</v>
      </c>
      <c r="M96" s="167"/>
      <c r="N96" s="149" t="s">
        <v>10</v>
      </c>
      <c r="O96" s="169">
        <v>447.57</v>
      </c>
      <c r="P96" s="169">
        <v>745.95</v>
      </c>
      <c r="Q96" s="145">
        <v>0.7</v>
      </c>
      <c r="R96" s="199">
        <f t="shared" si="3"/>
        <v>125</v>
      </c>
      <c r="S96" s="153">
        <f t="shared" si="4"/>
        <v>833.45</v>
      </c>
      <c r="T96" s="12"/>
    </row>
    <row r="97" spans="1:20">
      <c r="A97" s="162" t="s">
        <v>1892</v>
      </c>
      <c r="B97" s="144" t="s">
        <v>2057</v>
      </c>
      <c r="C97" s="144" t="s">
        <v>844</v>
      </c>
      <c r="D97" s="145"/>
      <c r="E97" s="172" t="s">
        <v>454</v>
      </c>
      <c r="F97" s="159" t="s">
        <v>454</v>
      </c>
      <c r="G97" s="159" t="s">
        <v>454</v>
      </c>
      <c r="H97" s="159" t="s">
        <v>454</v>
      </c>
      <c r="I97" s="159" t="s">
        <v>454</v>
      </c>
      <c r="J97" s="159" t="s">
        <v>454</v>
      </c>
      <c r="K97" s="167" t="s">
        <v>768</v>
      </c>
      <c r="L97" s="167" t="s">
        <v>1684</v>
      </c>
      <c r="M97" s="167"/>
      <c r="N97" s="149" t="s">
        <v>10</v>
      </c>
      <c r="O97" s="169">
        <v>447.57</v>
      </c>
      <c r="P97" s="169">
        <v>745.95</v>
      </c>
      <c r="Q97" s="145">
        <v>0.7</v>
      </c>
      <c r="R97" s="199">
        <f t="shared" si="3"/>
        <v>125</v>
      </c>
      <c r="S97" s="153">
        <f t="shared" si="4"/>
        <v>833.45</v>
      </c>
      <c r="T97" s="12"/>
    </row>
    <row r="98" spans="1:20">
      <c r="A98" s="164" t="s">
        <v>2103</v>
      </c>
      <c r="B98" s="165" t="s">
        <v>2104</v>
      </c>
      <c r="C98" s="165" t="s">
        <v>2112</v>
      </c>
      <c r="D98" s="216" t="s">
        <v>2204</v>
      </c>
      <c r="E98" s="204" t="s">
        <v>454</v>
      </c>
      <c r="F98" s="205" t="s">
        <v>454</v>
      </c>
      <c r="G98" s="205" t="s">
        <v>454</v>
      </c>
      <c r="H98" s="205" t="s">
        <v>454</v>
      </c>
      <c r="I98" s="205" t="s">
        <v>454</v>
      </c>
      <c r="J98" s="205" t="s">
        <v>454</v>
      </c>
      <c r="K98" s="181"/>
      <c r="L98" s="181"/>
      <c r="M98" s="181"/>
      <c r="N98" s="182" t="s">
        <v>16</v>
      </c>
      <c r="O98" s="183">
        <v>498.7</v>
      </c>
      <c r="P98" s="183">
        <v>599.95000000000005</v>
      </c>
      <c r="Q98" s="207">
        <v>0</v>
      </c>
      <c r="R98" s="183">
        <f t="shared" si="3"/>
        <v>125</v>
      </c>
      <c r="S98" s="185">
        <f t="shared" si="4"/>
        <v>599.95000000000005</v>
      </c>
      <c r="T98" s="14"/>
    </row>
    <row r="99" spans="1:20">
      <c r="A99" s="162" t="s">
        <v>427</v>
      </c>
      <c r="B99" s="144" t="s">
        <v>895</v>
      </c>
      <c r="C99" s="144" t="s">
        <v>1944</v>
      </c>
      <c r="D99" s="145" t="s">
        <v>429</v>
      </c>
      <c r="E99" s="172" t="s">
        <v>454</v>
      </c>
      <c r="F99" s="159" t="s">
        <v>454</v>
      </c>
      <c r="G99" s="159" t="s">
        <v>454</v>
      </c>
      <c r="H99" s="159" t="s">
        <v>454</v>
      </c>
      <c r="I99" s="159" t="s">
        <v>454</v>
      </c>
      <c r="J99" s="159" t="s">
        <v>454</v>
      </c>
      <c r="K99" s="148" t="s">
        <v>768</v>
      </c>
      <c r="L99" s="148"/>
      <c r="M99" s="148"/>
      <c r="N99" s="149" t="s">
        <v>16</v>
      </c>
      <c r="O99" s="150">
        <v>45.12</v>
      </c>
      <c r="P99" s="150">
        <v>59.95</v>
      </c>
      <c r="Q99" s="145">
        <v>0</v>
      </c>
      <c r="R99" s="199">
        <f t="shared" si="3"/>
        <v>125</v>
      </c>
      <c r="S99" s="152">
        <f t="shared" si="4"/>
        <v>59.95</v>
      </c>
      <c r="T99" s="12"/>
    </row>
    <row r="100" spans="1:20">
      <c r="A100" s="230" t="s">
        <v>424</v>
      </c>
      <c r="B100" s="231" t="s">
        <v>772</v>
      </c>
      <c r="C100" s="232" t="s">
        <v>2111</v>
      </c>
      <c r="D100" s="233" t="s">
        <v>432</v>
      </c>
      <c r="E100" s="234" t="s">
        <v>454</v>
      </c>
      <c r="F100" s="234" t="s">
        <v>454</v>
      </c>
      <c r="G100" s="234" t="s">
        <v>454</v>
      </c>
      <c r="H100" s="234" t="s">
        <v>454</v>
      </c>
      <c r="I100" s="234" t="s">
        <v>454</v>
      </c>
      <c r="J100" s="234" t="s">
        <v>454</v>
      </c>
      <c r="K100" s="235" t="s">
        <v>768</v>
      </c>
      <c r="L100" s="235" t="s">
        <v>1684</v>
      </c>
      <c r="M100" s="235"/>
      <c r="N100" s="236" t="s">
        <v>16</v>
      </c>
      <c r="O100" s="237">
        <v>349.95</v>
      </c>
      <c r="P100" s="237">
        <v>449.95</v>
      </c>
      <c r="Q100" s="238">
        <v>0.8</v>
      </c>
      <c r="R100" s="237">
        <f t="shared" si="3"/>
        <v>125</v>
      </c>
      <c r="S100" s="239">
        <f t="shared" si="4"/>
        <v>549.95000000000005</v>
      </c>
      <c r="T100" s="14"/>
    </row>
    <row r="101" spans="1:20">
      <c r="A101" s="162" t="s">
        <v>212</v>
      </c>
      <c r="B101" s="144" t="s">
        <v>774</v>
      </c>
      <c r="C101" s="144" t="s">
        <v>931</v>
      </c>
      <c r="D101" s="145" t="s">
        <v>444</v>
      </c>
      <c r="E101" s="172" t="s">
        <v>454</v>
      </c>
      <c r="F101" s="159" t="s">
        <v>454</v>
      </c>
      <c r="G101" s="159" t="s">
        <v>454</v>
      </c>
      <c r="H101" s="159" t="s">
        <v>454</v>
      </c>
      <c r="I101" s="159" t="s">
        <v>454</v>
      </c>
      <c r="J101" s="159" t="s">
        <v>454</v>
      </c>
      <c r="K101" s="148" t="s">
        <v>768</v>
      </c>
      <c r="L101" s="148" t="s">
        <v>1684</v>
      </c>
      <c r="M101" s="148"/>
      <c r="N101" s="149" t="s">
        <v>16</v>
      </c>
      <c r="O101" s="150">
        <v>442.48</v>
      </c>
      <c r="P101" s="150">
        <v>599.95000000000005</v>
      </c>
      <c r="Q101" s="145">
        <v>0.7</v>
      </c>
      <c r="R101" s="199">
        <f t="shared" si="3"/>
        <v>125</v>
      </c>
      <c r="S101" s="152">
        <f t="shared" si="4"/>
        <v>687.45</v>
      </c>
      <c r="T101" s="12"/>
    </row>
    <row r="102" spans="1:20">
      <c r="A102" s="240" t="s">
        <v>420</v>
      </c>
      <c r="B102" s="144" t="s">
        <v>421</v>
      </c>
      <c r="C102" s="144" t="s">
        <v>1984</v>
      </c>
      <c r="D102" s="145" t="s">
        <v>436</v>
      </c>
      <c r="E102" s="172" t="s">
        <v>454</v>
      </c>
      <c r="F102" s="159" t="s">
        <v>454</v>
      </c>
      <c r="G102" s="159" t="s">
        <v>454</v>
      </c>
      <c r="H102" s="159" t="s">
        <v>454</v>
      </c>
      <c r="I102" s="159" t="s">
        <v>454</v>
      </c>
      <c r="J102" s="159" t="s">
        <v>454</v>
      </c>
      <c r="K102" s="148" t="s">
        <v>768</v>
      </c>
      <c r="L102" s="148" t="s">
        <v>1684</v>
      </c>
      <c r="M102" s="148"/>
      <c r="N102" s="149" t="s">
        <v>16</v>
      </c>
      <c r="O102" s="150">
        <v>381.6</v>
      </c>
      <c r="P102" s="150">
        <v>479.95</v>
      </c>
      <c r="Q102" s="145">
        <v>0.3</v>
      </c>
      <c r="R102" s="199">
        <f t="shared" si="3"/>
        <v>125</v>
      </c>
      <c r="S102" s="152">
        <f t="shared" si="4"/>
        <v>517.45000000000005</v>
      </c>
      <c r="T102" s="12"/>
    </row>
    <row r="103" spans="1:20">
      <c r="A103" s="162" t="s">
        <v>415</v>
      </c>
      <c r="B103" s="144" t="s">
        <v>775</v>
      </c>
      <c r="C103" s="144" t="s">
        <v>932</v>
      </c>
      <c r="D103" s="145" t="s">
        <v>433</v>
      </c>
      <c r="E103" s="172" t="s">
        <v>454</v>
      </c>
      <c r="F103" s="159" t="s">
        <v>454</v>
      </c>
      <c r="G103" s="159" t="s">
        <v>454</v>
      </c>
      <c r="H103" s="159" t="s">
        <v>454</v>
      </c>
      <c r="I103" s="159" t="s">
        <v>454</v>
      </c>
      <c r="J103" s="159" t="s">
        <v>454</v>
      </c>
      <c r="K103" s="148" t="s">
        <v>768</v>
      </c>
      <c r="L103" s="148" t="s">
        <v>1684</v>
      </c>
      <c r="M103" s="148"/>
      <c r="N103" s="149" t="s">
        <v>16</v>
      </c>
      <c r="O103" s="150">
        <v>776.98</v>
      </c>
      <c r="P103" s="150">
        <v>1049.95</v>
      </c>
      <c r="Q103" s="145">
        <v>0.3</v>
      </c>
      <c r="R103" s="199">
        <f t="shared" si="3"/>
        <v>125</v>
      </c>
      <c r="S103" s="152">
        <f t="shared" si="4"/>
        <v>1087.45</v>
      </c>
      <c r="T103" s="12"/>
    </row>
    <row r="104" spans="1:20">
      <c r="A104" s="162" t="s">
        <v>414</v>
      </c>
      <c r="B104" s="144" t="s">
        <v>776</v>
      </c>
      <c r="C104" s="144" t="s">
        <v>933</v>
      </c>
      <c r="D104" s="145" t="s">
        <v>443</v>
      </c>
      <c r="E104" s="172" t="s">
        <v>454</v>
      </c>
      <c r="F104" s="159" t="s">
        <v>454</v>
      </c>
      <c r="G104" s="159" t="s">
        <v>454</v>
      </c>
      <c r="H104" s="159" t="s">
        <v>454</v>
      </c>
      <c r="I104" s="159" t="s">
        <v>454</v>
      </c>
      <c r="J104" s="159" t="s">
        <v>454</v>
      </c>
      <c r="K104" s="148" t="s">
        <v>768</v>
      </c>
      <c r="L104" s="148" t="s">
        <v>1684</v>
      </c>
      <c r="M104" s="148"/>
      <c r="N104" s="149" t="s">
        <v>16</v>
      </c>
      <c r="O104" s="150">
        <v>737.59</v>
      </c>
      <c r="P104" s="150">
        <v>979.95</v>
      </c>
      <c r="Q104" s="145">
        <v>0.3</v>
      </c>
      <c r="R104" s="199">
        <f t="shared" si="3"/>
        <v>125</v>
      </c>
      <c r="S104" s="152">
        <f t="shared" si="4"/>
        <v>1017.45</v>
      </c>
      <c r="T104" s="12"/>
    </row>
    <row r="105" spans="1:20">
      <c r="A105" s="162" t="s">
        <v>119</v>
      </c>
      <c r="B105" s="144" t="s">
        <v>430</v>
      </c>
      <c r="C105" s="144" t="s">
        <v>1004</v>
      </c>
      <c r="D105" s="145"/>
      <c r="E105" s="172" t="s">
        <v>454</v>
      </c>
      <c r="F105" s="159" t="s">
        <v>454</v>
      </c>
      <c r="G105" s="159" t="s">
        <v>454</v>
      </c>
      <c r="H105" s="159" t="s">
        <v>454</v>
      </c>
      <c r="I105" s="159" t="s">
        <v>454</v>
      </c>
      <c r="J105" s="159" t="s">
        <v>454</v>
      </c>
      <c r="K105" s="148" t="s">
        <v>768</v>
      </c>
      <c r="L105" s="148"/>
      <c r="M105" s="148"/>
      <c r="N105" s="149" t="s">
        <v>16</v>
      </c>
      <c r="O105" s="150">
        <v>170.46</v>
      </c>
      <c r="P105" s="150">
        <v>219.95</v>
      </c>
      <c r="Q105" s="145">
        <v>0.3</v>
      </c>
      <c r="R105" s="199">
        <f t="shared" si="3"/>
        <v>125</v>
      </c>
      <c r="S105" s="152">
        <f t="shared" si="4"/>
        <v>257.45</v>
      </c>
      <c r="T105" s="12"/>
    </row>
    <row r="106" spans="1:20">
      <c r="A106" s="162" t="s">
        <v>411</v>
      </c>
      <c r="B106" s="144" t="s">
        <v>641</v>
      </c>
      <c r="C106" s="144" t="s">
        <v>939</v>
      </c>
      <c r="D106" s="145" t="s">
        <v>438</v>
      </c>
      <c r="E106" s="172" t="s">
        <v>454</v>
      </c>
      <c r="F106" s="159" t="s">
        <v>454</v>
      </c>
      <c r="G106" s="159" t="s">
        <v>454</v>
      </c>
      <c r="H106" s="159" t="s">
        <v>454</v>
      </c>
      <c r="I106" s="159" t="s">
        <v>454</v>
      </c>
      <c r="J106" s="159" t="s">
        <v>454</v>
      </c>
      <c r="K106" s="148" t="s">
        <v>768</v>
      </c>
      <c r="L106" s="148" t="s">
        <v>1684</v>
      </c>
      <c r="M106" s="148"/>
      <c r="N106" s="149" t="s">
        <v>16</v>
      </c>
      <c r="O106" s="150">
        <v>297.82</v>
      </c>
      <c r="P106" s="150">
        <v>379.95</v>
      </c>
      <c r="Q106" s="145">
        <v>0.3</v>
      </c>
      <c r="R106" s="199">
        <f t="shared" si="3"/>
        <v>125</v>
      </c>
      <c r="S106" s="152">
        <f t="shared" si="4"/>
        <v>417.45</v>
      </c>
      <c r="T106" s="12"/>
    </row>
    <row r="107" spans="1:20">
      <c r="A107" s="162" t="s">
        <v>418</v>
      </c>
      <c r="B107" s="144" t="s">
        <v>1635</v>
      </c>
      <c r="C107" s="144" t="s">
        <v>1636</v>
      </c>
      <c r="D107" s="145"/>
      <c r="E107" s="172" t="s">
        <v>454</v>
      </c>
      <c r="F107" s="159" t="s">
        <v>454</v>
      </c>
      <c r="G107" s="159" t="s">
        <v>454</v>
      </c>
      <c r="H107" s="159" t="s">
        <v>454</v>
      </c>
      <c r="I107" s="159" t="s">
        <v>454</v>
      </c>
      <c r="J107" s="159" t="s">
        <v>454</v>
      </c>
      <c r="K107" s="148" t="s">
        <v>768</v>
      </c>
      <c r="L107" s="148" t="s">
        <v>1684</v>
      </c>
      <c r="M107" s="148"/>
      <c r="N107" s="149" t="s">
        <v>16</v>
      </c>
      <c r="O107" s="150">
        <v>453.5</v>
      </c>
      <c r="P107" s="150">
        <v>549.95000000000005</v>
      </c>
      <c r="Q107" s="145">
        <v>0.2</v>
      </c>
      <c r="R107" s="199">
        <f t="shared" si="3"/>
        <v>125</v>
      </c>
      <c r="S107" s="152">
        <f t="shared" si="4"/>
        <v>574.95000000000005</v>
      </c>
      <c r="T107" s="12"/>
    </row>
    <row r="108" spans="1:20">
      <c r="A108" s="162" t="s">
        <v>426</v>
      </c>
      <c r="B108" s="144" t="s">
        <v>896</v>
      </c>
      <c r="C108" s="144" t="s">
        <v>1703</v>
      </c>
      <c r="D108" s="145" t="s">
        <v>445</v>
      </c>
      <c r="E108" s="172" t="s">
        <v>454</v>
      </c>
      <c r="F108" s="159" t="s">
        <v>454</v>
      </c>
      <c r="G108" s="159" t="s">
        <v>454</v>
      </c>
      <c r="H108" s="159" t="s">
        <v>454</v>
      </c>
      <c r="I108" s="159" t="s">
        <v>454</v>
      </c>
      <c r="J108" s="159" t="s">
        <v>454</v>
      </c>
      <c r="K108" s="148" t="s">
        <v>768</v>
      </c>
      <c r="L108" s="148" t="s">
        <v>1684</v>
      </c>
      <c r="M108" s="148"/>
      <c r="N108" s="149" t="s">
        <v>16</v>
      </c>
      <c r="O108" s="150">
        <v>60.62</v>
      </c>
      <c r="P108" s="150">
        <v>94.95</v>
      </c>
      <c r="Q108" s="145">
        <v>0.1</v>
      </c>
      <c r="R108" s="199">
        <f t="shared" si="3"/>
        <v>125</v>
      </c>
      <c r="S108" s="152">
        <f t="shared" si="4"/>
        <v>107.45</v>
      </c>
      <c r="T108" s="12"/>
    </row>
    <row r="109" spans="1:20">
      <c r="A109" s="162" t="s">
        <v>211</v>
      </c>
      <c r="B109" s="144" t="s">
        <v>778</v>
      </c>
      <c r="C109" s="144" t="s">
        <v>937</v>
      </c>
      <c r="D109" s="145"/>
      <c r="E109" s="172" t="s">
        <v>454</v>
      </c>
      <c r="F109" s="159" t="s">
        <v>454</v>
      </c>
      <c r="G109" s="159" t="s">
        <v>454</v>
      </c>
      <c r="H109" s="159" t="s">
        <v>454</v>
      </c>
      <c r="I109" s="159" t="s">
        <v>454</v>
      </c>
      <c r="J109" s="159" t="s">
        <v>454</v>
      </c>
      <c r="K109" s="148" t="s">
        <v>768</v>
      </c>
      <c r="L109" s="148"/>
      <c r="M109" s="148"/>
      <c r="N109" s="149" t="s">
        <v>16</v>
      </c>
      <c r="O109" s="150">
        <v>84.65</v>
      </c>
      <c r="P109" s="150">
        <v>119.95</v>
      </c>
      <c r="Q109" s="145">
        <v>0</v>
      </c>
      <c r="R109" s="199">
        <f t="shared" si="3"/>
        <v>125</v>
      </c>
      <c r="S109" s="152">
        <f t="shared" si="4"/>
        <v>119.95</v>
      </c>
      <c r="T109" s="12"/>
    </row>
    <row r="110" spans="1:20">
      <c r="A110" s="221" t="s">
        <v>1956</v>
      </c>
      <c r="B110" s="156" t="s">
        <v>1947</v>
      </c>
      <c r="C110" s="144" t="s">
        <v>1968</v>
      </c>
      <c r="D110" s="145" t="s">
        <v>1948</v>
      </c>
      <c r="E110" s="172"/>
      <c r="F110" s="159"/>
      <c r="G110" s="159"/>
      <c r="H110" s="159" t="s">
        <v>454</v>
      </c>
      <c r="I110" s="159" t="s">
        <v>454</v>
      </c>
      <c r="J110" s="159" t="s">
        <v>454</v>
      </c>
      <c r="K110" s="167" t="s">
        <v>768</v>
      </c>
      <c r="L110" s="167"/>
      <c r="M110" s="167"/>
      <c r="N110" s="149" t="s">
        <v>4</v>
      </c>
      <c r="O110" s="169">
        <v>15.57</v>
      </c>
      <c r="P110" s="169">
        <v>23.95</v>
      </c>
      <c r="Q110" s="145">
        <v>0</v>
      </c>
      <c r="R110" s="199">
        <f t="shared" si="3"/>
        <v>125</v>
      </c>
      <c r="S110" s="153">
        <f t="shared" si="4"/>
        <v>23.95</v>
      </c>
      <c r="T110" s="12"/>
    </row>
    <row r="111" spans="1:20">
      <c r="A111" s="162" t="s">
        <v>766</v>
      </c>
      <c r="B111" s="144" t="s">
        <v>961</v>
      </c>
      <c r="C111" s="144" t="s">
        <v>1005</v>
      </c>
      <c r="D111" s="145" t="s">
        <v>1648</v>
      </c>
      <c r="E111" s="172"/>
      <c r="F111" s="159"/>
      <c r="G111" s="159" t="s">
        <v>454</v>
      </c>
      <c r="H111" s="159" t="s">
        <v>454</v>
      </c>
      <c r="I111" s="159" t="s">
        <v>454</v>
      </c>
      <c r="J111" s="159" t="s">
        <v>454</v>
      </c>
      <c r="K111" s="148" t="s">
        <v>768</v>
      </c>
      <c r="L111" s="148"/>
      <c r="M111" s="148"/>
      <c r="N111" s="149" t="s">
        <v>4</v>
      </c>
      <c r="O111" s="150">
        <v>15.57</v>
      </c>
      <c r="P111" s="150">
        <v>23.95</v>
      </c>
      <c r="Q111" s="145">
        <v>0</v>
      </c>
      <c r="R111" s="199">
        <f t="shared" si="3"/>
        <v>125</v>
      </c>
      <c r="S111" s="152">
        <f t="shared" si="4"/>
        <v>23.95</v>
      </c>
      <c r="T111" s="12"/>
    </row>
    <row r="112" spans="1:20">
      <c r="A112" s="162" t="s">
        <v>5</v>
      </c>
      <c r="B112" s="144" t="s">
        <v>963</v>
      </c>
      <c r="C112" s="144" t="s">
        <v>1007</v>
      </c>
      <c r="D112" s="145" t="s">
        <v>320</v>
      </c>
      <c r="E112" s="172" t="s">
        <v>454</v>
      </c>
      <c r="F112" s="159" t="s">
        <v>454</v>
      </c>
      <c r="G112" s="159" t="s">
        <v>454</v>
      </c>
      <c r="H112" s="159" t="s">
        <v>454</v>
      </c>
      <c r="I112" s="159" t="s">
        <v>454</v>
      </c>
      <c r="J112" s="159" t="s">
        <v>454</v>
      </c>
      <c r="K112" s="148" t="s">
        <v>768</v>
      </c>
      <c r="L112" s="148"/>
      <c r="M112" s="148"/>
      <c r="N112" s="149" t="s">
        <v>4</v>
      </c>
      <c r="O112" s="150">
        <v>15.57</v>
      </c>
      <c r="P112" s="150">
        <v>23.95</v>
      </c>
      <c r="Q112" s="145">
        <v>0</v>
      </c>
      <c r="R112" s="199">
        <f t="shared" si="3"/>
        <v>125</v>
      </c>
      <c r="S112" s="152">
        <f t="shared" si="4"/>
        <v>23.95</v>
      </c>
    </row>
    <row r="113" spans="1:22">
      <c r="A113" s="221" t="s">
        <v>1810</v>
      </c>
      <c r="B113" s="156" t="s">
        <v>1842</v>
      </c>
      <c r="C113" s="144" t="s">
        <v>1873</v>
      </c>
      <c r="D113" s="145" t="s">
        <v>1874</v>
      </c>
      <c r="E113" s="172" t="s">
        <v>454</v>
      </c>
      <c r="F113" s="159" t="s">
        <v>454</v>
      </c>
      <c r="G113" s="159" t="s">
        <v>454</v>
      </c>
      <c r="H113" s="159" t="s">
        <v>454</v>
      </c>
      <c r="I113" s="159" t="s">
        <v>454</v>
      </c>
      <c r="J113" s="159" t="s">
        <v>454</v>
      </c>
      <c r="K113" s="167" t="s">
        <v>768</v>
      </c>
      <c r="L113" s="167"/>
      <c r="M113" s="167"/>
      <c r="N113" s="149" t="s">
        <v>4</v>
      </c>
      <c r="O113" s="169">
        <v>15.57</v>
      </c>
      <c r="P113" s="169">
        <v>23.95</v>
      </c>
      <c r="Q113" s="145">
        <v>0</v>
      </c>
      <c r="R113" s="199">
        <f t="shared" si="3"/>
        <v>125</v>
      </c>
      <c r="S113" s="153">
        <f t="shared" si="4"/>
        <v>23.95</v>
      </c>
    </row>
    <row r="114" spans="1:22">
      <c r="A114" s="162" t="s">
        <v>3</v>
      </c>
      <c r="B114" s="144" t="s">
        <v>1029</v>
      </c>
      <c r="C114" s="144" t="s">
        <v>1034</v>
      </c>
      <c r="D114" s="145" t="s">
        <v>960</v>
      </c>
      <c r="E114" s="172" t="s">
        <v>454</v>
      </c>
      <c r="F114" s="159" t="s">
        <v>454</v>
      </c>
      <c r="G114" s="159"/>
      <c r="H114" s="159"/>
      <c r="I114" s="159"/>
      <c r="J114" s="159"/>
      <c r="K114" s="148" t="s">
        <v>768</v>
      </c>
      <c r="L114" s="148"/>
      <c r="M114" s="148"/>
      <c r="N114" s="149" t="s">
        <v>4</v>
      </c>
      <c r="O114" s="150">
        <v>15.57</v>
      </c>
      <c r="P114" s="150">
        <v>23.95</v>
      </c>
      <c r="Q114" s="145">
        <v>0</v>
      </c>
      <c r="R114" s="199">
        <f t="shared" si="3"/>
        <v>125</v>
      </c>
      <c r="S114" s="152">
        <f t="shared" si="4"/>
        <v>23.95</v>
      </c>
    </row>
    <row r="115" spans="1:22" s="2" customFormat="1">
      <c r="A115" s="162" t="s">
        <v>206</v>
      </c>
      <c r="B115" s="144" t="s">
        <v>965</v>
      </c>
      <c r="C115" s="144" t="s">
        <v>841</v>
      </c>
      <c r="D115" s="145" t="s">
        <v>393</v>
      </c>
      <c r="E115" s="172" t="s">
        <v>454</v>
      </c>
      <c r="F115" s="159" t="s">
        <v>454</v>
      </c>
      <c r="G115" s="159" t="s">
        <v>454</v>
      </c>
      <c r="H115" s="159" t="s">
        <v>454</v>
      </c>
      <c r="I115" s="159" t="s">
        <v>454</v>
      </c>
      <c r="J115" s="159"/>
      <c r="K115" s="148" t="s">
        <v>768</v>
      </c>
      <c r="L115" s="148"/>
      <c r="M115" s="148"/>
      <c r="N115" s="149" t="s">
        <v>4</v>
      </c>
      <c r="O115" s="150">
        <v>15.57</v>
      </c>
      <c r="P115" s="150">
        <v>23.95</v>
      </c>
      <c r="Q115" s="145">
        <v>0</v>
      </c>
      <c r="R115" s="199">
        <f t="shared" si="3"/>
        <v>125</v>
      </c>
      <c r="S115" s="152">
        <f t="shared" si="4"/>
        <v>23.95</v>
      </c>
      <c r="T115"/>
      <c r="V115"/>
    </row>
    <row r="116" spans="1:22" s="2" customFormat="1">
      <c r="A116" s="162" t="s">
        <v>116</v>
      </c>
      <c r="B116" s="144" t="s">
        <v>384</v>
      </c>
      <c r="C116" s="144" t="s">
        <v>385</v>
      </c>
      <c r="D116" s="145" t="s">
        <v>323</v>
      </c>
      <c r="E116" s="172" t="s">
        <v>454</v>
      </c>
      <c r="F116" s="159" t="s">
        <v>454</v>
      </c>
      <c r="G116" s="159" t="s">
        <v>454</v>
      </c>
      <c r="H116" s="159" t="s">
        <v>454</v>
      </c>
      <c r="I116" s="159" t="s">
        <v>454</v>
      </c>
      <c r="J116" s="159" t="s">
        <v>454</v>
      </c>
      <c r="K116" s="148" t="s">
        <v>768</v>
      </c>
      <c r="L116" s="148"/>
      <c r="M116" s="148"/>
      <c r="N116" s="149" t="s">
        <v>4</v>
      </c>
      <c r="O116" s="150">
        <v>15.54</v>
      </c>
      <c r="P116" s="150">
        <v>23.95</v>
      </c>
      <c r="Q116" s="145">
        <v>0</v>
      </c>
      <c r="R116" s="199">
        <f t="shared" si="3"/>
        <v>125</v>
      </c>
      <c r="S116" s="152">
        <f t="shared" si="4"/>
        <v>23.95</v>
      </c>
      <c r="T116"/>
      <c r="V116"/>
    </row>
    <row r="117" spans="1:22" s="7" customFormat="1" ht="12.6" customHeight="1">
      <c r="A117" s="162" t="s">
        <v>635</v>
      </c>
      <c r="B117" s="144" t="s">
        <v>962</v>
      </c>
      <c r="C117" s="144" t="s">
        <v>1006</v>
      </c>
      <c r="D117" s="145" t="s">
        <v>632</v>
      </c>
      <c r="E117" s="172" t="s">
        <v>454</v>
      </c>
      <c r="F117" s="159" t="s">
        <v>454</v>
      </c>
      <c r="G117" s="159" t="s">
        <v>454</v>
      </c>
      <c r="H117" s="159" t="s">
        <v>454</v>
      </c>
      <c r="I117" s="159" t="s">
        <v>454</v>
      </c>
      <c r="J117" s="159" t="s">
        <v>454</v>
      </c>
      <c r="K117" s="148" t="s">
        <v>768</v>
      </c>
      <c r="L117" s="148"/>
      <c r="M117" s="148"/>
      <c r="N117" s="149" t="s">
        <v>4</v>
      </c>
      <c r="O117" s="150">
        <v>15.57</v>
      </c>
      <c r="P117" s="150">
        <v>23.95</v>
      </c>
      <c r="Q117" s="145">
        <v>0</v>
      </c>
      <c r="R117" s="199">
        <f t="shared" si="3"/>
        <v>125</v>
      </c>
      <c r="S117" s="152">
        <f t="shared" si="4"/>
        <v>23.95</v>
      </c>
      <c r="T117"/>
    </row>
    <row r="118" spans="1:22" s="7" customFormat="1" ht="12.6" customHeight="1">
      <c r="A118" s="222" t="s">
        <v>1899</v>
      </c>
      <c r="B118" s="144" t="s">
        <v>1694</v>
      </c>
      <c r="C118" s="144" t="s">
        <v>1788</v>
      </c>
      <c r="D118" s="145" t="s">
        <v>1924</v>
      </c>
      <c r="E118" s="172" t="s">
        <v>454</v>
      </c>
      <c r="F118" s="159" t="s">
        <v>454</v>
      </c>
      <c r="G118" s="159" t="s">
        <v>454</v>
      </c>
      <c r="H118" s="159" t="s">
        <v>454</v>
      </c>
      <c r="I118" s="159" t="s">
        <v>454</v>
      </c>
      <c r="J118" s="159" t="s">
        <v>454</v>
      </c>
      <c r="K118" s="167"/>
      <c r="L118" s="167"/>
      <c r="M118" s="167"/>
      <c r="N118" s="149" t="s">
        <v>10</v>
      </c>
      <c r="O118" s="169">
        <v>188.81</v>
      </c>
      <c r="P118" s="169">
        <v>314.95</v>
      </c>
      <c r="Q118" s="145">
        <v>0.1</v>
      </c>
      <c r="R118" s="199">
        <f t="shared" si="3"/>
        <v>125</v>
      </c>
      <c r="S118" s="153">
        <f t="shared" si="4"/>
        <v>327.45</v>
      </c>
      <c r="T118"/>
    </row>
    <row r="119" spans="1:22" s="2" customFormat="1">
      <c r="A119" s="162" t="s">
        <v>1695</v>
      </c>
      <c r="B119" s="144" t="s">
        <v>1696</v>
      </c>
      <c r="C119" s="144" t="s">
        <v>1789</v>
      </c>
      <c r="D119" s="145" t="s">
        <v>1806</v>
      </c>
      <c r="E119" s="172" t="s">
        <v>454</v>
      </c>
      <c r="F119" s="159" t="s">
        <v>454</v>
      </c>
      <c r="G119" s="159" t="s">
        <v>454</v>
      </c>
      <c r="H119" s="159" t="s">
        <v>454</v>
      </c>
      <c r="I119" s="159" t="s">
        <v>454</v>
      </c>
      <c r="J119" s="159" t="s">
        <v>454</v>
      </c>
      <c r="K119" s="148"/>
      <c r="L119" s="148" t="s">
        <v>1684</v>
      </c>
      <c r="M119" s="148"/>
      <c r="N119" s="149" t="s">
        <v>10</v>
      </c>
      <c r="O119" s="150">
        <v>103.89</v>
      </c>
      <c r="P119" s="150">
        <v>159.94999999999999</v>
      </c>
      <c r="Q119" s="149">
        <v>0.1</v>
      </c>
      <c r="R119" s="199">
        <f t="shared" si="3"/>
        <v>125</v>
      </c>
      <c r="S119" s="152">
        <f t="shared" si="4"/>
        <v>172.45</v>
      </c>
      <c r="T119"/>
      <c r="V119"/>
    </row>
    <row r="120" spans="1:22">
      <c r="A120" s="162" t="s">
        <v>1692</v>
      </c>
      <c r="B120" s="168" t="s">
        <v>1697</v>
      </c>
      <c r="C120" s="144" t="s">
        <v>1786</v>
      </c>
      <c r="D120" s="145" t="s">
        <v>1985</v>
      </c>
      <c r="E120" s="172" t="s">
        <v>454</v>
      </c>
      <c r="F120" s="159" t="s">
        <v>454</v>
      </c>
      <c r="G120" s="159" t="s">
        <v>454</v>
      </c>
      <c r="H120" s="159" t="s">
        <v>454</v>
      </c>
      <c r="I120" s="159" t="s">
        <v>454</v>
      </c>
      <c r="J120" s="159" t="s">
        <v>454</v>
      </c>
      <c r="K120" s="167"/>
      <c r="L120" s="148" t="s">
        <v>1684</v>
      </c>
      <c r="M120" s="148"/>
      <c r="N120" s="149" t="s">
        <v>10</v>
      </c>
      <c r="O120" s="150">
        <v>470.97</v>
      </c>
      <c r="P120" s="150">
        <v>784.95</v>
      </c>
      <c r="Q120" s="145">
        <v>2.5</v>
      </c>
      <c r="R120" s="199">
        <f t="shared" si="3"/>
        <v>125</v>
      </c>
      <c r="S120" s="152">
        <f t="shared" si="4"/>
        <v>1097.45</v>
      </c>
    </row>
    <row r="121" spans="1:22">
      <c r="A121" s="164" t="s">
        <v>2205</v>
      </c>
      <c r="B121" s="165" t="s">
        <v>1693</v>
      </c>
      <c r="C121" s="165" t="s">
        <v>2095</v>
      </c>
      <c r="D121" s="184"/>
      <c r="E121" s="204" t="s">
        <v>454</v>
      </c>
      <c r="F121" s="205" t="s">
        <v>454</v>
      </c>
      <c r="G121" s="205" t="s">
        <v>454</v>
      </c>
      <c r="H121" s="205" t="s">
        <v>454</v>
      </c>
      <c r="I121" s="205" t="s">
        <v>454</v>
      </c>
      <c r="J121" s="205" t="s">
        <v>454</v>
      </c>
      <c r="K121" s="181"/>
      <c r="L121" s="181" t="s">
        <v>1684</v>
      </c>
      <c r="M121" s="181"/>
      <c r="N121" s="182" t="s">
        <v>10</v>
      </c>
      <c r="O121" s="183">
        <v>134.5</v>
      </c>
      <c r="P121" s="183">
        <v>224.95</v>
      </c>
      <c r="Q121" s="184">
        <v>1</v>
      </c>
      <c r="R121" s="217">
        <f t="shared" si="3"/>
        <v>125</v>
      </c>
      <c r="S121" s="185">
        <f t="shared" si="4"/>
        <v>349.95</v>
      </c>
    </row>
    <row r="122" spans="1:22">
      <c r="A122" s="164" t="s">
        <v>1675</v>
      </c>
      <c r="B122" s="165" t="s">
        <v>2206</v>
      </c>
      <c r="C122" s="176" t="s">
        <v>2207</v>
      </c>
      <c r="D122" s="184" t="s">
        <v>2147</v>
      </c>
      <c r="E122" s="205" t="s">
        <v>454</v>
      </c>
      <c r="F122" s="205" t="s">
        <v>454</v>
      </c>
      <c r="G122" s="205" t="s">
        <v>454</v>
      </c>
      <c r="H122" s="205" t="s">
        <v>454</v>
      </c>
      <c r="I122" s="205" t="s">
        <v>454</v>
      </c>
      <c r="J122" s="205" t="s">
        <v>454</v>
      </c>
      <c r="K122" s="181" t="s">
        <v>768</v>
      </c>
      <c r="L122" s="181"/>
      <c r="M122" s="181"/>
      <c r="N122" s="182" t="s">
        <v>16</v>
      </c>
      <c r="O122" s="183">
        <v>114</v>
      </c>
      <c r="P122" s="183">
        <v>174.95</v>
      </c>
      <c r="Q122" s="207">
        <v>0</v>
      </c>
      <c r="R122" s="217">
        <f t="shared" si="3"/>
        <v>125</v>
      </c>
      <c r="S122" s="185">
        <f t="shared" si="4"/>
        <v>174.95</v>
      </c>
      <c r="T122" s="7"/>
    </row>
    <row r="123" spans="1:22">
      <c r="A123" s="164" t="s">
        <v>1676</v>
      </c>
      <c r="B123" s="165" t="s">
        <v>1678</v>
      </c>
      <c r="C123" s="176" t="s">
        <v>1677</v>
      </c>
      <c r="D123" s="184" t="s">
        <v>2148</v>
      </c>
      <c r="E123" s="205" t="s">
        <v>454</v>
      </c>
      <c r="F123" s="205" t="s">
        <v>454</v>
      </c>
      <c r="G123" s="205" t="s">
        <v>454</v>
      </c>
      <c r="H123" s="205" t="s">
        <v>454</v>
      </c>
      <c r="I123" s="205" t="s">
        <v>454</v>
      </c>
      <c r="J123" s="205" t="s">
        <v>454</v>
      </c>
      <c r="K123" s="181" t="s">
        <v>768</v>
      </c>
      <c r="L123" s="181"/>
      <c r="M123" s="181"/>
      <c r="N123" s="182" t="s">
        <v>16</v>
      </c>
      <c r="O123" s="183">
        <v>105</v>
      </c>
      <c r="P123" s="183">
        <v>159.94999999999999</v>
      </c>
      <c r="Q123" s="207">
        <v>0</v>
      </c>
      <c r="R123" s="217">
        <f t="shared" si="3"/>
        <v>125</v>
      </c>
      <c r="S123" s="185">
        <f t="shared" si="4"/>
        <v>159.94999999999999</v>
      </c>
      <c r="T123" s="7"/>
    </row>
    <row r="124" spans="1:22">
      <c r="A124" s="162" t="s">
        <v>17</v>
      </c>
      <c r="B124" s="144" t="s">
        <v>644</v>
      </c>
      <c r="C124" s="144" t="s">
        <v>1962</v>
      </c>
      <c r="D124" s="149"/>
      <c r="E124" s="172" t="s">
        <v>454</v>
      </c>
      <c r="F124" s="159" t="s">
        <v>454</v>
      </c>
      <c r="G124" s="159" t="s">
        <v>454</v>
      </c>
      <c r="H124" s="159" t="s">
        <v>454</v>
      </c>
      <c r="I124" s="159" t="s">
        <v>454</v>
      </c>
      <c r="J124" s="159" t="s">
        <v>454</v>
      </c>
      <c r="K124" s="148" t="s">
        <v>768</v>
      </c>
      <c r="L124" s="148"/>
      <c r="M124" s="148"/>
      <c r="N124" s="149" t="s">
        <v>16</v>
      </c>
      <c r="O124" s="150">
        <v>39.99</v>
      </c>
      <c r="P124" s="150">
        <v>59.95</v>
      </c>
      <c r="Q124" s="145">
        <v>0</v>
      </c>
      <c r="R124" s="199">
        <f t="shared" si="3"/>
        <v>125</v>
      </c>
      <c r="S124" s="152">
        <f t="shared" si="4"/>
        <v>59.95</v>
      </c>
      <c r="T124" s="2"/>
    </row>
    <row r="125" spans="1:22" s="12" customFormat="1">
      <c r="A125" s="162" t="s">
        <v>1487</v>
      </c>
      <c r="B125" s="144" t="s">
        <v>1485</v>
      </c>
      <c r="C125" s="144" t="s">
        <v>1486</v>
      </c>
      <c r="D125" s="145" t="s">
        <v>1708</v>
      </c>
      <c r="E125" s="172" t="s">
        <v>454</v>
      </c>
      <c r="F125" s="159" t="s">
        <v>454</v>
      </c>
      <c r="G125" s="159" t="s">
        <v>454</v>
      </c>
      <c r="H125" s="159" t="s">
        <v>454</v>
      </c>
      <c r="I125" s="159" t="s">
        <v>454</v>
      </c>
      <c r="J125" s="159" t="s">
        <v>454</v>
      </c>
      <c r="K125" s="148" t="s">
        <v>768</v>
      </c>
      <c r="L125" s="148"/>
      <c r="M125" s="148"/>
      <c r="N125" s="149" t="s">
        <v>0</v>
      </c>
      <c r="O125" s="150">
        <v>47</v>
      </c>
      <c r="P125" s="150">
        <v>64.95</v>
      </c>
      <c r="Q125" s="145">
        <v>0</v>
      </c>
      <c r="R125" s="199">
        <f t="shared" si="3"/>
        <v>125</v>
      </c>
      <c r="S125" s="152">
        <f t="shared" si="4"/>
        <v>64.95</v>
      </c>
      <c r="T125" s="2"/>
      <c r="V125"/>
    </row>
    <row r="126" spans="1:22" s="12" customFormat="1">
      <c r="A126" s="162" t="s">
        <v>294</v>
      </c>
      <c r="B126" s="144" t="s">
        <v>295</v>
      </c>
      <c r="C126" s="144" t="s">
        <v>296</v>
      </c>
      <c r="D126" s="145" t="s">
        <v>1752</v>
      </c>
      <c r="E126" s="172" t="s">
        <v>454</v>
      </c>
      <c r="F126" s="159" t="s">
        <v>454</v>
      </c>
      <c r="G126" s="159" t="s">
        <v>454</v>
      </c>
      <c r="H126" s="159" t="s">
        <v>454</v>
      </c>
      <c r="I126" s="159" t="s">
        <v>454</v>
      </c>
      <c r="J126" s="159" t="s">
        <v>454</v>
      </c>
      <c r="K126" s="148" t="s">
        <v>768</v>
      </c>
      <c r="L126" s="148"/>
      <c r="M126" s="148"/>
      <c r="N126" s="149" t="s">
        <v>0</v>
      </c>
      <c r="O126" s="150">
        <v>60</v>
      </c>
      <c r="P126" s="150">
        <v>79.95</v>
      </c>
      <c r="Q126" s="149">
        <v>0</v>
      </c>
      <c r="R126" s="199">
        <f t="shared" si="3"/>
        <v>125</v>
      </c>
      <c r="S126" s="152">
        <f t="shared" si="4"/>
        <v>79.95</v>
      </c>
      <c r="T126" s="2"/>
      <c r="V126"/>
    </row>
    <row r="127" spans="1:22">
      <c r="A127" s="162" t="s">
        <v>522</v>
      </c>
      <c r="B127" s="144" t="s">
        <v>854</v>
      </c>
      <c r="C127" s="144" t="s">
        <v>1811</v>
      </c>
      <c r="D127" s="145" t="s">
        <v>1709</v>
      </c>
      <c r="E127" s="172" t="s">
        <v>454</v>
      </c>
      <c r="F127" s="159" t="s">
        <v>454</v>
      </c>
      <c r="G127" s="159" t="s">
        <v>454</v>
      </c>
      <c r="H127" s="159" t="s">
        <v>454</v>
      </c>
      <c r="I127" s="159" t="s">
        <v>454</v>
      </c>
      <c r="J127" s="159" t="s">
        <v>454</v>
      </c>
      <c r="K127" s="148"/>
      <c r="L127" s="148"/>
      <c r="M127" s="148"/>
      <c r="N127" s="149" t="s">
        <v>10</v>
      </c>
      <c r="O127" s="150">
        <v>53</v>
      </c>
      <c r="P127" s="150">
        <v>88.95</v>
      </c>
      <c r="Q127" s="149">
        <v>0</v>
      </c>
      <c r="R127" s="199">
        <f t="shared" ref="R127:R131" si="5">$N$1</f>
        <v>125</v>
      </c>
      <c r="S127" s="152">
        <f t="shared" si="4"/>
        <v>88.95</v>
      </c>
    </row>
    <row r="128" spans="1:22">
      <c r="A128" s="162" t="s">
        <v>1059</v>
      </c>
      <c r="B128" s="144" t="s">
        <v>1060</v>
      </c>
      <c r="C128" s="144" t="s">
        <v>1963</v>
      </c>
      <c r="D128" s="149" t="s">
        <v>1856</v>
      </c>
      <c r="E128" s="172" t="s">
        <v>454</v>
      </c>
      <c r="F128" s="159" t="s">
        <v>454</v>
      </c>
      <c r="G128" s="159" t="s">
        <v>454</v>
      </c>
      <c r="H128" s="159" t="s">
        <v>454</v>
      </c>
      <c r="I128" s="159" t="s">
        <v>454</v>
      </c>
      <c r="J128" s="159" t="s">
        <v>454</v>
      </c>
      <c r="K128" s="148" t="s">
        <v>768</v>
      </c>
      <c r="L128" s="148"/>
      <c r="M128" s="148"/>
      <c r="N128" s="149" t="s">
        <v>4</v>
      </c>
      <c r="O128" s="150">
        <v>2.5</v>
      </c>
      <c r="P128" s="150">
        <v>4.95</v>
      </c>
      <c r="Q128" s="149">
        <v>0</v>
      </c>
      <c r="R128" s="199">
        <f t="shared" si="5"/>
        <v>125</v>
      </c>
      <c r="S128" s="152">
        <f t="shared" si="4"/>
        <v>4.95</v>
      </c>
    </row>
    <row r="129" spans="1:20">
      <c r="A129" s="162" t="s">
        <v>1061</v>
      </c>
      <c r="B129" s="144" t="s">
        <v>1646</v>
      </c>
      <c r="C129" s="144" t="s">
        <v>1964</v>
      </c>
      <c r="D129" s="149" t="s">
        <v>1857</v>
      </c>
      <c r="E129" s="172" t="s">
        <v>454</v>
      </c>
      <c r="F129" s="159" t="s">
        <v>454</v>
      </c>
      <c r="G129" s="159" t="s">
        <v>454</v>
      </c>
      <c r="H129" s="159" t="s">
        <v>454</v>
      </c>
      <c r="I129" s="159" t="s">
        <v>454</v>
      </c>
      <c r="J129" s="159" t="s">
        <v>454</v>
      </c>
      <c r="K129" s="148" t="s">
        <v>768</v>
      </c>
      <c r="L129" s="148"/>
      <c r="M129" s="148"/>
      <c r="N129" s="149" t="s">
        <v>4</v>
      </c>
      <c r="O129" s="150">
        <v>2.5</v>
      </c>
      <c r="P129" s="150">
        <v>4.95</v>
      </c>
      <c r="Q129" s="145">
        <v>0</v>
      </c>
      <c r="R129" s="199">
        <f t="shared" si="5"/>
        <v>125</v>
      </c>
      <c r="S129" s="152">
        <f t="shared" si="4"/>
        <v>4.95</v>
      </c>
    </row>
    <row r="130" spans="1:20">
      <c r="A130" s="162" t="s">
        <v>1070</v>
      </c>
      <c r="B130" s="144" t="s">
        <v>1064</v>
      </c>
      <c r="C130" s="144" t="s">
        <v>1965</v>
      </c>
      <c r="D130" s="149" t="s">
        <v>1858</v>
      </c>
      <c r="E130" s="172" t="s">
        <v>454</v>
      </c>
      <c r="F130" s="159" t="s">
        <v>454</v>
      </c>
      <c r="G130" s="159" t="s">
        <v>454</v>
      </c>
      <c r="H130" s="159" t="s">
        <v>454</v>
      </c>
      <c r="I130" s="159" t="s">
        <v>454</v>
      </c>
      <c r="J130" s="159" t="s">
        <v>454</v>
      </c>
      <c r="K130" s="148" t="s">
        <v>768</v>
      </c>
      <c r="L130" s="148"/>
      <c r="M130" s="148"/>
      <c r="N130" s="149" t="s">
        <v>4</v>
      </c>
      <c r="O130" s="150">
        <v>2.5</v>
      </c>
      <c r="P130" s="150">
        <v>4.95</v>
      </c>
      <c r="Q130" s="145">
        <v>0</v>
      </c>
      <c r="R130" s="199">
        <f t="shared" si="5"/>
        <v>125</v>
      </c>
      <c r="S130" s="152">
        <f t="shared" si="4"/>
        <v>4.95</v>
      </c>
    </row>
    <row r="131" spans="1:20">
      <c r="A131" s="162" t="s">
        <v>1071</v>
      </c>
      <c r="B131" s="144" t="s">
        <v>1065</v>
      </c>
      <c r="C131" s="144" t="s">
        <v>1966</v>
      </c>
      <c r="D131" s="149" t="s">
        <v>1858</v>
      </c>
      <c r="E131" s="172" t="s">
        <v>454</v>
      </c>
      <c r="F131" s="159" t="s">
        <v>454</v>
      </c>
      <c r="G131" s="159" t="s">
        <v>454</v>
      </c>
      <c r="H131" s="159" t="s">
        <v>454</v>
      </c>
      <c r="I131" s="159" t="s">
        <v>454</v>
      </c>
      <c r="J131" s="159" t="s">
        <v>454</v>
      </c>
      <c r="K131" s="148" t="s">
        <v>768</v>
      </c>
      <c r="L131" s="148"/>
      <c r="M131" s="148"/>
      <c r="N131" s="149" t="s">
        <v>4</v>
      </c>
      <c r="O131" s="150">
        <v>2.5</v>
      </c>
      <c r="P131" s="150">
        <v>4.95</v>
      </c>
      <c r="Q131" s="145">
        <v>0</v>
      </c>
      <c r="R131" s="199">
        <f t="shared" si="5"/>
        <v>125</v>
      </c>
      <c r="S131" s="152">
        <f t="shared" si="4"/>
        <v>4.95</v>
      </c>
      <c r="T131" s="12"/>
    </row>
  </sheetData>
  <sortState xmlns:xlrd2="http://schemas.microsoft.com/office/spreadsheetml/2017/richdata2" ref="A3:R131">
    <sortCondition ref="B3:B131"/>
  </sortState>
  <mergeCells count="3">
    <mergeCell ref="D1:M1"/>
    <mergeCell ref="R1:S1"/>
    <mergeCell ref="L2:M2"/>
  </mergeCells>
  <conditionalFormatting sqref="O15:P15">
    <cfRule type="cellIs" dxfId="10" priority="5" operator="lessThan">
      <formula>0.02</formula>
    </cfRule>
  </conditionalFormatting>
  <hyperlinks>
    <hyperlink ref="K3" r:id="rId1" xr:uid="{708056C3-C41E-4631-A3B1-1AF85079BF29}"/>
    <hyperlink ref="K56" r:id="rId2" xr:uid="{4379AED5-C4D2-452C-AEFC-C1781ED55E23}"/>
    <hyperlink ref="K66:K70" r:id="rId3" display="PHOTO" xr:uid="{2EC8DDE0-3749-4D84-A342-FCB8B655BE76}"/>
    <hyperlink ref="K92:K98" r:id="rId4" display="PHOTO" xr:uid="{2ECAC326-6F81-48EE-B647-C4F6B0F9186E}"/>
    <hyperlink ref="K4" r:id="rId5" xr:uid="{FE0DF959-5457-4F68-A5A9-BB38E0B52AF2}"/>
    <hyperlink ref="K5" r:id="rId6" xr:uid="{3E4DD304-2EC4-4170-968F-5B4B513ABDF8}"/>
    <hyperlink ref="K10" r:id="rId7" xr:uid="{FDA13515-34F4-4000-AFC1-D8A890221DDD}"/>
    <hyperlink ref="K7" r:id="rId8" xr:uid="{7ADD7567-B278-4BA7-936C-92E42AD735FA}"/>
    <hyperlink ref="K64" r:id="rId9" display="PHOTO" xr:uid="{2E602090-655A-4A67-BE7A-A042B995860E}"/>
    <hyperlink ref="K12" r:id="rId10" xr:uid="{7DEF873C-4806-4C68-9519-4010C375207E}"/>
    <hyperlink ref="K6" r:id="rId11" xr:uid="{CB3A4C2F-14D2-4F1A-86CC-F6B50F2ED658}"/>
    <hyperlink ref="M20" r:id="rId12" display="SHEET" xr:uid="{B2234637-0F71-472A-8F3D-A7DD22792719}"/>
    <hyperlink ref="K32" r:id="rId13" xr:uid="{E797CC2F-C526-4554-B330-D1AACE5DB8EE}"/>
    <hyperlink ref="K28" r:id="rId14" xr:uid="{58ABD38C-793D-48A1-B98E-B9AD17D831A7}"/>
    <hyperlink ref="K30" r:id="rId15" xr:uid="{38C0D9FD-46C6-46F6-A732-50560BD3B7F2}"/>
    <hyperlink ref="K36" r:id="rId16" xr:uid="{631188DA-8736-44E5-AEAB-2B464767DED2}"/>
    <hyperlink ref="K39" r:id="rId17" xr:uid="{1F20DC69-D9C5-49FB-B279-6AF93B7CE80B}"/>
    <hyperlink ref="K41" r:id="rId18" xr:uid="{1833E86F-A80E-4D40-9D96-EB65BDDEAC26}"/>
    <hyperlink ref="K40" r:id="rId19" xr:uid="{FC4F0136-967D-43CD-97CC-DF7D30170F0D}"/>
    <hyperlink ref="K37" r:id="rId20" xr:uid="{206B63A8-0EE6-4124-8E20-3378C73CAD20}"/>
    <hyperlink ref="K38" r:id="rId21" xr:uid="{72C4C26A-A770-4D10-8349-6DEC6BAA636F}"/>
    <hyperlink ref="K18" r:id="rId22" xr:uid="{38670B12-5D38-4318-9385-276CC0451FFF}"/>
    <hyperlink ref="K17" r:id="rId23" xr:uid="{47927063-7E91-4B44-BF56-811A18D00716}"/>
    <hyperlink ref="K130" r:id="rId24" xr:uid="{38CEE344-3491-4F48-8CDC-943183DCF8C8}"/>
    <hyperlink ref="K131" r:id="rId25" xr:uid="{37A54926-ECB3-4A6A-AEDC-994DB0C9A9F0}"/>
    <hyperlink ref="K128" r:id="rId26" xr:uid="{0844181A-B12E-4CDD-A2A1-0DFEDCF82160}"/>
    <hyperlink ref="K129" r:id="rId27" xr:uid="{24F1DE2F-9F2E-47A5-B7AE-0C82CFFCD402}"/>
    <hyperlink ref="K125" r:id="rId28" xr:uid="{F56D3CFF-2A47-4D79-8DA9-46028D6F578D}"/>
    <hyperlink ref="K126" r:id="rId29" xr:uid="{DA2D9A55-A5E3-4055-8A0B-B932C4F824FF}"/>
    <hyperlink ref="K124" r:id="rId30" xr:uid="{6AA36371-A15B-4450-A69E-7C0C3F7A42D2}"/>
    <hyperlink ref="K94:K100" r:id="rId31" display="PHOTO" xr:uid="{C1141FD7-DF34-45CC-A6BB-40E4E1418CA5}"/>
    <hyperlink ref="K99" r:id="rId32" xr:uid="{C39E0B45-C374-43B1-97FD-71532A7DF148}"/>
    <hyperlink ref="K101" r:id="rId33" xr:uid="{7E6991D5-F7D4-4BF4-80FA-AB85BED478E9}"/>
    <hyperlink ref="K102" r:id="rId34" xr:uid="{6EB01DE4-70E6-46F2-8888-9B035DB9BB24}"/>
    <hyperlink ref="K103" r:id="rId35" xr:uid="{F5D02204-9551-4598-B048-5E5CD9DF7FCA}"/>
    <hyperlink ref="K104" r:id="rId36" xr:uid="{4968A1E4-9A8D-4288-9D86-AC2F8CB022E8}"/>
    <hyperlink ref="K105" r:id="rId37" xr:uid="{FC349E54-6E07-4A85-8996-D26907E831EC}"/>
    <hyperlink ref="K106" r:id="rId38" xr:uid="{DA408146-25D6-4A43-AF73-50238CC8D0F1}"/>
    <hyperlink ref="K107" r:id="rId39" xr:uid="{A56A4B0F-B9CA-4C8D-B3D6-08397FE9324F}"/>
    <hyperlink ref="K108" r:id="rId40" xr:uid="{D022261E-CAAA-4987-8D70-44A21D735907}"/>
    <hyperlink ref="K109" r:id="rId41" xr:uid="{7816729A-70D0-4083-B430-87E2DB91D10A}"/>
    <hyperlink ref="K89" r:id="rId42" xr:uid="{CB6F28DC-F1B8-443B-BE33-8A2F549C48EE}"/>
    <hyperlink ref="K88" r:id="rId43" xr:uid="{8A0C9FB5-B261-426E-A03D-2A4E0A277385}"/>
    <hyperlink ref="K87" r:id="rId44" xr:uid="{13DA17F1-FD4F-4E54-B8D5-2E12DAD60D3C}"/>
    <hyperlink ref="K78" r:id="rId45" xr:uid="{61E0A9FA-6150-42B8-8067-225B4D3ECF05}"/>
    <hyperlink ref="K77" r:id="rId46" xr:uid="{DA88490D-DE86-4F22-AA42-45DD93B2C12D}"/>
    <hyperlink ref="K74" r:id="rId47" xr:uid="{DCF8080F-0520-4E88-A8C4-21A350E44F1B}"/>
    <hyperlink ref="K75" r:id="rId48" xr:uid="{42930935-40A5-41C6-99B4-72619F4906B3}"/>
    <hyperlink ref="K70" r:id="rId49" xr:uid="{3114827C-684B-4D57-8F53-424B6BDD229A}"/>
    <hyperlink ref="K69" r:id="rId50" xr:uid="{A54DC66C-6E56-40DC-968C-B7E9E115B7B9}"/>
    <hyperlink ref="K72" r:id="rId51" xr:uid="{E5C65EF0-D5D3-4172-B59E-4DFCF5D71293}"/>
    <hyperlink ref="K71" r:id="rId52" xr:uid="{18C21472-9E4A-4279-9350-E4318E755C7B}"/>
    <hyperlink ref="K59" r:id="rId53" xr:uid="{8977D3B0-6091-409F-8003-17AD2B75CA3C}"/>
    <hyperlink ref="K61" r:id="rId54" xr:uid="{9F48851B-E163-42F7-AA9D-ED8B7D2F9E6C}"/>
    <hyperlink ref="K68" r:id="rId55" xr:uid="{672E359F-91B5-42EB-8D02-F12E81DAB362}"/>
    <hyperlink ref="K65" r:id="rId56" xr:uid="{2B23680F-C2E9-4396-990C-116A0010F411}"/>
    <hyperlink ref="K63" r:id="rId57" xr:uid="{22AA078D-61BD-4A0D-A8E3-F7A10FA04066}"/>
    <hyperlink ref="K66" r:id="rId58" xr:uid="{B833625E-5A3F-42EA-9BC4-80F2DFAE9036}"/>
    <hyperlink ref="K67" r:id="rId59" xr:uid="{4A735078-FD93-455F-A0AE-EA228A83DFCA}"/>
    <hyperlink ref="K60" r:id="rId60" xr:uid="{D2CCE0CC-D266-41A9-85D7-D95C3CC9D310}"/>
    <hyperlink ref="K51" r:id="rId61" xr:uid="{9BFCEC6D-0861-4E9A-99DD-B40956FAAFF2}"/>
    <hyperlink ref="K49" r:id="rId62" xr:uid="{4BAA25E8-5866-4C3F-9944-A519C9A31461}"/>
    <hyperlink ref="K48" r:id="rId63" xr:uid="{AA849308-9A2F-4913-9265-7C253305F79E}"/>
    <hyperlink ref="K44" r:id="rId64" xr:uid="{390424B3-EF1A-4F62-910C-04BE0C434956}"/>
    <hyperlink ref="K43" r:id="rId65" xr:uid="{72426670-F09C-4FB2-8453-54FDDAE079E9}"/>
    <hyperlink ref="K42" r:id="rId66" xr:uid="{141A1B67-1C6D-46F0-93D5-E9993E7D4394}"/>
    <hyperlink ref="M39:M40" r:id="rId67" display="SHEET" xr:uid="{F7EA9759-DDDA-4464-BFAB-ED7DF32DE596}"/>
    <hyperlink ref="K11" r:id="rId68" xr:uid="{93A85A0E-FC04-4BCC-84B2-A54DF05332DE}"/>
    <hyperlink ref="K14" r:id="rId69" xr:uid="{027DF704-0146-4945-BD71-989609AF8592}"/>
    <hyperlink ref="K16" r:id="rId70" xr:uid="{522029F8-A8AA-4030-91E7-422E71956FD9}"/>
    <hyperlink ref="K21" r:id="rId71" xr:uid="{B62D673C-1985-439F-A025-BAF31291B7E1}"/>
    <hyperlink ref="K22" r:id="rId72" xr:uid="{1074B0A1-7A8C-44F9-AAC7-0CDBD7D669BD}"/>
    <hyperlink ref="K110" r:id="rId73" xr:uid="{29904668-F837-4934-B81B-5CB0E692FED9}"/>
    <hyperlink ref="K33" r:id="rId74" xr:uid="{2AA7A3F2-2A78-4F3B-B749-7C3ECA7318BB}"/>
    <hyperlink ref="K34" r:id="rId75" xr:uid="{16303F9E-2E41-499C-A03F-5A15C5F73149}"/>
    <hyperlink ref="K23" r:id="rId76" xr:uid="{520FC5CA-3776-4D00-AF6B-D191752670B3}"/>
    <hyperlink ref="K24" r:id="rId77" xr:uid="{07E9AAD7-445A-4EF7-AAF2-1B95AB912F0F}"/>
    <hyperlink ref="K25" r:id="rId78" xr:uid="{2D21E6FD-4505-42CA-9F82-D37DFD546793}"/>
    <hyperlink ref="K79" r:id="rId79" xr:uid="{5E0A622F-3FC0-48AE-AFA8-6796DDE35D7C}"/>
    <hyperlink ref="K57" r:id="rId80" xr:uid="{BAC332FA-23C6-46D9-AE8E-95825EF367B4}"/>
    <hyperlink ref="K29" r:id="rId81" xr:uid="{F19C293D-C1CA-4A6F-838F-163D5A5CC37A}"/>
    <hyperlink ref="K46" r:id="rId82" xr:uid="{185058A8-994D-4AE9-B1F4-A726D5242551}"/>
    <hyperlink ref="K45" r:id="rId83" xr:uid="{2A021DE2-C7D7-467D-A622-8EA5C8037842}"/>
    <hyperlink ref="K26" r:id="rId84" xr:uid="{AD1097F5-E7B4-41BD-B998-5A447930D81F}"/>
    <hyperlink ref="K20" r:id="rId85" xr:uid="{6ECACC75-999E-4709-BD6F-BB89EF798550}"/>
    <hyperlink ref="K19" r:id="rId86" xr:uid="{86AB2D25-8CAB-4FD0-9F92-AA11A0B4D287}"/>
    <hyperlink ref="K27" r:id="rId87" xr:uid="{B6BA4C32-EA7C-4763-8582-B811A3862B85}"/>
    <hyperlink ref="K13" r:id="rId88" xr:uid="{8FFF4B48-97A8-4BC4-A1CF-33B5520A204A}"/>
    <hyperlink ref="K47" r:id="rId89" xr:uid="{50F8AFD8-A71B-499D-B54C-EB15FA6FCF24}"/>
    <hyperlink ref="K86" r:id="rId90" xr:uid="{E702451C-FE15-4A7F-AD29-8ED34124B8D0}"/>
    <hyperlink ref="K85" r:id="rId91" xr:uid="{72F37495-1B84-4FBF-8279-CFA145502593}"/>
    <hyperlink ref="K84" r:id="rId92" xr:uid="{04940D65-FA85-4467-B92D-C24E99DB657A}"/>
    <hyperlink ref="K83" r:id="rId93" xr:uid="{EECB6065-203A-42D6-BAD8-988635F42AFE}"/>
    <hyperlink ref="K82" r:id="rId94" xr:uid="{1174C397-FFB8-438B-B37C-322CC18FC27B}"/>
    <hyperlink ref="K81" r:id="rId95" xr:uid="{78468C10-D618-4FB8-9C80-90A06CFBB3B1}"/>
    <hyperlink ref="K80" r:id="rId96" xr:uid="{AF807EDA-82BE-4874-BE49-CA74788F4094}"/>
    <hyperlink ref="K55" r:id="rId97" xr:uid="{D984B947-AF4F-4A87-BFD5-B08EF9754BCC}"/>
    <hyperlink ref="K54" r:id="rId98" xr:uid="{014C542A-EE91-4B36-9304-1A6F40D58F78}"/>
    <hyperlink ref="K97" r:id="rId99" xr:uid="{751C728A-A28E-4691-8C30-F042BC00F9D1}"/>
    <hyperlink ref="K86:K92" r:id="rId100" display="PHOTO" xr:uid="{44EC94BF-5CB2-4764-A552-AD8B0E177095}"/>
    <hyperlink ref="K106:K112" r:id="rId101" display="PHOTO" xr:uid="{042EDB90-F693-4B98-A70F-C7A4E6C4BB9D}"/>
    <hyperlink ref="K31" r:id="rId102" xr:uid="{63D49B60-3DEC-4857-9D70-1ED40A20B5A4}"/>
    <hyperlink ref="K90" r:id="rId103" xr:uid="{5718FD3C-AD36-44E7-8315-825AE93B4D77}"/>
    <hyperlink ref="J15" r:id="rId104" display="PHOTO" xr:uid="{9E3355E7-2074-441E-9DAB-49F3D97D112C}"/>
    <hyperlink ref="K15" r:id="rId105" display="SHEET" xr:uid="{577684AE-5BD6-499B-ABEF-0289C49F9995}"/>
    <hyperlink ref="K62" r:id="rId106" xr:uid="{C2D3CA47-C471-4F4C-9C2E-41E749CAEA98}"/>
    <hyperlink ref="K122" r:id="rId107" xr:uid="{152EB068-6360-4371-9986-020E1070CCEE}"/>
    <hyperlink ref="K123" r:id="rId108" xr:uid="{A2A4F669-37D2-41B8-8F1D-837974C5288D}"/>
    <hyperlink ref="K98" r:id="rId109" display="PHOTO" xr:uid="{515D2EF3-400D-4CBF-86D5-C93D70E5F8E6}"/>
    <hyperlink ref="K100" r:id="rId110" xr:uid="{FF6C465E-6B77-4F3D-B117-2093A2B20163}"/>
    <hyperlink ref="L3" r:id="rId111" xr:uid="{873E5D8A-547E-482A-A547-74A986D2C841}"/>
    <hyperlink ref="L5" r:id="rId112" xr:uid="{4DDA75AF-A611-4AD4-AE6E-F27CC9673EBF}"/>
    <hyperlink ref="L7" r:id="rId113" xr:uid="{39ACE74F-50CD-4D0A-840C-AA4526240221}"/>
    <hyperlink ref="L9" r:id="rId114" xr:uid="{9E5C7BE9-748C-491A-A077-23ECB55B718D}"/>
    <hyperlink ref="L10" r:id="rId115" xr:uid="{17F7504D-98DF-4102-861D-4D292D70238F}"/>
    <hyperlink ref="L12" r:id="rId116" xr:uid="{210FF259-5570-4A85-86E0-6436DBFFC00F}"/>
    <hyperlink ref="L27" r:id="rId117" display="SHEET" xr:uid="{BBF0A800-A364-4AE6-B8DD-3D93614C0AC0}"/>
    <hyperlink ref="L56" r:id="rId118" xr:uid="{7E77795E-E0B9-4A23-B6ED-DA0A369AFACC}"/>
    <hyperlink ref="L54" r:id="rId119" xr:uid="{193367DE-B30F-4A79-86EF-AC19FBC84E87}"/>
    <hyperlink ref="L79:L81" r:id="rId120" display="SHEET" xr:uid="{4E6AAB87-74CB-4CA5-AF0A-A9AC0EEE0FB0}"/>
    <hyperlink ref="L86" r:id="rId121" xr:uid="{A5C4AB63-74DF-4DF2-9694-787447E83C5B}"/>
    <hyperlink ref="L58" r:id="rId122" xr:uid="{5A71C50E-2DFF-487F-97E2-C1EF41F09B41}"/>
    <hyperlink ref="L20" r:id="rId123" display="SHEET" xr:uid="{ED25ECE7-6F8E-4F32-AAA1-861540C6421A}"/>
    <hyperlink ref="L32" r:id="rId124" xr:uid="{ADBB5CE3-DED9-4581-9AAF-E1AB63010D2D}"/>
    <hyperlink ref="L28" r:id="rId125" xr:uid="{50E1D2D5-728E-4A99-B6D4-BE511C6B89F9}"/>
    <hyperlink ref="L30" r:id="rId126" xr:uid="{BE8CC281-ED34-44CC-8F2F-C37D0978F997}"/>
    <hyperlink ref="L17" r:id="rId127" xr:uid="{034F71A4-6760-4619-B522-73DF5F137C8A}"/>
    <hyperlink ref="L18" r:id="rId128" xr:uid="{75B18A16-67C4-415B-90DA-40FB84A24659}"/>
    <hyperlink ref="L120" r:id="rId129" xr:uid="{A862D852-3F30-4E94-8B82-CBFAB0B10262}"/>
    <hyperlink ref="L102" r:id="rId130" xr:uid="{82A411AC-A226-4F3E-8646-195E19E8EE93}"/>
    <hyperlink ref="L101" r:id="rId131" xr:uid="{C80AE923-D660-4A4D-898B-FB1E362B1C81}"/>
    <hyperlink ref="L106" r:id="rId132" xr:uid="{32058E7A-94EE-4F8B-ADB4-72B6CF2FCC0B}"/>
    <hyperlink ref="L107" r:id="rId133" xr:uid="{6363E4E4-319E-4400-A62D-688ACDC0B808}"/>
    <hyperlink ref="L108" r:id="rId134" xr:uid="{859DB66F-494A-4CB6-8C10-4EA205591E47}"/>
    <hyperlink ref="L95" r:id="rId135" xr:uid="{B033667D-0B33-4B62-B2BB-C5F0546878F5}"/>
    <hyperlink ref="L89" r:id="rId136" xr:uid="{78733AC2-F5C5-41EB-8250-DD005FC9791B}"/>
    <hyperlink ref="L88" r:id="rId137" xr:uid="{13E6BCD7-15FC-42B8-909A-689D8E5BF8D4}"/>
    <hyperlink ref="L87" r:id="rId138" xr:uid="{D68FEC7D-B122-4473-B1FE-B06C638B7E7A}"/>
    <hyperlink ref="L78" r:id="rId139" xr:uid="{AB3F8E22-DBEC-4E53-8AE4-C017194F2286}"/>
    <hyperlink ref="L77" r:id="rId140" xr:uid="{F63610F7-1AD8-4442-AD0F-D721556DF9C1}"/>
    <hyperlink ref="L74" r:id="rId141" xr:uid="{31848D3C-F4D2-4681-A9B6-921EEA7C9D64}"/>
    <hyperlink ref="L75" r:id="rId142" xr:uid="{13D507E5-C5DA-4B7B-A0C3-0A2F57C17972}"/>
    <hyperlink ref="L69" r:id="rId143" xr:uid="{4169BCAF-6245-435D-B658-9547AB61985F}"/>
    <hyperlink ref="L70" r:id="rId144" xr:uid="{F052ADEB-0D54-4627-9794-3371DE9BE9A4}"/>
    <hyperlink ref="L72" r:id="rId145" xr:uid="{28B69607-03D9-46FB-87EF-FF1B512A9BBA}"/>
    <hyperlink ref="L71" r:id="rId146" xr:uid="{27B6E66C-35F4-4815-9FD7-FF60A3F72285}"/>
    <hyperlink ref="L51" r:id="rId147" xr:uid="{9369F4B1-F153-441B-B295-D26DAEBAE574}"/>
    <hyperlink ref="L48" r:id="rId148" xr:uid="{D647CF52-17CA-417B-8165-53B808644A54}"/>
    <hyperlink ref="L49" r:id="rId149" xr:uid="{71C989BD-CB35-4BC9-876E-B758C52B3F06}"/>
    <hyperlink ref="L42" r:id="rId150" xr:uid="{85FE5975-77CD-409B-A6D0-1F788847619F}"/>
    <hyperlink ref="L39:L40" r:id="rId151" display="SHEET" xr:uid="{961A0455-526B-4BF4-97A3-558B79A9CE06}"/>
    <hyperlink ref="L11" r:id="rId152" xr:uid="{6E7C1763-07BD-4700-8AE6-6476629FE239}"/>
    <hyperlink ref="L14" r:id="rId153" xr:uid="{4A5A3158-7557-46C5-9A64-95E8E81DD9CC}"/>
    <hyperlink ref="L16" r:id="rId154" xr:uid="{3B754E3C-20EB-4C73-839F-B34FA60EF7C2}"/>
    <hyperlink ref="L94" r:id="rId155" xr:uid="{E6415944-F841-494E-B233-98614669471F}"/>
    <hyperlink ref="L47" r:id="rId156" xr:uid="{616033D0-3FD8-4361-8E77-3030156E1F27}"/>
    <hyperlink ref="L31" r:id="rId157" xr:uid="{9453736C-01F7-4B80-BF6F-95093E39D897}"/>
    <hyperlink ref="L119" r:id="rId158" xr:uid="{2CDB51D8-1CAD-462E-BD52-FBECF8864D68}"/>
    <hyperlink ref="L121" r:id="rId159" xr:uid="{4EA50A2E-4974-4D13-B963-0A4C21CA72B6}"/>
    <hyperlink ref="L52" r:id="rId160" xr:uid="{5645820A-2720-4CEB-8D67-50FEFDF695CE}"/>
    <hyperlink ref="L53" r:id="rId161" xr:uid="{28F3628A-2BB9-4313-AB82-37A56C45635C}"/>
    <hyperlink ref="L73" r:id="rId162" xr:uid="{C4DE9A5B-E9AE-4316-8872-7D9F518441F6}"/>
    <hyperlink ref="L62" r:id="rId163" xr:uid="{6CB9B61D-1CE5-4904-8049-51EDC330E469}"/>
    <hyperlink ref="L100" r:id="rId164" xr:uid="{39E21F48-A9AA-4254-91C8-8A75480F402E}"/>
    <hyperlink ref="L21" r:id="rId165" xr:uid="{6523B2ED-1506-4F82-B7D1-44BE57C2623B}"/>
    <hyperlink ref="M21" r:id="rId166" display="ENG" xr:uid="{D1DD78AA-BB9C-4DA3-9BF8-83CB469DAC7D}"/>
  </hyperlinks>
  <pageMargins left="0.7" right="0.7" top="0.75" bottom="0.75" header="0.3" footer="0.3"/>
  <legacyDrawing r:id="rId16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B2B0-D831-4845-B8C1-06CA29585D40}">
  <sheetPr published="0">
    <tabColor theme="7" tint="0.39997558519241921"/>
  </sheetPr>
  <dimension ref="A1:AX143"/>
  <sheetViews>
    <sheetView zoomScale="85" zoomScaleNormal="85" workbookViewId="0">
      <pane xSplit="2" ySplit="2" topLeftCell="C3" activePane="bottomRight" state="frozenSplit"/>
      <selection pane="topRight" activeCell="C1" sqref="C1"/>
      <selection pane="bottomLeft" activeCell="A18" sqref="A18"/>
      <selection pane="bottomRight" activeCell="A2" sqref="A2"/>
    </sheetView>
  </sheetViews>
  <sheetFormatPr defaultRowHeight="15"/>
  <cols>
    <col min="1" max="1" width="21.28515625" style="7" bestFit="1" customWidth="1"/>
    <col min="2" max="2" width="83.5703125" style="7" customWidth="1"/>
    <col min="3" max="3" width="109.85546875" style="7" bestFit="1" customWidth="1"/>
    <col min="4" max="4" width="116.140625" style="18" bestFit="1" customWidth="1"/>
    <col min="5" max="6" width="4" style="18" bestFit="1" customWidth="1"/>
    <col min="7" max="7" width="5.7109375" style="18" bestFit="1" customWidth="1"/>
    <col min="8" max="8" width="4" style="18" bestFit="1" customWidth="1"/>
    <col min="9" max="9" width="10.85546875" style="72" customWidth="1"/>
    <col min="10" max="10" width="6.5703125" style="249" bestFit="1" customWidth="1"/>
    <col min="11" max="11" width="5.28515625" style="249" customWidth="1"/>
    <col min="12" max="12" width="14.28515625" style="18" customWidth="1"/>
    <col min="13" max="13" width="11.28515625" customWidth="1"/>
    <col min="14" max="14" width="11.28515625" style="139" bestFit="1" customWidth="1"/>
    <col min="15" max="15" width="9.28515625" style="58" bestFit="1" customWidth="1"/>
    <col min="16" max="16" width="9.85546875" style="20" bestFit="1" customWidth="1"/>
    <col min="17" max="17" width="12.5703125" customWidth="1"/>
  </cols>
  <sheetData>
    <row r="1" spans="1:50" s="2" customFormat="1" ht="45">
      <c r="A1" s="346" t="s">
        <v>2102</v>
      </c>
      <c r="B1" s="347"/>
      <c r="C1" s="347"/>
      <c r="D1" s="357" t="s">
        <v>167</v>
      </c>
      <c r="E1" s="357"/>
      <c r="F1" s="357"/>
      <c r="G1" s="357"/>
      <c r="H1" s="357"/>
      <c r="I1" s="357"/>
      <c r="J1" s="357"/>
      <c r="K1" s="357"/>
      <c r="L1" s="9">
        <v>125</v>
      </c>
      <c r="M1" s="1"/>
      <c r="N1" s="138"/>
      <c r="O1" s="57"/>
      <c r="P1" s="349" t="s">
        <v>213</v>
      </c>
      <c r="Q1" s="350"/>
    </row>
    <row r="2" spans="1:50" s="196" customFormat="1" ht="31.5">
      <c r="A2" s="10" t="s">
        <v>140</v>
      </c>
      <c r="B2" s="10" t="s">
        <v>141</v>
      </c>
      <c r="C2" s="10" t="s">
        <v>142</v>
      </c>
      <c r="D2" s="10" t="s">
        <v>143</v>
      </c>
      <c r="E2" s="10" t="s">
        <v>450</v>
      </c>
      <c r="F2" s="10" t="s">
        <v>757</v>
      </c>
      <c r="G2" s="10" t="s">
        <v>1980</v>
      </c>
      <c r="H2" s="10" t="s">
        <v>756</v>
      </c>
      <c r="I2" s="10" t="s">
        <v>210</v>
      </c>
      <c r="J2" s="355" t="s">
        <v>1685</v>
      </c>
      <c r="K2" s="356"/>
      <c r="L2" s="10" t="s">
        <v>144</v>
      </c>
      <c r="M2" s="202" t="s">
        <v>145</v>
      </c>
      <c r="N2" s="202" t="s">
        <v>146</v>
      </c>
      <c r="O2" s="241" t="s">
        <v>147</v>
      </c>
      <c r="P2" s="219" t="s">
        <v>148</v>
      </c>
      <c r="Q2" s="202" t="s">
        <v>149</v>
      </c>
    </row>
    <row r="3" spans="1:50" s="14" customFormat="1" ht="12.75">
      <c r="A3" s="160" t="s">
        <v>871</v>
      </c>
      <c r="B3" s="144" t="s">
        <v>1009</v>
      </c>
      <c r="C3" s="151" t="s">
        <v>874</v>
      </c>
      <c r="D3" s="174" t="s">
        <v>1713</v>
      </c>
      <c r="E3" s="147" t="s">
        <v>454</v>
      </c>
      <c r="F3" s="147" t="s">
        <v>454</v>
      </c>
      <c r="G3" s="147" t="s">
        <v>454</v>
      </c>
      <c r="H3" s="147" t="s">
        <v>454</v>
      </c>
      <c r="I3" s="148" t="s">
        <v>768</v>
      </c>
      <c r="J3" s="148"/>
      <c r="K3" s="148"/>
      <c r="L3" s="149" t="s">
        <v>59</v>
      </c>
      <c r="M3" s="242">
        <v>1750</v>
      </c>
      <c r="N3" s="242">
        <v>2295.9499999999998</v>
      </c>
      <c r="O3" s="188">
        <v>1.5</v>
      </c>
      <c r="P3" s="150">
        <f t="shared" ref="P3:P66" si="0">$L$1</f>
        <v>125</v>
      </c>
      <c r="Q3" s="197">
        <f t="shared" ref="Q3:Q66" si="1">O3*P3+N3</f>
        <v>2483.4499999999998</v>
      </c>
    </row>
    <row r="4" spans="1:50" s="14" customFormat="1" ht="12.75">
      <c r="A4" s="160" t="s">
        <v>154</v>
      </c>
      <c r="B4" s="144" t="s">
        <v>2034</v>
      </c>
      <c r="C4" s="151" t="s">
        <v>2035</v>
      </c>
      <c r="D4" s="174" t="s">
        <v>2163</v>
      </c>
      <c r="E4" s="147" t="s">
        <v>454</v>
      </c>
      <c r="F4" s="147" t="s">
        <v>454</v>
      </c>
      <c r="G4" s="147" t="s">
        <v>454</v>
      </c>
      <c r="H4" s="147" t="s">
        <v>454</v>
      </c>
      <c r="I4" s="148" t="s">
        <v>768</v>
      </c>
      <c r="J4" s="148" t="s">
        <v>1684</v>
      </c>
      <c r="K4" s="148"/>
      <c r="L4" s="149" t="s">
        <v>0</v>
      </c>
      <c r="M4" s="242">
        <v>139.41</v>
      </c>
      <c r="N4" s="242">
        <v>211.95</v>
      </c>
      <c r="O4" s="188">
        <v>0</v>
      </c>
      <c r="P4" s="150">
        <f t="shared" si="0"/>
        <v>125</v>
      </c>
      <c r="Q4" s="197">
        <f t="shared" si="1"/>
        <v>211.95</v>
      </c>
      <c r="R4" s="7"/>
    </row>
    <row r="5" spans="1:50" s="7" customFormat="1" ht="12.75">
      <c r="A5" s="160" t="s">
        <v>9</v>
      </c>
      <c r="B5" s="144" t="s">
        <v>643</v>
      </c>
      <c r="C5" s="151" t="s">
        <v>747</v>
      </c>
      <c r="D5" s="174"/>
      <c r="E5" s="147" t="s">
        <v>454</v>
      </c>
      <c r="F5" s="147" t="s">
        <v>454</v>
      </c>
      <c r="G5" s="147" t="s">
        <v>454</v>
      </c>
      <c r="H5" s="147" t="s">
        <v>454</v>
      </c>
      <c r="I5" s="148" t="s">
        <v>768</v>
      </c>
      <c r="J5" s="148" t="s">
        <v>1684</v>
      </c>
      <c r="K5" s="148"/>
      <c r="L5" s="149" t="s">
        <v>10</v>
      </c>
      <c r="M5" s="242">
        <v>53</v>
      </c>
      <c r="N5" s="242">
        <v>88.95</v>
      </c>
      <c r="O5" s="188">
        <v>0.1</v>
      </c>
      <c r="P5" s="150">
        <f t="shared" si="0"/>
        <v>125</v>
      </c>
      <c r="Q5" s="197">
        <f t="shared" si="1"/>
        <v>101.45</v>
      </c>
    </row>
    <row r="6" spans="1:50" s="7" customFormat="1" ht="12.75">
      <c r="A6" s="160" t="s">
        <v>717</v>
      </c>
      <c r="B6" s="144" t="s">
        <v>881</v>
      </c>
      <c r="C6" s="151" t="s">
        <v>882</v>
      </c>
      <c r="D6" s="174" t="s">
        <v>746</v>
      </c>
      <c r="E6" s="147" t="s">
        <v>454</v>
      </c>
      <c r="F6" s="147" t="s">
        <v>454</v>
      </c>
      <c r="G6" s="147" t="s">
        <v>454</v>
      </c>
      <c r="H6" s="147" t="s">
        <v>454</v>
      </c>
      <c r="I6" s="148" t="s">
        <v>768</v>
      </c>
      <c r="J6" s="148"/>
      <c r="K6" s="148"/>
      <c r="L6" s="149" t="s">
        <v>10</v>
      </c>
      <c r="M6" s="242">
        <v>117</v>
      </c>
      <c r="N6" s="242">
        <v>195.95</v>
      </c>
      <c r="O6" s="188">
        <v>0.4</v>
      </c>
      <c r="P6" s="150">
        <f t="shared" si="0"/>
        <v>125</v>
      </c>
      <c r="Q6" s="197">
        <f t="shared" si="1"/>
        <v>245.95</v>
      </c>
    </row>
    <row r="7" spans="1:50" s="7" customFormat="1" ht="12.75">
      <c r="A7" s="160" t="s">
        <v>714</v>
      </c>
      <c r="B7" s="144" t="s">
        <v>750</v>
      </c>
      <c r="C7" s="151" t="s">
        <v>827</v>
      </c>
      <c r="D7" s="174" t="s">
        <v>736</v>
      </c>
      <c r="E7" s="147" t="s">
        <v>454</v>
      </c>
      <c r="F7" s="147" t="s">
        <v>454</v>
      </c>
      <c r="G7" s="147" t="s">
        <v>454</v>
      </c>
      <c r="H7" s="147" t="s">
        <v>454</v>
      </c>
      <c r="I7" s="148" t="s">
        <v>768</v>
      </c>
      <c r="J7" s="148" t="s">
        <v>1684</v>
      </c>
      <c r="K7" s="148"/>
      <c r="L7" s="149" t="s">
        <v>10</v>
      </c>
      <c r="M7" s="242">
        <v>197.97</v>
      </c>
      <c r="N7" s="242">
        <v>329.95</v>
      </c>
      <c r="O7" s="188">
        <v>0.2</v>
      </c>
      <c r="P7" s="150">
        <f t="shared" si="0"/>
        <v>125</v>
      </c>
      <c r="Q7" s="197">
        <f t="shared" si="1"/>
        <v>354.95</v>
      </c>
    </row>
    <row r="8" spans="1:50" s="7" customFormat="1" ht="12.75">
      <c r="A8" s="160" t="s">
        <v>1036</v>
      </c>
      <c r="B8" s="144" t="s">
        <v>1865</v>
      </c>
      <c r="C8" s="151" t="s">
        <v>1866</v>
      </c>
      <c r="D8" s="174"/>
      <c r="E8" s="147" t="s">
        <v>454</v>
      </c>
      <c r="F8" s="147" t="s">
        <v>454</v>
      </c>
      <c r="G8" s="147" t="s">
        <v>454</v>
      </c>
      <c r="H8" s="147" t="s">
        <v>454</v>
      </c>
      <c r="I8" s="148" t="s">
        <v>768</v>
      </c>
      <c r="J8" s="148" t="s">
        <v>1684</v>
      </c>
      <c r="K8" s="148"/>
      <c r="L8" s="149" t="s">
        <v>0</v>
      </c>
      <c r="M8" s="242">
        <v>118.17</v>
      </c>
      <c r="N8" s="242">
        <v>196.95</v>
      </c>
      <c r="O8" s="188">
        <v>0</v>
      </c>
      <c r="P8" s="150">
        <f t="shared" si="0"/>
        <v>125</v>
      </c>
      <c r="Q8" s="197">
        <f t="shared" si="1"/>
        <v>196.95</v>
      </c>
    </row>
    <row r="9" spans="1:50" s="7" customFormat="1" ht="12.75">
      <c r="A9" s="160" t="s">
        <v>15</v>
      </c>
      <c r="B9" s="144" t="s">
        <v>32</v>
      </c>
      <c r="C9" s="151" t="s">
        <v>89</v>
      </c>
      <c r="D9" s="174" t="s">
        <v>410</v>
      </c>
      <c r="E9" s="147" t="s">
        <v>454</v>
      </c>
      <c r="F9" s="147" t="s">
        <v>454</v>
      </c>
      <c r="G9" s="147" t="s">
        <v>454</v>
      </c>
      <c r="H9" s="147" t="s">
        <v>454</v>
      </c>
      <c r="I9" s="148" t="s">
        <v>768</v>
      </c>
      <c r="J9" s="148"/>
      <c r="K9" s="148"/>
      <c r="L9" s="149" t="s">
        <v>0</v>
      </c>
      <c r="M9" s="242">
        <v>32.97</v>
      </c>
      <c r="N9" s="242">
        <v>54.95</v>
      </c>
      <c r="O9" s="188">
        <v>0</v>
      </c>
      <c r="P9" s="150">
        <f t="shared" si="0"/>
        <v>125</v>
      </c>
      <c r="Q9" s="197">
        <f t="shared" si="1"/>
        <v>54.95</v>
      </c>
    </row>
    <row r="10" spans="1:50" s="7" customFormat="1" ht="12.75">
      <c r="A10" s="160" t="s">
        <v>160</v>
      </c>
      <c r="B10" s="144" t="s">
        <v>1981</v>
      </c>
      <c r="C10" s="151" t="s">
        <v>898</v>
      </c>
      <c r="D10" s="174" t="s">
        <v>1608</v>
      </c>
      <c r="E10" s="147"/>
      <c r="F10" s="147"/>
      <c r="G10" s="147" t="s">
        <v>454</v>
      </c>
      <c r="H10" s="147" t="s">
        <v>454</v>
      </c>
      <c r="I10" s="148" t="s">
        <v>768</v>
      </c>
      <c r="J10" s="148" t="s">
        <v>1684</v>
      </c>
      <c r="K10" s="148"/>
      <c r="L10" s="149" t="s">
        <v>16</v>
      </c>
      <c r="M10" s="242">
        <v>467.86</v>
      </c>
      <c r="N10" s="242">
        <v>789.95</v>
      </c>
      <c r="O10" s="188">
        <v>0.5</v>
      </c>
      <c r="P10" s="150">
        <f t="shared" si="0"/>
        <v>125</v>
      </c>
      <c r="Q10" s="197">
        <f t="shared" si="1"/>
        <v>852.45</v>
      </c>
    </row>
    <row r="11" spans="1:50" s="7" customFormat="1" ht="12.75">
      <c r="A11" s="160" t="s">
        <v>715</v>
      </c>
      <c r="B11" s="144" t="s">
        <v>893</v>
      </c>
      <c r="C11" s="151" t="s">
        <v>899</v>
      </c>
      <c r="D11" s="174" t="s">
        <v>877</v>
      </c>
      <c r="E11" s="147" t="s">
        <v>454</v>
      </c>
      <c r="F11" s="147" t="s">
        <v>454</v>
      </c>
      <c r="G11" s="147"/>
      <c r="H11" s="147"/>
      <c r="I11" s="148" t="s">
        <v>768</v>
      </c>
      <c r="J11" s="148" t="s">
        <v>1684</v>
      </c>
      <c r="K11" s="148"/>
      <c r="L11" s="149" t="s">
        <v>16</v>
      </c>
      <c r="M11" s="242">
        <v>409.17</v>
      </c>
      <c r="N11" s="242">
        <v>681.95</v>
      </c>
      <c r="O11" s="188">
        <v>0.5</v>
      </c>
      <c r="P11" s="150">
        <f t="shared" si="0"/>
        <v>125</v>
      </c>
      <c r="Q11" s="197">
        <f t="shared" si="1"/>
        <v>744.45</v>
      </c>
    </row>
    <row r="12" spans="1:50" s="7" customFormat="1" ht="12.75">
      <c r="A12" s="160" t="s">
        <v>1758</v>
      </c>
      <c r="B12" s="144" t="s">
        <v>1755</v>
      </c>
      <c r="C12" s="156" t="s">
        <v>2199</v>
      </c>
      <c r="D12" s="174" t="s">
        <v>1759</v>
      </c>
      <c r="E12" s="147" t="s">
        <v>454</v>
      </c>
      <c r="F12" s="147" t="s">
        <v>454</v>
      </c>
      <c r="G12" s="147" t="s">
        <v>454</v>
      </c>
      <c r="H12" s="147" t="s">
        <v>454</v>
      </c>
      <c r="I12" s="148" t="s">
        <v>768</v>
      </c>
      <c r="J12" s="148" t="s">
        <v>1684</v>
      </c>
      <c r="K12" s="148"/>
      <c r="L12" s="149" t="s">
        <v>59</v>
      </c>
      <c r="M12" s="242">
        <v>225</v>
      </c>
      <c r="N12" s="242">
        <v>319.95</v>
      </c>
      <c r="O12" s="188">
        <v>0.7</v>
      </c>
      <c r="P12" s="150">
        <f t="shared" si="0"/>
        <v>125</v>
      </c>
      <c r="Q12" s="197">
        <f t="shared" si="1"/>
        <v>407.45</v>
      </c>
    </row>
    <row r="13" spans="1:50" s="201" customFormat="1" ht="12.75">
      <c r="A13" s="170" t="s">
        <v>2187</v>
      </c>
      <c r="B13" s="171" t="s">
        <v>2213</v>
      </c>
      <c r="C13" s="209" t="s">
        <v>2201</v>
      </c>
      <c r="D13" s="182" t="s">
        <v>2188</v>
      </c>
      <c r="E13" s="180" t="s">
        <v>454</v>
      </c>
      <c r="F13" s="180" t="s">
        <v>454</v>
      </c>
      <c r="G13" s="180" t="s">
        <v>454</v>
      </c>
      <c r="H13" s="180" t="s">
        <v>454</v>
      </c>
      <c r="I13" s="180"/>
      <c r="J13" s="180"/>
      <c r="K13" s="243"/>
      <c r="L13" s="210" t="s">
        <v>59</v>
      </c>
      <c r="M13" s="211">
        <v>489.99</v>
      </c>
      <c r="N13" s="211">
        <v>699.95</v>
      </c>
      <c r="O13" s="212">
        <v>0.7</v>
      </c>
      <c r="P13" s="211">
        <f t="shared" si="0"/>
        <v>125</v>
      </c>
      <c r="Q13" s="213">
        <f t="shared" si="1"/>
        <v>787.45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s="7" customFormat="1" ht="12.75">
      <c r="A14" s="160" t="s">
        <v>1757</v>
      </c>
      <c r="B14" s="144" t="s">
        <v>1756</v>
      </c>
      <c r="C14" s="156" t="s">
        <v>2200</v>
      </c>
      <c r="D14" s="174" t="s">
        <v>1759</v>
      </c>
      <c r="E14" s="147" t="s">
        <v>454</v>
      </c>
      <c r="F14" s="147" t="s">
        <v>454</v>
      </c>
      <c r="G14" s="147" t="s">
        <v>454</v>
      </c>
      <c r="H14" s="147" t="s">
        <v>454</v>
      </c>
      <c r="I14" s="148" t="s">
        <v>768</v>
      </c>
      <c r="J14" s="148" t="s">
        <v>1684</v>
      </c>
      <c r="K14" s="148"/>
      <c r="L14" s="149" t="s">
        <v>59</v>
      </c>
      <c r="M14" s="242">
        <v>598</v>
      </c>
      <c r="N14" s="242">
        <v>849.95</v>
      </c>
      <c r="O14" s="188">
        <v>0.7</v>
      </c>
      <c r="P14" s="150">
        <f t="shared" si="0"/>
        <v>125</v>
      </c>
      <c r="Q14" s="197">
        <f t="shared" si="1"/>
        <v>937.45</v>
      </c>
    </row>
    <row r="15" spans="1:50" s="7" customFormat="1" ht="12.75">
      <c r="A15" s="160" t="s">
        <v>514</v>
      </c>
      <c r="B15" s="144" t="s">
        <v>887</v>
      </c>
      <c r="C15" s="151" t="s">
        <v>900</v>
      </c>
      <c r="D15" s="174" t="s">
        <v>733</v>
      </c>
      <c r="E15" s="147" t="s">
        <v>454</v>
      </c>
      <c r="F15" s="147" t="s">
        <v>454</v>
      </c>
      <c r="G15" s="147" t="s">
        <v>454</v>
      </c>
      <c r="H15" s="147" t="s">
        <v>454</v>
      </c>
      <c r="I15" s="148" t="s">
        <v>768</v>
      </c>
      <c r="J15" s="148" t="s">
        <v>1684</v>
      </c>
      <c r="K15" s="148"/>
      <c r="L15" s="149" t="s">
        <v>10</v>
      </c>
      <c r="M15" s="242">
        <v>76.17</v>
      </c>
      <c r="N15" s="242">
        <v>126.95</v>
      </c>
      <c r="O15" s="188">
        <v>0.2</v>
      </c>
      <c r="P15" s="150">
        <f t="shared" si="0"/>
        <v>125</v>
      </c>
      <c r="Q15" s="197">
        <f t="shared" si="1"/>
        <v>151.94999999999999</v>
      </c>
    </row>
    <row r="16" spans="1:50" s="7" customFormat="1" ht="12.75">
      <c r="A16" s="160" t="s">
        <v>157</v>
      </c>
      <c r="B16" s="144" t="s">
        <v>888</v>
      </c>
      <c r="C16" s="151" t="s">
        <v>901</v>
      </c>
      <c r="D16" s="174" t="s">
        <v>56</v>
      </c>
      <c r="E16" s="147" t="s">
        <v>454</v>
      </c>
      <c r="F16" s="147" t="s">
        <v>454</v>
      </c>
      <c r="G16" s="147"/>
      <c r="H16" s="147" t="s">
        <v>454</v>
      </c>
      <c r="I16" s="148" t="s">
        <v>768</v>
      </c>
      <c r="J16" s="148" t="s">
        <v>1684</v>
      </c>
      <c r="K16" s="148"/>
      <c r="L16" s="149" t="s">
        <v>10</v>
      </c>
      <c r="M16" s="242">
        <v>141.57</v>
      </c>
      <c r="N16" s="242">
        <v>235.95</v>
      </c>
      <c r="O16" s="188">
        <v>0.2</v>
      </c>
      <c r="P16" s="150">
        <f t="shared" si="0"/>
        <v>125</v>
      </c>
      <c r="Q16" s="197">
        <f t="shared" si="1"/>
        <v>260.95</v>
      </c>
    </row>
    <row r="17" spans="1:18" s="7" customFormat="1" ht="12.75">
      <c r="A17" s="160" t="s">
        <v>1474</v>
      </c>
      <c r="B17" s="144" t="s">
        <v>1087</v>
      </c>
      <c r="C17" s="151" t="s">
        <v>1088</v>
      </c>
      <c r="D17" s="174"/>
      <c r="E17" s="147" t="s">
        <v>454</v>
      </c>
      <c r="F17" s="147" t="s">
        <v>454</v>
      </c>
      <c r="G17" s="147" t="s">
        <v>454</v>
      </c>
      <c r="H17" s="147" t="s">
        <v>454</v>
      </c>
      <c r="I17" s="148" t="s">
        <v>768</v>
      </c>
      <c r="J17" s="148" t="s">
        <v>1684</v>
      </c>
      <c r="K17" s="148"/>
      <c r="L17" s="149" t="s">
        <v>10</v>
      </c>
      <c r="M17" s="242">
        <v>450</v>
      </c>
      <c r="N17" s="242">
        <v>749.95</v>
      </c>
      <c r="O17" s="188">
        <v>2</v>
      </c>
      <c r="P17" s="150">
        <f t="shared" si="0"/>
        <v>125</v>
      </c>
      <c r="Q17" s="197">
        <f t="shared" si="1"/>
        <v>999.95</v>
      </c>
      <c r="R17" s="16"/>
    </row>
    <row r="18" spans="1:18" s="7" customFormat="1" ht="12.75">
      <c r="A18" s="160" t="s">
        <v>724</v>
      </c>
      <c r="B18" s="144" t="s">
        <v>883</v>
      </c>
      <c r="C18" s="151" t="s">
        <v>1802</v>
      </c>
      <c r="D18" s="174"/>
      <c r="E18" s="147" t="s">
        <v>454</v>
      </c>
      <c r="F18" s="147" t="s">
        <v>454</v>
      </c>
      <c r="G18" s="147" t="s">
        <v>454</v>
      </c>
      <c r="H18" s="147" t="s">
        <v>454</v>
      </c>
      <c r="I18" s="148"/>
      <c r="J18" s="148" t="s">
        <v>1684</v>
      </c>
      <c r="K18" s="148"/>
      <c r="L18" s="149" t="s">
        <v>0</v>
      </c>
      <c r="M18" s="242">
        <v>89.62</v>
      </c>
      <c r="N18" s="242">
        <v>149.94999999999999</v>
      </c>
      <c r="O18" s="188">
        <v>0.5</v>
      </c>
      <c r="P18" s="150">
        <f t="shared" si="0"/>
        <v>125</v>
      </c>
      <c r="Q18" s="197">
        <f t="shared" si="1"/>
        <v>212.45</v>
      </c>
    </row>
    <row r="19" spans="1:18" s="7" customFormat="1" ht="12.75">
      <c r="A19" s="221" t="s">
        <v>1880</v>
      </c>
      <c r="B19" s="144" t="s">
        <v>1881</v>
      </c>
      <c r="C19" s="244" t="s">
        <v>1908</v>
      </c>
      <c r="D19" s="174"/>
      <c r="E19" s="147" t="s">
        <v>454</v>
      </c>
      <c r="F19" s="147" t="s">
        <v>454</v>
      </c>
      <c r="G19" s="147" t="s">
        <v>454</v>
      </c>
      <c r="H19" s="147" t="s">
        <v>454</v>
      </c>
      <c r="I19" s="148"/>
      <c r="J19" s="148"/>
      <c r="K19" s="148"/>
      <c r="L19" s="149" t="s">
        <v>0</v>
      </c>
      <c r="M19" s="242">
        <v>53.97</v>
      </c>
      <c r="N19" s="242">
        <v>89.95</v>
      </c>
      <c r="O19" s="188">
        <v>0</v>
      </c>
      <c r="P19" s="150">
        <f t="shared" si="0"/>
        <v>125</v>
      </c>
      <c r="Q19" s="197">
        <f t="shared" si="1"/>
        <v>89.95</v>
      </c>
    </row>
    <row r="20" spans="1:18" s="7" customFormat="1" ht="12.75">
      <c r="A20" s="160" t="s">
        <v>691</v>
      </c>
      <c r="B20" s="144" t="s">
        <v>798</v>
      </c>
      <c r="C20" s="151" t="s">
        <v>787</v>
      </c>
      <c r="D20" s="174" t="s">
        <v>784</v>
      </c>
      <c r="E20" s="147" t="s">
        <v>454</v>
      </c>
      <c r="F20" s="147" t="s">
        <v>454</v>
      </c>
      <c r="G20" s="147" t="s">
        <v>454</v>
      </c>
      <c r="H20" s="147" t="s">
        <v>454</v>
      </c>
      <c r="I20" s="148" t="s">
        <v>768</v>
      </c>
      <c r="J20" s="148" t="s">
        <v>1684</v>
      </c>
      <c r="K20" s="148"/>
      <c r="L20" s="149" t="s">
        <v>10</v>
      </c>
      <c r="M20" s="242">
        <v>618.57000000000005</v>
      </c>
      <c r="N20" s="242">
        <v>1030.95</v>
      </c>
      <c r="O20" s="188">
        <v>0.6</v>
      </c>
      <c r="P20" s="150">
        <f t="shared" si="0"/>
        <v>125</v>
      </c>
      <c r="Q20" s="197">
        <f t="shared" si="1"/>
        <v>1105.95</v>
      </c>
    </row>
    <row r="21" spans="1:18" s="7" customFormat="1" ht="12.75">
      <c r="A21" s="160" t="s">
        <v>690</v>
      </c>
      <c r="B21" s="144" t="s">
        <v>799</v>
      </c>
      <c r="C21" s="225" t="s">
        <v>728</v>
      </c>
      <c r="D21" s="174" t="s">
        <v>219</v>
      </c>
      <c r="E21" s="147" t="s">
        <v>454</v>
      </c>
      <c r="F21" s="147" t="s">
        <v>454</v>
      </c>
      <c r="G21" s="147"/>
      <c r="H21" s="147" t="s">
        <v>454</v>
      </c>
      <c r="I21" s="148" t="s">
        <v>768</v>
      </c>
      <c r="J21" s="148" t="s">
        <v>1684</v>
      </c>
      <c r="K21" s="148"/>
      <c r="L21" s="149" t="s">
        <v>10</v>
      </c>
      <c r="M21" s="242">
        <v>582.57000000000005</v>
      </c>
      <c r="N21" s="242">
        <v>970.95</v>
      </c>
      <c r="O21" s="188">
        <v>0.6</v>
      </c>
      <c r="P21" s="150">
        <f t="shared" si="0"/>
        <v>125</v>
      </c>
      <c r="Q21" s="197">
        <f t="shared" si="1"/>
        <v>1045.95</v>
      </c>
    </row>
    <row r="22" spans="1:18" s="7" customFormat="1" ht="12.75">
      <c r="A22" s="160" t="s">
        <v>175</v>
      </c>
      <c r="B22" s="144" t="s">
        <v>646</v>
      </c>
      <c r="C22" s="151" t="s">
        <v>878</v>
      </c>
      <c r="D22" s="174" t="s">
        <v>1705</v>
      </c>
      <c r="E22" s="147" t="s">
        <v>454</v>
      </c>
      <c r="F22" s="147" t="s">
        <v>454</v>
      </c>
      <c r="G22" s="147" t="s">
        <v>454</v>
      </c>
      <c r="H22" s="147" t="s">
        <v>454</v>
      </c>
      <c r="I22" s="148" t="s">
        <v>768</v>
      </c>
      <c r="J22" s="148"/>
      <c r="K22" s="148"/>
      <c r="L22" s="149" t="s">
        <v>16</v>
      </c>
      <c r="M22" s="242">
        <v>70</v>
      </c>
      <c r="N22" s="242">
        <v>99.95</v>
      </c>
      <c r="O22" s="188">
        <v>0</v>
      </c>
      <c r="P22" s="150">
        <f t="shared" si="0"/>
        <v>125</v>
      </c>
      <c r="Q22" s="197">
        <f t="shared" si="1"/>
        <v>99.95</v>
      </c>
    </row>
    <row r="23" spans="1:18" s="7" customFormat="1" ht="12.75">
      <c r="A23" s="160" t="s">
        <v>176</v>
      </c>
      <c r="B23" s="144" t="s">
        <v>647</v>
      </c>
      <c r="C23" s="151" t="s">
        <v>879</v>
      </c>
      <c r="D23" s="174" t="s">
        <v>1705</v>
      </c>
      <c r="E23" s="147" t="s">
        <v>454</v>
      </c>
      <c r="F23" s="147" t="s">
        <v>454</v>
      </c>
      <c r="G23" s="147" t="s">
        <v>454</v>
      </c>
      <c r="H23" s="147" t="s">
        <v>454</v>
      </c>
      <c r="I23" s="148" t="s">
        <v>768</v>
      </c>
      <c r="J23" s="148"/>
      <c r="K23" s="148"/>
      <c r="L23" s="149" t="s">
        <v>16</v>
      </c>
      <c r="M23" s="242">
        <v>70</v>
      </c>
      <c r="N23" s="242">
        <v>99.95</v>
      </c>
      <c r="O23" s="188">
        <v>0</v>
      </c>
      <c r="P23" s="150">
        <f t="shared" si="0"/>
        <v>125</v>
      </c>
      <c r="Q23" s="197">
        <f t="shared" si="1"/>
        <v>99.95</v>
      </c>
    </row>
    <row r="24" spans="1:18" s="7" customFormat="1" ht="12.75">
      <c r="A24" s="160" t="s">
        <v>177</v>
      </c>
      <c r="B24" s="144" t="s">
        <v>648</v>
      </c>
      <c r="C24" s="151" t="s">
        <v>880</v>
      </c>
      <c r="D24" s="174" t="s">
        <v>1705</v>
      </c>
      <c r="E24" s="147" t="s">
        <v>454</v>
      </c>
      <c r="F24" s="147" t="s">
        <v>454</v>
      </c>
      <c r="G24" s="147" t="s">
        <v>454</v>
      </c>
      <c r="H24" s="147" t="s">
        <v>454</v>
      </c>
      <c r="I24" s="148" t="s">
        <v>768</v>
      </c>
      <c r="J24" s="148"/>
      <c r="K24" s="148"/>
      <c r="L24" s="149" t="s">
        <v>16</v>
      </c>
      <c r="M24" s="242">
        <v>49</v>
      </c>
      <c r="N24" s="242">
        <v>69.95</v>
      </c>
      <c r="O24" s="188">
        <v>0</v>
      </c>
      <c r="P24" s="150">
        <f t="shared" si="0"/>
        <v>125</v>
      </c>
      <c r="Q24" s="197">
        <f t="shared" si="1"/>
        <v>69.95</v>
      </c>
    </row>
    <row r="25" spans="1:18" s="7" customFormat="1" ht="12.75">
      <c r="A25" s="160" t="s">
        <v>713</v>
      </c>
      <c r="B25" s="144" t="s">
        <v>218</v>
      </c>
      <c r="C25" s="151" t="s">
        <v>1629</v>
      </c>
      <c r="D25" s="174" t="s">
        <v>1706</v>
      </c>
      <c r="E25" s="147" t="s">
        <v>454</v>
      </c>
      <c r="F25" s="147" t="s">
        <v>454</v>
      </c>
      <c r="G25" s="147" t="s">
        <v>454</v>
      </c>
      <c r="H25" s="147" t="s">
        <v>454</v>
      </c>
      <c r="I25" s="148" t="s">
        <v>768</v>
      </c>
      <c r="J25" s="148" t="s">
        <v>1684</v>
      </c>
      <c r="K25" s="148"/>
      <c r="L25" s="149" t="s">
        <v>10</v>
      </c>
      <c r="M25" s="242">
        <v>85.77</v>
      </c>
      <c r="N25" s="242">
        <v>142.94999999999999</v>
      </c>
      <c r="O25" s="188">
        <v>0.5</v>
      </c>
      <c r="P25" s="150">
        <f t="shared" si="0"/>
        <v>125</v>
      </c>
      <c r="Q25" s="197">
        <f t="shared" si="1"/>
        <v>205.45</v>
      </c>
    </row>
    <row r="26" spans="1:18" s="7" customFormat="1" ht="12.75">
      <c r="A26" s="160" t="s">
        <v>712</v>
      </c>
      <c r="B26" s="144" t="s">
        <v>217</v>
      </c>
      <c r="C26" s="151" t="s">
        <v>1630</v>
      </c>
      <c r="D26" s="174" t="s">
        <v>1706</v>
      </c>
      <c r="E26" s="147" t="s">
        <v>454</v>
      </c>
      <c r="F26" s="147" t="s">
        <v>454</v>
      </c>
      <c r="G26" s="147" t="s">
        <v>454</v>
      </c>
      <c r="H26" s="147" t="s">
        <v>454</v>
      </c>
      <c r="I26" s="148" t="s">
        <v>768</v>
      </c>
      <c r="J26" s="148" t="s">
        <v>1684</v>
      </c>
      <c r="K26" s="148"/>
      <c r="L26" s="149" t="s">
        <v>10</v>
      </c>
      <c r="M26" s="242">
        <v>85.77</v>
      </c>
      <c r="N26" s="242">
        <v>142.94999999999999</v>
      </c>
      <c r="O26" s="188">
        <v>0.5</v>
      </c>
      <c r="P26" s="150">
        <f t="shared" si="0"/>
        <v>125</v>
      </c>
      <c r="Q26" s="197">
        <f t="shared" si="1"/>
        <v>205.45</v>
      </c>
    </row>
    <row r="27" spans="1:18" s="7" customFormat="1" ht="12.75">
      <c r="A27" s="221" t="s">
        <v>716</v>
      </c>
      <c r="B27" s="144" t="s">
        <v>554</v>
      </c>
      <c r="C27" s="151" t="s">
        <v>902</v>
      </c>
      <c r="D27" s="174" t="s">
        <v>537</v>
      </c>
      <c r="E27" s="147" t="s">
        <v>454</v>
      </c>
      <c r="F27" s="147" t="s">
        <v>454</v>
      </c>
      <c r="G27" s="147" t="s">
        <v>454</v>
      </c>
      <c r="H27" s="147" t="s">
        <v>454</v>
      </c>
      <c r="I27" s="148" t="s">
        <v>768</v>
      </c>
      <c r="J27" s="148" t="s">
        <v>1684</v>
      </c>
      <c r="K27" s="148"/>
      <c r="L27" s="149" t="s">
        <v>10</v>
      </c>
      <c r="M27" s="242">
        <v>112.77</v>
      </c>
      <c r="N27" s="242">
        <v>187.95</v>
      </c>
      <c r="O27" s="188">
        <v>0.5</v>
      </c>
      <c r="P27" s="150">
        <f t="shared" si="0"/>
        <v>125</v>
      </c>
      <c r="Q27" s="197">
        <f t="shared" si="1"/>
        <v>250.45</v>
      </c>
    </row>
    <row r="28" spans="1:18" s="7" customFormat="1" ht="12.75">
      <c r="A28" s="221" t="s">
        <v>722</v>
      </c>
      <c r="B28" s="144" t="s">
        <v>800</v>
      </c>
      <c r="C28" s="151" t="s">
        <v>903</v>
      </c>
      <c r="D28" s="174" t="s">
        <v>749</v>
      </c>
      <c r="E28" s="147" t="s">
        <v>454</v>
      </c>
      <c r="F28" s="147" t="s">
        <v>454</v>
      </c>
      <c r="G28" s="147" t="s">
        <v>454</v>
      </c>
      <c r="H28" s="147" t="s">
        <v>454</v>
      </c>
      <c r="I28" s="148" t="s">
        <v>768</v>
      </c>
      <c r="J28" s="148" t="s">
        <v>1684</v>
      </c>
      <c r="K28" s="148"/>
      <c r="L28" s="149" t="s">
        <v>0</v>
      </c>
      <c r="M28" s="242">
        <v>106.77</v>
      </c>
      <c r="N28" s="242">
        <v>177.95</v>
      </c>
      <c r="O28" s="188">
        <v>1.5</v>
      </c>
      <c r="P28" s="150">
        <f t="shared" si="0"/>
        <v>125</v>
      </c>
      <c r="Q28" s="197">
        <f t="shared" si="1"/>
        <v>365.45</v>
      </c>
    </row>
    <row r="29" spans="1:18" s="7" customFormat="1" ht="12.75">
      <c r="A29" s="221" t="s">
        <v>164</v>
      </c>
      <c r="B29" s="144" t="s">
        <v>801</v>
      </c>
      <c r="C29" s="151" t="s">
        <v>904</v>
      </c>
      <c r="D29" s="174" t="s">
        <v>23</v>
      </c>
      <c r="E29" s="147" t="s">
        <v>454</v>
      </c>
      <c r="F29" s="147" t="s">
        <v>454</v>
      </c>
      <c r="G29" s="147" t="s">
        <v>454</v>
      </c>
      <c r="H29" s="147" t="s">
        <v>454</v>
      </c>
      <c r="I29" s="148" t="s">
        <v>768</v>
      </c>
      <c r="J29" s="148" t="s">
        <v>1684</v>
      </c>
      <c r="K29" s="148"/>
      <c r="L29" s="149" t="s">
        <v>0</v>
      </c>
      <c r="M29" s="242">
        <v>109.77</v>
      </c>
      <c r="N29" s="242">
        <v>182.95</v>
      </c>
      <c r="O29" s="188">
        <v>1.5</v>
      </c>
      <c r="P29" s="150">
        <f t="shared" si="0"/>
        <v>125</v>
      </c>
      <c r="Q29" s="197">
        <f t="shared" si="1"/>
        <v>370.45</v>
      </c>
    </row>
    <row r="30" spans="1:18" s="7" customFormat="1" ht="12.75">
      <c r="A30" s="221" t="s">
        <v>561</v>
      </c>
      <c r="B30" s="144" t="s">
        <v>563</v>
      </c>
      <c r="C30" s="151" t="s">
        <v>566</v>
      </c>
      <c r="D30" s="174" t="s">
        <v>1829</v>
      </c>
      <c r="E30" s="147" t="s">
        <v>454</v>
      </c>
      <c r="F30" s="147" t="s">
        <v>454</v>
      </c>
      <c r="G30" s="147" t="s">
        <v>454</v>
      </c>
      <c r="H30" s="147" t="s">
        <v>454</v>
      </c>
      <c r="I30" s="148" t="s">
        <v>768</v>
      </c>
      <c r="J30" s="148"/>
      <c r="K30" s="148"/>
      <c r="L30" s="149" t="s">
        <v>10</v>
      </c>
      <c r="M30" s="242">
        <v>14.77</v>
      </c>
      <c r="N30" s="242">
        <v>39.950000000000003</v>
      </c>
      <c r="O30" s="188">
        <v>0</v>
      </c>
      <c r="P30" s="150">
        <f t="shared" si="0"/>
        <v>125</v>
      </c>
      <c r="Q30" s="197">
        <f t="shared" si="1"/>
        <v>39.950000000000003</v>
      </c>
    </row>
    <row r="31" spans="1:18" s="7" customFormat="1" ht="12.75">
      <c r="A31" s="221" t="s">
        <v>1046</v>
      </c>
      <c r="B31" s="144" t="s">
        <v>1047</v>
      </c>
      <c r="C31" s="151" t="s">
        <v>1050</v>
      </c>
      <c r="D31" s="174" t="s">
        <v>1829</v>
      </c>
      <c r="E31" s="147" t="s">
        <v>454</v>
      </c>
      <c r="F31" s="147" t="s">
        <v>454</v>
      </c>
      <c r="G31" s="147" t="s">
        <v>454</v>
      </c>
      <c r="H31" s="147" t="s">
        <v>454</v>
      </c>
      <c r="I31" s="148" t="s">
        <v>768</v>
      </c>
      <c r="J31" s="148"/>
      <c r="K31" s="148"/>
      <c r="L31" s="149" t="s">
        <v>10</v>
      </c>
      <c r="M31" s="242">
        <v>18.5</v>
      </c>
      <c r="N31" s="242">
        <v>0</v>
      </c>
      <c r="O31" s="188">
        <v>0</v>
      </c>
      <c r="P31" s="150">
        <f t="shared" si="0"/>
        <v>125</v>
      </c>
      <c r="Q31" s="197">
        <f t="shared" si="1"/>
        <v>0</v>
      </c>
    </row>
    <row r="32" spans="1:18" s="7" customFormat="1" ht="12.75">
      <c r="A32" s="221" t="s">
        <v>1048</v>
      </c>
      <c r="B32" s="144" t="s">
        <v>1049</v>
      </c>
      <c r="C32" s="151" t="s">
        <v>1051</v>
      </c>
      <c r="D32" s="174" t="s">
        <v>1829</v>
      </c>
      <c r="E32" s="147" t="s">
        <v>454</v>
      </c>
      <c r="F32" s="147" t="s">
        <v>454</v>
      </c>
      <c r="G32" s="147" t="s">
        <v>454</v>
      </c>
      <c r="H32" s="147" t="s">
        <v>454</v>
      </c>
      <c r="I32" s="148" t="s">
        <v>768</v>
      </c>
      <c r="J32" s="148"/>
      <c r="K32" s="148"/>
      <c r="L32" s="149" t="s">
        <v>10</v>
      </c>
      <c r="M32" s="242">
        <v>14.25</v>
      </c>
      <c r="N32" s="242">
        <v>0</v>
      </c>
      <c r="O32" s="188">
        <v>0</v>
      </c>
      <c r="P32" s="150">
        <f t="shared" si="0"/>
        <v>125</v>
      </c>
      <c r="Q32" s="197">
        <f t="shared" si="1"/>
        <v>0</v>
      </c>
    </row>
    <row r="33" spans="1:18" s="7" customFormat="1" ht="12.75">
      <c r="A33" s="221" t="s">
        <v>562</v>
      </c>
      <c r="B33" s="144" t="s">
        <v>565</v>
      </c>
      <c r="C33" s="151" t="s">
        <v>568</v>
      </c>
      <c r="D33" s="174" t="s">
        <v>1829</v>
      </c>
      <c r="E33" s="147" t="s">
        <v>454</v>
      </c>
      <c r="F33" s="147" t="s">
        <v>454</v>
      </c>
      <c r="G33" s="147" t="s">
        <v>454</v>
      </c>
      <c r="H33" s="147" t="s">
        <v>454</v>
      </c>
      <c r="I33" s="148" t="s">
        <v>768</v>
      </c>
      <c r="J33" s="148"/>
      <c r="K33" s="148"/>
      <c r="L33" s="149" t="s">
        <v>10</v>
      </c>
      <c r="M33" s="242">
        <v>18.09</v>
      </c>
      <c r="N33" s="242">
        <v>0</v>
      </c>
      <c r="O33" s="188">
        <v>0</v>
      </c>
      <c r="P33" s="150">
        <f t="shared" si="0"/>
        <v>125</v>
      </c>
      <c r="Q33" s="197">
        <f t="shared" si="1"/>
        <v>0</v>
      </c>
    </row>
    <row r="34" spans="1:18" s="7" customFormat="1" ht="12.75">
      <c r="A34" s="221" t="s">
        <v>560</v>
      </c>
      <c r="B34" s="144" t="s">
        <v>885</v>
      </c>
      <c r="C34" s="151" t="s">
        <v>905</v>
      </c>
      <c r="D34" s="174" t="s">
        <v>1829</v>
      </c>
      <c r="E34" s="147" t="s">
        <v>454</v>
      </c>
      <c r="F34" s="147" t="s">
        <v>454</v>
      </c>
      <c r="G34" s="147" t="s">
        <v>454</v>
      </c>
      <c r="H34" s="147" t="s">
        <v>454</v>
      </c>
      <c r="I34" s="148" t="s">
        <v>768</v>
      </c>
      <c r="J34" s="148"/>
      <c r="K34" s="148"/>
      <c r="L34" s="149" t="s">
        <v>10</v>
      </c>
      <c r="M34" s="242">
        <v>16.45</v>
      </c>
      <c r="N34" s="242">
        <v>39.950000000000003</v>
      </c>
      <c r="O34" s="188">
        <v>0</v>
      </c>
      <c r="P34" s="150">
        <f t="shared" si="0"/>
        <v>125</v>
      </c>
      <c r="Q34" s="197">
        <f t="shared" si="1"/>
        <v>39.950000000000003</v>
      </c>
    </row>
    <row r="35" spans="1:18" s="7" customFormat="1" ht="12.75">
      <c r="A35" s="221" t="s">
        <v>570</v>
      </c>
      <c r="B35" s="144" t="s">
        <v>564</v>
      </c>
      <c r="C35" s="151" t="s">
        <v>567</v>
      </c>
      <c r="D35" s="174" t="s">
        <v>1829</v>
      </c>
      <c r="E35" s="147" t="s">
        <v>454</v>
      </c>
      <c r="F35" s="147" t="s">
        <v>454</v>
      </c>
      <c r="G35" s="147" t="s">
        <v>454</v>
      </c>
      <c r="H35" s="147" t="s">
        <v>454</v>
      </c>
      <c r="I35" s="148" t="s">
        <v>768</v>
      </c>
      <c r="J35" s="148"/>
      <c r="K35" s="148"/>
      <c r="L35" s="149" t="s">
        <v>10</v>
      </c>
      <c r="M35" s="242">
        <v>99.95</v>
      </c>
      <c r="N35" s="242">
        <v>39.950000000000003</v>
      </c>
      <c r="O35" s="188">
        <v>0</v>
      </c>
      <c r="P35" s="150">
        <f t="shared" si="0"/>
        <v>125</v>
      </c>
      <c r="Q35" s="197">
        <f t="shared" si="1"/>
        <v>39.950000000000003</v>
      </c>
    </row>
    <row r="36" spans="1:18" s="7" customFormat="1" ht="12.75">
      <c r="A36" s="221" t="s">
        <v>723</v>
      </c>
      <c r="B36" s="144" t="s">
        <v>802</v>
      </c>
      <c r="C36" s="151" t="s">
        <v>771</v>
      </c>
      <c r="D36" s="174"/>
      <c r="E36" s="147" t="s">
        <v>454</v>
      </c>
      <c r="F36" s="147" t="s">
        <v>454</v>
      </c>
      <c r="G36" s="147" t="s">
        <v>454</v>
      </c>
      <c r="H36" s="147" t="s">
        <v>454</v>
      </c>
      <c r="I36" s="148" t="s">
        <v>768</v>
      </c>
      <c r="J36" s="148" t="s">
        <v>1684</v>
      </c>
      <c r="K36" s="148"/>
      <c r="L36" s="149" t="s">
        <v>0</v>
      </c>
      <c r="M36" s="242">
        <v>312.57</v>
      </c>
      <c r="N36" s="242">
        <v>520.95000000000005</v>
      </c>
      <c r="O36" s="188">
        <v>2.5</v>
      </c>
      <c r="P36" s="150">
        <f t="shared" si="0"/>
        <v>125</v>
      </c>
      <c r="Q36" s="197">
        <f t="shared" si="1"/>
        <v>833.45</v>
      </c>
    </row>
    <row r="37" spans="1:18" s="7" customFormat="1" ht="12.75">
      <c r="A37" s="221" t="s">
        <v>1879</v>
      </c>
      <c r="B37" s="144" t="s">
        <v>743</v>
      </c>
      <c r="C37" s="151" t="s">
        <v>906</v>
      </c>
      <c r="D37" s="174"/>
      <c r="E37" s="147" t="s">
        <v>454</v>
      </c>
      <c r="F37" s="147" t="s">
        <v>454</v>
      </c>
      <c r="G37" s="147" t="s">
        <v>454</v>
      </c>
      <c r="H37" s="147" t="s">
        <v>454</v>
      </c>
      <c r="I37" s="148" t="s">
        <v>768</v>
      </c>
      <c r="J37" s="148" t="s">
        <v>1684</v>
      </c>
      <c r="K37" s="148"/>
      <c r="L37" s="149" t="s">
        <v>0</v>
      </c>
      <c r="M37" s="242">
        <v>112.77</v>
      </c>
      <c r="N37" s="242">
        <v>187.95</v>
      </c>
      <c r="O37" s="188">
        <v>0</v>
      </c>
      <c r="P37" s="150">
        <f t="shared" si="0"/>
        <v>125</v>
      </c>
      <c r="Q37" s="197">
        <f t="shared" si="1"/>
        <v>187.95</v>
      </c>
    </row>
    <row r="38" spans="1:18" s="7" customFormat="1" ht="12.75">
      <c r="A38" s="221" t="s">
        <v>721</v>
      </c>
      <c r="B38" s="144" t="s">
        <v>2132</v>
      </c>
      <c r="C38" s="151" t="s">
        <v>2133</v>
      </c>
      <c r="D38" s="174"/>
      <c r="E38" s="147" t="s">
        <v>454</v>
      </c>
      <c r="F38" s="147" t="s">
        <v>454</v>
      </c>
      <c r="G38" s="147" t="s">
        <v>454</v>
      </c>
      <c r="H38" s="147" t="s">
        <v>454</v>
      </c>
      <c r="I38" s="148" t="s">
        <v>768</v>
      </c>
      <c r="J38" s="148" t="s">
        <v>1684</v>
      </c>
      <c r="K38" s="148"/>
      <c r="L38" s="149" t="s">
        <v>0</v>
      </c>
      <c r="M38" s="242">
        <v>35.97</v>
      </c>
      <c r="N38" s="242">
        <v>59.95</v>
      </c>
      <c r="O38" s="188">
        <v>0.6</v>
      </c>
      <c r="P38" s="150">
        <f t="shared" si="0"/>
        <v>125</v>
      </c>
      <c r="Q38" s="197">
        <f t="shared" si="1"/>
        <v>134.94999999999999</v>
      </c>
      <c r="R38" s="16"/>
    </row>
    <row r="39" spans="1:18" s="7" customFormat="1" ht="12.75">
      <c r="A39" s="160" t="s">
        <v>696</v>
      </c>
      <c r="B39" s="144" t="s">
        <v>2105</v>
      </c>
      <c r="C39" s="151" t="s">
        <v>884</v>
      </c>
      <c r="D39" s="174" t="s">
        <v>732</v>
      </c>
      <c r="E39" s="147" t="s">
        <v>454</v>
      </c>
      <c r="F39" s="147" t="s">
        <v>454</v>
      </c>
      <c r="G39" s="147" t="s">
        <v>454</v>
      </c>
      <c r="H39" s="147" t="s">
        <v>454</v>
      </c>
      <c r="I39" s="148" t="s">
        <v>768</v>
      </c>
      <c r="J39" s="148" t="s">
        <v>1684</v>
      </c>
      <c r="K39" s="148"/>
      <c r="L39" s="149" t="s">
        <v>10</v>
      </c>
      <c r="M39" s="242">
        <v>224.97</v>
      </c>
      <c r="N39" s="242">
        <v>374.95</v>
      </c>
      <c r="O39" s="188">
        <v>0.6</v>
      </c>
      <c r="P39" s="150">
        <f t="shared" si="0"/>
        <v>125</v>
      </c>
      <c r="Q39" s="197">
        <f t="shared" si="1"/>
        <v>449.95</v>
      </c>
    </row>
    <row r="40" spans="1:18" s="16" customFormat="1" ht="12.75">
      <c r="A40" s="160" t="s">
        <v>156</v>
      </c>
      <c r="B40" s="144" t="s">
        <v>2106</v>
      </c>
      <c r="C40" s="151" t="s">
        <v>828</v>
      </c>
      <c r="D40" s="174" t="s">
        <v>56</v>
      </c>
      <c r="E40" s="147" t="s">
        <v>454</v>
      </c>
      <c r="F40" s="147" t="s">
        <v>454</v>
      </c>
      <c r="G40" s="147"/>
      <c r="H40" s="147" t="s">
        <v>454</v>
      </c>
      <c r="I40" s="148" t="s">
        <v>768</v>
      </c>
      <c r="J40" s="148" t="s">
        <v>1684</v>
      </c>
      <c r="K40" s="148"/>
      <c r="L40" s="149" t="s">
        <v>10</v>
      </c>
      <c r="M40" s="242">
        <v>151.77000000000001</v>
      </c>
      <c r="N40" s="242">
        <v>252.95</v>
      </c>
      <c r="O40" s="188">
        <v>0.6</v>
      </c>
      <c r="P40" s="150">
        <f t="shared" si="0"/>
        <v>125</v>
      </c>
      <c r="Q40" s="197">
        <f t="shared" si="1"/>
        <v>327.95</v>
      </c>
      <c r="R40" s="7"/>
    </row>
    <row r="41" spans="1:18" s="7" customFormat="1" ht="12.75">
      <c r="A41" s="221" t="s">
        <v>158</v>
      </c>
      <c r="B41" s="144" t="s">
        <v>889</v>
      </c>
      <c r="C41" s="151" t="s">
        <v>729</v>
      </c>
      <c r="D41" s="174"/>
      <c r="E41" s="147" t="s">
        <v>454</v>
      </c>
      <c r="F41" s="147" t="s">
        <v>454</v>
      </c>
      <c r="G41" s="147" t="s">
        <v>454</v>
      </c>
      <c r="H41" s="147" t="s">
        <v>454</v>
      </c>
      <c r="I41" s="148" t="s">
        <v>768</v>
      </c>
      <c r="J41" s="148" t="s">
        <v>1684</v>
      </c>
      <c r="K41" s="148"/>
      <c r="L41" s="149" t="s">
        <v>10</v>
      </c>
      <c r="M41" s="242">
        <v>42.57</v>
      </c>
      <c r="N41" s="242">
        <v>70.95</v>
      </c>
      <c r="O41" s="188">
        <v>0.4</v>
      </c>
      <c r="P41" s="150">
        <f t="shared" si="0"/>
        <v>125</v>
      </c>
      <c r="Q41" s="197">
        <f t="shared" si="1"/>
        <v>120.95</v>
      </c>
    </row>
    <row r="42" spans="1:18" s="7" customFormat="1" ht="12.75">
      <c r="A42" s="221" t="s">
        <v>159</v>
      </c>
      <c r="B42" s="144" t="s">
        <v>890</v>
      </c>
      <c r="C42" s="151" t="s">
        <v>730</v>
      </c>
      <c r="D42" s="174" t="s">
        <v>410</v>
      </c>
      <c r="E42" s="147" t="s">
        <v>454</v>
      </c>
      <c r="F42" s="147" t="s">
        <v>454</v>
      </c>
      <c r="G42" s="147" t="s">
        <v>454</v>
      </c>
      <c r="H42" s="147" t="s">
        <v>454</v>
      </c>
      <c r="I42" s="148" t="s">
        <v>768</v>
      </c>
      <c r="J42" s="148" t="s">
        <v>1684</v>
      </c>
      <c r="K42" s="148"/>
      <c r="L42" s="149" t="s">
        <v>10</v>
      </c>
      <c r="M42" s="242">
        <v>42.57</v>
      </c>
      <c r="N42" s="242">
        <v>70.95</v>
      </c>
      <c r="O42" s="188">
        <v>0.4</v>
      </c>
      <c r="P42" s="150">
        <f t="shared" si="0"/>
        <v>125</v>
      </c>
      <c r="Q42" s="197">
        <f t="shared" si="1"/>
        <v>120.95</v>
      </c>
    </row>
    <row r="43" spans="1:18" s="7" customFormat="1" ht="12.75">
      <c r="A43" s="160" t="s">
        <v>872</v>
      </c>
      <c r="B43" s="144" t="s">
        <v>873</v>
      </c>
      <c r="C43" s="151" t="s">
        <v>875</v>
      </c>
      <c r="D43" s="174" t="s">
        <v>2033</v>
      </c>
      <c r="E43" s="147" t="s">
        <v>454</v>
      </c>
      <c r="F43" s="147" t="s">
        <v>454</v>
      </c>
      <c r="G43" s="147" t="s">
        <v>454</v>
      </c>
      <c r="H43" s="147" t="s">
        <v>454</v>
      </c>
      <c r="I43" s="148"/>
      <c r="J43" s="148"/>
      <c r="K43" s="148"/>
      <c r="L43" s="149" t="s">
        <v>59</v>
      </c>
      <c r="M43" s="242">
        <v>84</v>
      </c>
      <c r="N43" s="242">
        <v>119.95</v>
      </c>
      <c r="O43" s="188">
        <v>0</v>
      </c>
      <c r="P43" s="150">
        <f t="shared" si="0"/>
        <v>125</v>
      </c>
      <c r="Q43" s="197">
        <f t="shared" si="1"/>
        <v>119.95</v>
      </c>
      <c r="R43" s="14"/>
    </row>
    <row r="44" spans="1:18" s="7" customFormat="1" ht="12.75">
      <c r="A44" s="221" t="s">
        <v>697</v>
      </c>
      <c r="B44" s="144" t="s">
        <v>752</v>
      </c>
      <c r="C44" s="151" t="s">
        <v>907</v>
      </c>
      <c r="D44" s="174" t="s">
        <v>734</v>
      </c>
      <c r="E44" s="147" t="s">
        <v>454</v>
      </c>
      <c r="F44" s="147" t="s">
        <v>454</v>
      </c>
      <c r="G44" s="147" t="s">
        <v>454</v>
      </c>
      <c r="H44" s="147" t="s">
        <v>454</v>
      </c>
      <c r="I44" s="148" t="s">
        <v>768</v>
      </c>
      <c r="J44" s="148" t="s">
        <v>1684</v>
      </c>
      <c r="K44" s="148"/>
      <c r="L44" s="149" t="s">
        <v>10</v>
      </c>
      <c r="M44" s="242">
        <v>179.97</v>
      </c>
      <c r="N44" s="242">
        <v>299.95</v>
      </c>
      <c r="O44" s="188">
        <v>0.4</v>
      </c>
      <c r="P44" s="150">
        <f t="shared" si="0"/>
        <v>125</v>
      </c>
      <c r="Q44" s="197">
        <f t="shared" si="1"/>
        <v>349.95</v>
      </c>
    </row>
    <row r="45" spans="1:18" s="7" customFormat="1" ht="12.75">
      <c r="A45" s="221" t="s">
        <v>1906</v>
      </c>
      <c r="B45" s="144" t="s">
        <v>1915</v>
      </c>
      <c r="C45" s="151" t="s">
        <v>829</v>
      </c>
      <c r="D45" s="174" t="s">
        <v>1921</v>
      </c>
      <c r="E45" s="147" t="s">
        <v>454</v>
      </c>
      <c r="F45" s="147" t="s">
        <v>454</v>
      </c>
      <c r="G45" s="147"/>
      <c r="H45" s="147" t="s">
        <v>454</v>
      </c>
      <c r="I45" s="148" t="s">
        <v>768</v>
      </c>
      <c r="J45" s="148" t="s">
        <v>1684</v>
      </c>
      <c r="K45" s="148"/>
      <c r="L45" s="149" t="s">
        <v>59</v>
      </c>
      <c r="M45" s="242">
        <v>431.37</v>
      </c>
      <c r="N45" s="242">
        <v>718.95</v>
      </c>
      <c r="O45" s="188">
        <v>3</v>
      </c>
      <c r="P45" s="150">
        <f t="shared" si="0"/>
        <v>125</v>
      </c>
      <c r="Q45" s="197">
        <f t="shared" si="1"/>
        <v>1093.95</v>
      </c>
    </row>
    <row r="46" spans="1:18" s="16" customFormat="1" ht="12.75">
      <c r="A46" s="221" t="s">
        <v>1905</v>
      </c>
      <c r="B46" s="144" t="s">
        <v>1914</v>
      </c>
      <c r="C46" s="151" t="s">
        <v>731</v>
      </c>
      <c r="D46" s="174" t="s">
        <v>1920</v>
      </c>
      <c r="E46" s="147" t="s">
        <v>454</v>
      </c>
      <c r="F46" s="147" t="s">
        <v>454</v>
      </c>
      <c r="G46" s="147"/>
      <c r="H46" s="147" t="s">
        <v>454</v>
      </c>
      <c r="I46" s="148" t="s">
        <v>768</v>
      </c>
      <c r="J46" s="148" t="s">
        <v>1684</v>
      </c>
      <c r="K46" s="148"/>
      <c r="L46" s="149" t="s">
        <v>59</v>
      </c>
      <c r="M46" s="242">
        <v>431.37</v>
      </c>
      <c r="N46" s="242">
        <v>718.95</v>
      </c>
      <c r="O46" s="188">
        <v>3</v>
      </c>
      <c r="P46" s="150">
        <f t="shared" si="0"/>
        <v>125</v>
      </c>
      <c r="Q46" s="197">
        <f t="shared" si="1"/>
        <v>1093.95</v>
      </c>
      <c r="R46" s="7"/>
    </row>
    <row r="47" spans="1:18" s="7" customFormat="1" ht="12.75">
      <c r="A47" s="221" t="s">
        <v>1901</v>
      </c>
      <c r="B47" s="144" t="s">
        <v>1910</v>
      </c>
      <c r="C47" s="151" t="s">
        <v>833</v>
      </c>
      <c r="D47" s="174" t="s">
        <v>1916</v>
      </c>
      <c r="E47" s="147" t="s">
        <v>454</v>
      </c>
      <c r="F47" s="147" t="s">
        <v>454</v>
      </c>
      <c r="G47" s="147"/>
      <c r="H47" s="147" t="s">
        <v>454</v>
      </c>
      <c r="I47" s="148" t="s">
        <v>768</v>
      </c>
      <c r="J47" s="148" t="s">
        <v>1684</v>
      </c>
      <c r="K47" s="148"/>
      <c r="L47" s="149" t="s">
        <v>59</v>
      </c>
      <c r="M47" s="242">
        <v>431.37</v>
      </c>
      <c r="N47" s="242">
        <v>718.95</v>
      </c>
      <c r="O47" s="188">
        <v>3</v>
      </c>
      <c r="P47" s="150">
        <f t="shared" si="0"/>
        <v>125</v>
      </c>
      <c r="Q47" s="197">
        <f t="shared" si="1"/>
        <v>1093.95</v>
      </c>
    </row>
    <row r="48" spans="1:18" s="7" customFormat="1" ht="12.75">
      <c r="A48" s="221" t="s">
        <v>1903</v>
      </c>
      <c r="B48" s="144" t="s">
        <v>1912</v>
      </c>
      <c r="C48" s="151" t="s">
        <v>324</v>
      </c>
      <c r="D48" s="174" t="s">
        <v>1918</v>
      </c>
      <c r="E48" s="147" t="s">
        <v>454</v>
      </c>
      <c r="F48" s="147" t="s">
        <v>454</v>
      </c>
      <c r="G48" s="147"/>
      <c r="H48" s="147" t="s">
        <v>454</v>
      </c>
      <c r="I48" s="148" t="s">
        <v>768</v>
      </c>
      <c r="J48" s="148" t="s">
        <v>1684</v>
      </c>
      <c r="K48" s="148"/>
      <c r="L48" s="149" t="s">
        <v>59</v>
      </c>
      <c r="M48" s="242">
        <v>431.37</v>
      </c>
      <c r="N48" s="242">
        <v>718.95</v>
      </c>
      <c r="O48" s="188">
        <v>3</v>
      </c>
      <c r="P48" s="150">
        <f t="shared" si="0"/>
        <v>125</v>
      </c>
      <c r="Q48" s="197">
        <f t="shared" si="1"/>
        <v>1093.95</v>
      </c>
      <c r="R48" s="16"/>
    </row>
    <row r="49" spans="1:17" s="7" customFormat="1" ht="12.75">
      <c r="A49" s="221" t="s">
        <v>1902</v>
      </c>
      <c r="B49" s="144" t="s">
        <v>1911</v>
      </c>
      <c r="C49" s="151" t="s">
        <v>387</v>
      </c>
      <c r="D49" s="174" t="s">
        <v>1917</v>
      </c>
      <c r="E49" s="147" t="s">
        <v>454</v>
      </c>
      <c r="F49" s="147" t="s">
        <v>454</v>
      </c>
      <c r="G49" s="147" t="s">
        <v>454</v>
      </c>
      <c r="H49" s="147" t="s">
        <v>454</v>
      </c>
      <c r="I49" s="148" t="s">
        <v>768</v>
      </c>
      <c r="J49" s="148" t="s">
        <v>1684</v>
      </c>
      <c r="K49" s="148"/>
      <c r="L49" s="149" t="s">
        <v>59</v>
      </c>
      <c r="M49" s="242">
        <v>431.37</v>
      </c>
      <c r="N49" s="242">
        <v>718.95</v>
      </c>
      <c r="O49" s="188">
        <v>3</v>
      </c>
      <c r="P49" s="150">
        <f t="shared" si="0"/>
        <v>125</v>
      </c>
      <c r="Q49" s="197">
        <f t="shared" si="1"/>
        <v>1093.95</v>
      </c>
    </row>
    <row r="50" spans="1:17" s="7" customFormat="1" ht="12.75">
      <c r="A50" s="221" t="s">
        <v>1904</v>
      </c>
      <c r="B50" s="144" t="s">
        <v>1913</v>
      </c>
      <c r="C50" s="151" t="s">
        <v>325</v>
      </c>
      <c r="D50" s="174" t="s">
        <v>1919</v>
      </c>
      <c r="E50" s="147" t="s">
        <v>454</v>
      </c>
      <c r="F50" s="147" t="s">
        <v>454</v>
      </c>
      <c r="G50" s="147" t="s">
        <v>454</v>
      </c>
      <c r="H50" s="147" t="s">
        <v>454</v>
      </c>
      <c r="I50" s="148" t="s">
        <v>768</v>
      </c>
      <c r="J50" s="148" t="s">
        <v>1684</v>
      </c>
      <c r="K50" s="148"/>
      <c r="L50" s="149" t="s">
        <v>59</v>
      </c>
      <c r="M50" s="242">
        <v>431.37</v>
      </c>
      <c r="N50" s="242">
        <v>718.95</v>
      </c>
      <c r="O50" s="188">
        <v>3</v>
      </c>
      <c r="P50" s="150">
        <f t="shared" si="0"/>
        <v>125</v>
      </c>
      <c r="Q50" s="197">
        <f t="shared" si="1"/>
        <v>1093.95</v>
      </c>
    </row>
    <row r="51" spans="1:17" s="7" customFormat="1" ht="12.75">
      <c r="A51" s="221" t="s">
        <v>1907</v>
      </c>
      <c r="B51" s="144" t="s">
        <v>1909</v>
      </c>
      <c r="C51" s="151" t="s">
        <v>842</v>
      </c>
      <c r="D51" s="174" t="s">
        <v>1922</v>
      </c>
      <c r="E51" s="147" t="s">
        <v>454</v>
      </c>
      <c r="F51" s="147" t="s">
        <v>454</v>
      </c>
      <c r="G51" s="147"/>
      <c r="H51" s="147" t="s">
        <v>454</v>
      </c>
      <c r="I51" s="148" t="s">
        <v>768</v>
      </c>
      <c r="J51" s="148" t="s">
        <v>1684</v>
      </c>
      <c r="K51" s="148"/>
      <c r="L51" s="149" t="s">
        <v>59</v>
      </c>
      <c r="M51" s="242">
        <v>431.37</v>
      </c>
      <c r="N51" s="242">
        <v>718.95</v>
      </c>
      <c r="O51" s="188">
        <v>3</v>
      </c>
      <c r="P51" s="150">
        <f t="shared" si="0"/>
        <v>125</v>
      </c>
      <c r="Q51" s="197">
        <f t="shared" si="1"/>
        <v>1093.95</v>
      </c>
    </row>
    <row r="52" spans="1:17" s="7" customFormat="1" ht="12.75">
      <c r="A52" s="160" t="s">
        <v>693</v>
      </c>
      <c r="B52" s="144" t="s">
        <v>803</v>
      </c>
      <c r="C52" s="151" t="s">
        <v>785</v>
      </c>
      <c r="D52" s="174" t="s">
        <v>784</v>
      </c>
      <c r="E52" s="147" t="s">
        <v>454</v>
      </c>
      <c r="F52" s="147" t="s">
        <v>454</v>
      </c>
      <c r="G52" s="147" t="s">
        <v>454</v>
      </c>
      <c r="H52" s="147" t="s">
        <v>454</v>
      </c>
      <c r="I52" s="148" t="s">
        <v>768</v>
      </c>
      <c r="J52" s="148" t="s">
        <v>1684</v>
      </c>
      <c r="K52" s="148"/>
      <c r="L52" s="149" t="s">
        <v>10</v>
      </c>
      <c r="M52" s="242">
        <v>525.57000000000005</v>
      </c>
      <c r="N52" s="242">
        <v>875.95</v>
      </c>
      <c r="O52" s="188">
        <v>0.6</v>
      </c>
      <c r="P52" s="150">
        <f t="shared" si="0"/>
        <v>125</v>
      </c>
      <c r="Q52" s="197">
        <f t="shared" si="1"/>
        <v>950.95</v>
      </c>
    </row>
    <row r="53" spans="1:17" s="7" customFormat="1" ht="12.75">
      <c r="A53" s="160" t="s">
        <v>692</v>
      </c>
      <c r="B53" s="144" t="s">
        <v>758</v>
      </c>
      <c r="C53" s="151" t="s">
        <v>744</v>
      </c>
      <c r="D53" s="174" t="s">
        <v>219</v>
      </c>
      <c r="E53" s="147" t="s">
        <v>454</v>
      </c>
      <c r="F53" s="147" t="s">
        <v>454</v>
      </c>
      <c r="G53" s="147"/>
      <c r="H53" s="147" t="s">
        <v>454</v>
      </c>
      <c r="I53" s="148" t="s">
        <v>768</v>
      </c>
      <c r="J53" s="148" t="s">
        <v>1684</v>
      </c>
      <c r="K53" s="148"/>
      <c r="L53" s="149" t="s">
        <v>10</v>
      </c>
      <c r="M53" s="242">
        <v>506.97</v>
      </c>
      <c r="N53" s="242">
        <v>844.95</v>
      </c>
      <c r="O53" s="188">
        <v>0.6</v>
      </c>
      <c r="P53" s="150">
        <f t="shared" si="0"/>
        <v>125</v>
      </c>
      <c r="Q53" s="197">
        <f t="shared" si="1"/>
        <v>919.95</v>
      </c>
    </row>
    <row r="54" spans="1:17" s="7" customFormat="1" ht="12.75">
      <c r="A54" s="160" t="s">
        <v>469</v>
      </c>
      <c r="B54" s="144" t="s">
        <v>779</v>
      </c>
      <c r="C54" s="151" t="s">
        <v>559</v>
      </c>
      <c r="D54" s="174"/>
      <c r="E54" s="147" t="s">
        <v>454</v>
      </c>
      <c r="F54" s="147" t="s">
        <v>454</v>
      </c>
      <c r="G54" s="147" t="s">
        <v>454</v>
      </c>
      <c r="H54" s="147" t="s">
        <v>454</v>
      </c>
      <c r="I54" s="148" t="s">
        <v>768</v>
      </c>
      <c r="J54" s="148"/>
      <c r="K54" s="148"/>
      <c r="L54" s="149" t="s">
        <v>59</v>
      </c>
      <c r="M54" s="242">
        <v>60</v>
      </c>
      <c r="N54" s="242">
        <v>84.95</v>
      </c>
      <c r="O54" s="188">
        <v>0.8</v>
      </c>
      <c r="P54" s="150">
        <f t="shared" si="0"/>
        <v>125</v>
      </c>
      <c r="Q54" s="197">
        <f t="shared" si="1"/>
        <v>184.95</v>
      </c>
    </row>
    <row r="55" spans="1:17" s="7" customFormat="1" ht="12.75">
      <c r="A55" s="160" t="s">
        <v>1680</v>
      </c>
      <c r="B55" s="144" t="s">
        <v>1800</v>
      </c>
      <c r="C55" s="151" t="s">
        <v>1796</v>
      </c>
      <c r="D55" s="174" t="s">
        <v>1804</v>
      </c>
      <c r="E55" s="147" t="s">
        <v>454</v>
      </c>
      <c r="F55" s="147" t="s">
        <v>454</v>
      </c>
      <c r="G55" s="147" t="s">
        <v>454</v>
      </c>
      <c r="H55" s="147" t="s">
        <v>454</v>
      </c>
      <c r="I55" s="148" t="s">
        <v>768</v>
      </c>
      <c r="J55" s="148"/>
      <c r="K55" s="148"/>
      <c r="L55" s="149" t="s">
        <v>59</v>
      </c>
      <c r="M55" s="242">
        <v>258.75</v>
      </c>
      <c r="N55" s="242">
        <v>389.95</v>
      </c>
      <c r="O55" s="188">
        <v>0.8</v>
      </c>
      <c r="P55" s="150">
        <f t="shared" si="0"/>
        <v>125</v>
      </c>
      <c r="Q55" s="197">
        <f t="shared" si="1"/>
        <v>489.95</v>
      </c>
    </row>
    <row r="56" spans="1:17" s="7" customFormat="1" ht="12.75">
      <c r="A56" s="221" t="s">
        <v>1052</v>
      </c>
      <c r="B56" s="144" t="s">
        <v>1792</v>
      </c>
      <c r="C56" s="151" t="s">
        <v>1797</v>
      </c>
      <c r="D56" s="174" t="s">
        <v>2164</v>
      </c>
      <c r="E56" s="147" t="s">
        <v>454</v>
      </c>
      <c r="F56" s="147" t="s">
        <v>454</v>
      </c>
      <c r="G56" s="147" t="s">
        <v>454</v>
      </c>
      <c r="H56" s="147" t="s">
        <v>454</v>
      </c>
      <c r="I56" s="167" t="s">
        <v>768</v>
      </c>
      <c r="J56" s="167"/>
      <c r="K56" s="167"/>
      <c r="L56" s="149" t="s">
        <v>59</v>
      </c>
      <c r="M56" s="242">
        <v>150</v>
      </c>
      <c r="N56" s="242">
        <v>214.95</v>
      </c>
      <c r="O56" s="188">
        <v>0.8</v>
      </c>
      <c r="P56" s="169">
        <f t="shared" si="0"/>
        <v>125</v>
      </c>
      <c r="Q56" s="197">
        <f t="shared" si="1"/>
        <v>314.95</v>
      </c>
    </row>
    <row r="57" spans="1:17" s="7" customFormat="1" ht="12.75">
      <c r="A57" s="170" t="s">
        <v>2218</v>
      </c>
      <c r="B57" s="165" t="s">
        <v>279</v>
      </c>
      <c r="C57" s="245" t="s">
        <v>1795</v>
      </c>
      <c r="D57" s="216" t="s">
        <v>2167</v>
      </c>
      <c r="E57" s="180" t="s">
        <v>454</v>
      </c>
      <c r="F57" s="180" t="s">
        <v>454</v>
      </c>
      <c r="G57" s="180" t="s">
        <v>454</v>
      </c>
      <c r="H57" s="180" t="s">
        <v>454</v>
      </c>
      <c r="I57" s="181" t="s">
        <v>768</v>
      </c>
      <c r="J57" s="181" t="s">
        <v>1684</v>
      </c>
      <c r="K57" s="181"/>
      <c r="L57" s="182" t="s">
        <v>59</v>
      </c>
      <c r="M57" s="206">
        <v>315</v>
      </c>
      <c r="N57" s="206">
        <v>449.95</v>
      </c>
      <c r="O57" s="207">
        <v>0.8</v>
      </c>
      <c r="P57" s="183">
        <f t="shared" si="0"/>
        <v>125</v>
      </c>
      <c r="Q57" s="208">
        <f t="shared" si="1"/>
        <v>549.95000000000005</v>
      </c>
    </row>
    <row r="58" spans="1:17" s="7" customFormat="1" ht="12.75">
      <c r="A58" s="160" t="s">
        <v>286</v>
      </c>
      <c r="B58" s="144" t="s">
        <v>287</v>
      </c>
      <c r="C58" s="151" t="s">
        <v>292</v>
      </c>
      <c r="D58" s="174" t="s">
        <v>2168</v>
      </c>
      <c r="E58" s="147" t="s">
        <v>454</v>
      </c>
      <c r="F58" s="147" t="s">
        <v>454</v>
      </c>
      <c r="G58" s="147" t="s">
        <v>454</v>
      </c>
      <c r="H58" s="147" t="s">
        <v>454</v>
      </c>
      <c r="I58" s="148" t="s">
        <v>768</v>
      </c>
      <c r="J58" s="148"/>
      <c r="K58" s="148"/>
      <c r="L58" s="149" t="s">
        <v>59</v>
      </c>
      <c r="M58" s="242">
        <v>230</v>
      </c>
      <c r="N58" s="242">
        <v>329.95</v>
      </c>
      <c r="O58" s="188">
        <v>0.8</v>
      </c>
      <c r="P58" s="150">
        <f t="shared" si="0"/>
        <v>125</v>
      </c>
      <c r="Q58" s="197">
        <f t="shared" si="1"/>
        <v>429.95</v>
      </c>
    </row>
    <row r="59" spans="1:17" s="7" customFormat="1" ht="25.5">
      <c r="A59" s="160" t="s">
        <v>1754</v>
      </c>
      <c r="B59" s="144" t="s">
        <v>2209</v>
      </c>
      <c r="C59" s="151" t="s">
        <v>1803</v>
      </c>
      <c r="D59" s="174"/>
      <c r="E59" s="147" t="s">
        <v>454</v>
      </c>
      <c r="F59" s="147" t="s">
        <v>454</v>
      </c>
      <c r="G59" s="147" t="s">
        <v>454</v>
      </c>
      <c r="H59" s="147" t="s">
        <v>454</v>
      </c>
      <c r="I59" s="148"/>
      <c r="J59" s="148"/>
      <c r="K59" s="148"/>
      <c r="L59" s="149" t="s">
        <v>59</v>
      </c>
      <c r="M59" s="242">
        <v>230</v>
      </c>
      <c r="N59" s="242">
        <v>329.95</v>
      </c>
      <c r="O59" s="188">
        <v>0.8</v>
      </c>
      <c r="P59" s="150">
        <f t="shared" si="0"/>
        <v>125</v>
      </c>
      <c r="Q59" s="197">
        <f t="shared" si="1"/>
        <v>429.95</v>
      </c>
    </row>
    <row r="60" spans="1:17" s="7" customFormat="1" ht="12.75">
      <c r="A60" s="160" t="s">
        <v>558</v>
      </c>
      <c r="B60" s="144" t="s">
        <v>1801</v>
      </c>
      <c r="C60" s="151" t="s">
        <v>1798</v>
      </c>
      <c r="D60" s="174" t="s">
        <v>2166</v>
      </c>
      <c r="E60" s="147" t="s">
        <v>454</v>
      </c>
      <c r="F60" s="147" t="s">
        <v>454</v>
      </c>
      <c r="G60" s="147" t="s">
        <v>454</v>
      </c>
      <c r="H60" s="147" t="s">
        <v>454</v>
      </c>
      <c r="I60" s="148" t="s">
        <v>768</v>
      </c>
      <c r="J60" s="148"/>
      <c r="K60" s="148"/>
      <c r="L60" s="149" t="s">
        <v>59</v>
      </c>
      <c r="M60" s="242">
        <v>150</v>
      </c>
      <c r="N60" s="242">
        <v>214.95</v>
      </c>
      <c r="O60" s="188">
        <v>0.8</v>
      </c>
      <c r="P60" s="150">
        <f t="shared" si="0"/>
        <v>125</v>
      </c>
      <c r="Q60" s="197">
        <f t="shared" si="1"/>
        <v>314.95</v>
      </c>
    </row>
    <row r="61" spans="1:17" s="7" customFormat="1" ht="12.75">
      <c r="A61" s="160" t="s">
        <v>299</v>
      </c>
      <c r="B61" s="144" t="s">
        <v>1982</v>
      </c>
      <c r="C61" s="151" t="s">
        <v>1983</v>
      </c>
      <c r="D61" s="174" t="s">
        <v>302</v>
      </c>
      <c r="E61" s="147" t="s">
        <v>454</v>
      </c>
      <c r="F61" s="147" t="s">
        <v>454</v>
      </c>
      <c r="G61" s="147" t="s">
        <v>454</v>
      </c>
      <c r="H61" s="147" t="s">
        <v>454</v>
      </c>
      <c r="I61" s="148" t="s">
        <v>768</v>
      </c>
      <c r="J61" s="148"/>
      <c r="K61" s="148"/>
      <c r="L61" s="149" t="s">
        <v>59</v>
      </c>
      <c r="M61" s="242">
        <v>60</v>
      </c>
      <c r="N61" s="242">
        <v>79.95</v>
      </c>
      <c r="O61" s="188">
        <v>0.8</v>
      </c>
      <c r="P61" s="150">
        <f t="shared" si="0"/>
        <v>125</v>
      </c>
      <c r="Q61" s="197">
        <f t="shared" si="1"/>
        <v>179.95</v>
      </c>
    </row>
    <row r="62" spans="1:17" s="7" customFormat="1" ht="12.75">
      <c r="A62" s="160" t="s">
        <v>468</v>
      </c>
      <c r="B62" s="144" t="s">
        <v>1793</v>
      </c>
      <c r="C62" s="151" t="s">
        <v>1799</v>
      </c>
      <c r="D62" s="174" t="s">
        <v>2165</v>
      </c>
      <c r="E62" s="147" t="s">
        <v>454</v>
      </c>
      <c r="F62" s="147" t="s">
        <v>454</v>
      </c>
      <c r="G62" s="147" t="s">
        <v>454</v>
      </c>
      <c r="H62" s="147" t="s">
        <v>454</v>
      </c>
      <c r="I62" s="148" t="s">
        <v>768</v>
      </c>
      <c r="J62" s="148"/>
      <c r="K62" s="148"/>
      <c r="L62" s="149" t="s">
        <v>59</v>
      </c>
      <c r="M62" s="242">
        <v>88.5</v>
      </c>
      <c r="N62" s="242">
        <v>124.95</v>
      </c>
      <c r="O62" s="188">
        <v>0.8</v>
      </c>
      <c r="P62" s="150">
        <f t="shared" si="0"/>
        <v>125</v>
      </c>
      <c r="Q62" s="197">
        <f t="shared" si="1"/>
        <v>224.95</v>
      </c>
    </row>
    <row r="63" spans="1:17" s="7" customFormat="1" ht="12.75">
      <c r="A63" s="221" t="s">
        <v>859</v>
      </c>
      <c r="B63" s="144" t="s">
        <v>860</v>
      </c>
      <c r="C63" s="151" t="s">
        <v>866</v>
      </c>
      <c r="D63" s="174" t="s">
        <v>1707</v>
      </c>
      <c r="E63" s="147" t="s">
        <v>454</v>
      </c>
      <c r="F63" s="147" t="s">
        <v>454</v>
      </c>
      <c r="G63" s="147" t="s">
        <v>454</v>
      </c>
      <c r="H63" s="147" t="s">
        <v>454</v>
      </c>
      <c r="I63" s="167"/>
      <c r="J63" s="167" t="s">
        <v>1684</v>
      </c>
      <c r="K63" s="167"/>
      <c r="L63" s="149" t="s">
        <v>10</v>
      </c>
      <c r="M63" s="242">
        <v>392.67</v>
      </c>
      <c r="N63" s="242">
        <v>560.95000000000005</v>
      </c>
      <c r="O63" s="188">
        <v>1.5</v>
      </c>
      <c r="P63" s="169">
        <f t="shared" si="0"/>
        <v>125</v>
      </c>
      <c r="Q63" s="197">
        <f t="shared" si="1"/>
        <v>748.45</v>
      </c>
    </row>
    <row r="64" spans="1:17" s="7" customFormat="1" ht="12.75">
      <c r="A64" s="221" t="s">
        <v>861</v>
      </c>
      <c r="B64" s="144" t="s">
        <v>2186</v>
      </c>
      <c r="C64" s="151" t="s">
        <v>1853</v>
      </c>
      <c r="D64" s="174" t="s">
        <v>1707</v>
      </c>
      <c r="E64" s="147" t="s">
        <v>454</v>
      </c>
      <c r="F64" s="147" t="s">
        <v>454</v>
      </c>
      <c r="G64" s="147" t="s">
        <v>454</v>
      </c>
      <c r="H64" s="147" t="s">
        <v>454</v>
      </c>
      <c r="I64" s="167" t="s">
        <v>768</v>
      </c>
      <c r="J64" s="167" t="s">
        <v>1684</v>
      </c>
      <c r="K64" s="167"/>
      <c r="L64" s="149" t="s">
        <v>10</v>
      </c>
      <c r="M64" s="242">
        <v>769.97</v>
      </c>
      <c r="N64" s="242">
        <v>1099.95</v>
      </c>
      <c r="O64" s="188">
        <v>0</v>
      </c>
      <c r="P64" s="169">
        <f t="shared" si="0"/>
        <v>125</v>
      </c>
      <c r="Q64" s="197">
        <f t="shared" si="1"/>
        <v>1099.95</v>
      </c>
    </row>
    <row r="65" spans="1:17" s="7" customFormat="1" ht="12.75">
      <c r="A65" s="221" t="s">
        <v>862</v>
      </c>
      <c r="B65" s="144" t="s">
        <v>2074</v>
      </c>
      <c r="C65" s="151" t="s">
        <v>2110</v>
      </c>
      <c r="D65" s="174" t="s">
        <v>1707</v>
      </c>
      <c r="E65" s="147" t="s">
        <v>454</v>
      </c>
      <c r="F65" s="147" t="s">
        <v>454</v>
      </c>
      <c r="G65" s="147"/>
      <c r="H65" s="147" t="s">
        <v>454</v>
      </c>
      <c r="I65" s="167" t="s">
        <v>768</v>
      </c>
      <c r="J65" s="167" t="s">
        <v>1684</v>
      </c>
      <c r="K65" s="167"/>
      <c r="L65" s="149" t="s">
        <v>10</v>
      </c>
      <c r="M65" s="242">
        <v>476.43</v>
      </c>
      <c r="N65" s="242">
        <v>669.95</v>
      </c>
      <c r="O65" s="188">
        <v>0</v>
      </c>
      <c r="P65" s="169">
        <f t="shared" si="0"/>
        <v>125</v>
      </c>
      <c r="Q65" s="197">
        <f t="shared" si="1"/>
        <v>669.95</v>
      </c>
    </row>
    <row r="66" spans="1:17" s="7" customFormat="1" ht="12.75">
      <c r="A66" s="160" t="s">
        <v>174</v>
      </c>
      <c r="B66" s="144" t="s">
        <v>892</v>
      </c>
      <c r="C66" s="151" t="s">
        <v>909</v>
      </c>
      <c r="D66" s="174"/>
      <c r="E66" s="147" t="s">
        <v>454</v>
      </c>
      <c r="F66" s="147" t="s">
        <v>454</v>
      </c>
      <c r="G66" s="147" t="s">
        <v>454</v>
      </c>
      <c r="H66" s="147" t="s">
        <v>454</v>
      </c>
      <c r="I66" s="148" t="s">
        <v>768</v>
      </c>
      <c r="J66" s="148" t="s">
        <v>1684</v>
      </c>
      <c r="K66" s="148"/>
      <c r="L66" s="149" t="s">
        <v>0</v>
      </c>
      <c r="M66" s="242">
        <v>307.77</v>
      </c>
      <c r="N66" s="242">
        <v>512.95000000000005</v>
      </c>
      <c r="O66" s="188">
        <v>1</v>
      </c>
      <c r="P66" s="150">
        <f t="shared" si="0"/>
        <v>125</v>
      </c>
      <c r="Q66" s="197">
        <f t="shared" si="1"/>
        <v>637.95000000000005</v>
      </c>
    </row>
    <row r="67" spans="1:17" s="7" customFormat="1" ht="12.75">
      <c r="A67" s="160" t="s">
        <v>165</v>
      </c>
      <c r="B67" s="144" t="s">
        <v>2138</v>
      </c>
      <c r="C67" s="151" t="s">
        <v>2139</v>
      </c>
      <c r="D67" s="174"/>
      <c r="E67" s="147" t="s">
        <v>454</v>
      </c>
      <c r="F67" s="147" t="s">
        <v>454</v>
      </c>
      <c r="G67" s="147" t="s">
        <v>454</v>
      </c>
      <c r="H67" s="147" t="s">
        <v>454</v>
      </c>
      <c r="I67" s="148" t="s">
        <v>768</v>
      </c>
      <c r="J67" s="148" t="s">
        <v>1684</v>
      </c>
      <c r="K67" s="148"/>
      <c r="L67" s="149" t="s">
        <v>0</v>
      </c>
      <c r="M67" s="242">
        <v>296.37</v>
      </c>
      <c r="N67" s="242">
        <v>493.95</v>
      </c>
      <c r="O67" s="188">
        <v>1</v>
      </c>
      <c r="P67" s="150">
        <f t="shared" ref="P67:P124" si="2">$L$1</f>
        <v>125</v>
      </c>
      <c r="Q67" s="197">
        <f t="shared" ref="Q67:Q126" si="3">O67*P67+N67</f>
        <v>618.95000000000005</v>
      </c>
    </row>
    <row r="68" spans="1:17" s="7" customFormat="1" ht="12.75">
      <c r="A68" s="160" t="s">
        <v>720</v>
      </c>
      <c r="B68" s="144" t="s">
        <v>1701</v>
      </c>
      <c r="C68" s="151" t="s">
        <v>1670</v>
      </c>
      <c r="D68" s="174" t="s">
        <v>1609</v>
      </c>
      <c r="E68" s="147" t="s">
        <v>454</v>
      </c>
      <c r="F68" s="147" t="s">
        <v>454</v>
      </c>
      <c r="G68" s="147" t="s">
        <v>454</v>
      </c>
      <c r="H68" s="147" t="s">
        <v>454</v>
      </c>
      <c r="I68" s="148" t="s">
        <v>768</v>
      </c>
      <c r="J68" s="148" t="s">
        <v>1684</v>
      </c>
      <c r="K68" s="148"/>
      <c r="L68" s="149" t="s">
        <v>0</v>
      </c>
      <c r="M68" s="242">
        <v>137.97</v>
      </c>
      <c r="N68" s="242">
        <v>229.95</v>
      </c>
      <c r="O68" s="188">
        <v>0.5</v>
      </c>
      <c r="P68" s="150">
        <f t="shared" si="2"/>
        <v>125</v>
      </c>
      <c r="Q68" s="197">
        <f t="shared" si="3"/>
        <v>292.45</v>
      </c>
    </row>
    <row r="69" spans="1:17" s="7" customFormat="1" ht="12.75">
      <c r="A69" s="160" t="s">
        <v>163</v>
      </c>
      <c r="B69" s="144" t="s">
        <v>891</v>
      </c>
      <c r="C69" s="151" t="s">
        <v>908</v>
      </c>
      <c r="D69" s="174"/>
      <c r="E69" s="147" t="s">
        <v>454</v>
      </c>
      <c r="F69" s="147" t="s">
        <v>454</v>
      </c>
      <c r="G69" s="147" t="s">
        <v>454</v>
      </c>
      <c r="H69" s="147" t="s">
        <v>454</v>
      </c>
      <c r="I69" s="148" t="s">
        <v>768</v>
      </c>
      <c r="J69" s="148" t="s">
        <v>1684</v>
      </c>
      <c r="K69" s="148"/>
      <c r="L69" s="149" t="s">
        <v>0</v>
      </c>
      <c r="M69" s="242">
        <v>239.97</v>
      </c>
      <c r="N69" s="242">
        <v>399.95</v>
      </c>
      <c r="O69" s="188">
        <v>1</v>
      </c>
      <c r="P69" s="150">
        <f t="shared" si="2"/>
        <v>125</v>
      </c>
      <c r="Q69" s="197">
        <f t="shared" si="3"/>
        <v>524.95000000000005</v>
      </c>
    </row>
    <row r="70" spans="1:17" s="7" customFormat="1" ht="12.75">
      <c r="A70" s="160" t="s">
        <v>1045</v>
      </c>
      <c r="B70" s="144" t="s">
        <v>2140</v>
      </c>
      <c r="C70" s="151" t="s">
        <v>2141</v>
      </c>
      <c r="D70" s="174"/>
      <c r="E70" s="147" t="s">
        <v>454</v>
      </c>
      <c r="F70" s="147" t="s">
        <v>454</v>
      </c>
      <c r="G70" s="147" t="s">
        <v>454</v>
      </c>
      <c r="H70" s="147" t="s">
        <v>454</v>
      </c>
      <c r="I70" s="148"/>
      <c r="J70" s="148" t="s">
        <v>1684</v>
      </c>
      <c r="K70" s="148"/>
      <c r="L70" s="149" t="s">
        <v>0</v>
      </c>
      <c r="M70" s="242">
        <v>25.17</v>
      </c>
      <c r="N70" s="242">
        <v>41.95</v>
      </c>
      <c r="O70" s="188">
        <v>0</v>
      </c>
      <c r="P70" s="150">
        <f t="shared" si="2"/>
        <v>125</v>
      </c>
      <c r="Q70" s="197">
        <f t="shared" si="3"/>
        <v>41.95</v>
      </c>
    </row>
    <row r="71" spans="1:17" s="7" customFormat="1" ht="12.75">
      <c r="A71" s="160" t="s">
        <v>155</v>
      </c>
      <c r="B71" s="144" t="s">
        <v>194</v>
      </c>
      <c r="C71" s="151" t="s">
        <v>759</v>
      </c>
      <c r="D71" s="174" t="s">
        <v>56</v>
      </c>
      <c r="E71" s="147" t="s">
        <v>454</v>
      </c>
      <c r="F71" s="147" t="s">
        <v>454</v>
      </c>
      <c r="G71" s="147" t="s">
        <v>454</v>
      </c>
      <c r="H71" s="147" t="s">
        <v>454</v>
      </c>
      <c r="I71" s="148" t="s">
        <v>768</v>
      </c>
      <c r="J71" s="148" t="s">
        <v>1684</v>
      </c>
      <c r="K71" s="148"/>
      <c r="L71" s="149" t="s">
        <v>10</v>
      </c>
      <c r="M71" s="242">
        <v>183.57</v>
      </c>
      <c r="N71" s="242">
        <v>305.95</v>
      </c>
      <c r="O71" s="188">
        <v>0.6</v>
      </c>
      <c r="P71" s="150">
        <f t="shared" si="2"/>
        <v>125</v>
      </c>
      <c r="Q71" s="197">
        <f t="shared" si="3"/>
        <v>380.95</v>
      </c>
    </row>
    <row r="72" spans="1:17" s="7" customFormat="1" ht="12.75">
      <c r="A72" s="160" t="s">
        <v>695</v>
      </c>
      <c r="B72" s="144" t="s">
        <v>804</v>
      </c>
      <c r="C72" s="151" t="s">
        <v>786</v>
      </c>
      <c r="D72" s="174" t="s">
        <v>784</v>
      </c>
      <c r="E72" s="147" t="s">
        <v>454</v>
      </c>
      <c r="F72" s="147" t="s">
        <v>454</v>
      </c>
      <c r="G72" s="147" t="s">
        <v>454</v>
      </c>
      <c r="H72" s="147" t="s">
        <v>454</v>
      </c>
      <c r="I72" s="148" t="s">
        <v>768</v>
      </c>
      <c r="J72" s="148" t="s">
        <v>1684</v>
      </c>
      <c r="K72" s="148"/>
      <c r="L72" s="149" t="s">
        <v>10</v>
      </c>
      <c r="M72" s="242">
        <v>457.17</v>
      </c>
      <c r="N72" s="242">
        <v>761.95</v>
      </c>
      <c r="O72" s="188">
        <v>0.6</v>
      </c>
      <c r="P72" s="150">
        <f t="shared" si="2"/>
        <v>125</v>
      </c>
      <c r="Q72" s="197">
        <f t="shared" si="3"/>
        <v>836.95</v>
      </c>
    </row>
    <row r="73" spans="1:17" s="7" customFormat="1" ht="12.75">
      <c r="A73" s="160" t="s">
        <v>694</v>
      </c>
      <c r="B73" s="144" t="s">
        <v>805</v>
      </c>
      <c r="C73" s="151" t="s">
        <v>735</v>
      </c>
      <c r="D73" s="174" t="s">
        <v>219</v>
      </c>
      <c r="E73" s="147" t="s">
        <v>454</v>
      </c>
      <c r="F73" s="147" t="s">
        <v>454</v>
      </c>
      <c r="G73" s="147"/>
      <c r="H73" s="147" t="s">
        <v>454</v>
      </c>
      <c r="I73" s="148" t="s">
        <v>768</v>
      </c>
      <c r="J73" s="148" t="s">
        <v>1684</v>
      </c>
      <c r="K73" s="148"/>
      <c r="L73" s="149" t="s">
        <v>10</v>
      </c>
      <c r="M73" s="242">
        <v>481.77</v>
      </c>
      <c r="N73" s="242">
        <v>802.95</v>
      </c>
      <c r="O73" s="188">
        <v>0.6</v>
      </c>
      <c r="P73" s="150">
        <f t="shared" si="2"/>
        <v>125</v>
      </c>
      <c r="Q73" s="197">
        <f t="shared" si="3"/>
        <v>877.95</v>
      </c>
    </row>
    <row r="74" spans="1:17" s="7" customFormat="1" ht="12.75">
      <c r="A74" s="160" t="s">
        <v>698</v>
      </c>
      <c r="B74" s="144" t="s">
        <v>2142</v>
      </c>
      <c r="C74" s="151" t="s">
        <v>2143</v>
      </c>
      <c r="D74" s="174" t="s">
        <v>745</v>
      </c>
      <c r="E74" s="147" t="s">
        <v>454</v>
      </c>
      <c r="F74" s="147" t="s">
        <v>454</v>
      </c>
      <c r="G74" s="147" t="s">
        <v>454</v>
      </c>
      <c r="H74" s="147" t="s">
        <v>454</v>
      </c>
      <c r="I74" s="148" t="s">
        <v>768</v>
      </c>
      <c r="J74" s="148" t="s">
        <v>1684</v>
      </c>
      <c r="K74" s="148"/>
      <c r="L74" s="149" t="s">
        <v>10</v>
      </c>
      <c r="M74" s="242">
        <v>185.97</v>
      </c>
      <c r="N74" s="242">
        <v>309.95</v>
      </c>
      <c r="O74" s="188">
        <v>0.5</v>
      </c>
      <c r="P74" s="150">
        <f t="shared" si="2"/>
        <v>125</v>
      </c>
      <c r="Q74" s="197">
        <f t="shared" si="3"/>
        <v>372.45</v>
      </c>
    </row>
    <row r="75" spans="1:17" s="7" customFormat="1" ht="12.75">
      <c r="A75" s="160" t="s">
        <v>719</v>
      </c>
      <c r="B75" s="144" t="s">
        <v>1702</v>
      </c>
      <c r="C75" s="151" t="s">
        <v>770</v>
      </c>
      <c r="D75" s="174"/>
      <c r="E75" s="147" t="s">
        <v>454</v>
      </c>
      <c r="F75" s="147" t="s">
        <v>454</v>
      </c>
      <c r="G75" s="147" t="s">
        <v>454</v>
      </c>
      <c r="H75" s="147" t="s">
        <v>454</v>
      </c>
      <c r="I75" s="148" t="s">
        <v>768</v>
      </c>
      <c r="J75" s="148" t="s">
        <v>1684</v>
      </c>
      <c r="K75" s="148"/>
      <c r="L75" s="149" t="s">
        <v>0</v>
      </c>
      <c r="M75" s="242">
        <v>200.37</v>
      </c>
      <c r="N75" s="242">
        <v>333.95</v>
      </c>
      <c r="O75" s="188">
        <v>0.5</v>
      </c>
      <c r="P75" s="150">
        <f t="shared" si="2"/>
        <v>125</v>
      </c>
      <c r="Q75" s="197">
        <f t="shared" si="3"/>
        <v>396.45</v>
      </c>
    </row>
    <row r="76" spans="1:17" s="7" customFormat="1" ht="12.75">
      <c r="A76" s="170" t="s">
        <v>1900</v>
      </c>
      <c r="B76" s="165" t="s">
        <v>748</v>
      </c>
      <c r="C76" s="176" t="s">
        <v>910</v>
      </c>
      <c r="D76" s="216" t="s">
        <v>737</v>
      </c>
      <c r="E76" s="180" t="s">
        <v>454</v>
      </c>
      <c r="F76" s="180" t="s">
        <v>454</v>
      </c>
      <c r="G76" s="180" t="s">
        <v>454</v>
      </c>
      <c r="H76" s="180" t="s">
        <v>454</v>
      </c>
      <c r="I76" s="181" t="s">
        <v>768</v>
      </c>
      <c r="J76" s="181" t="s">
        <v>1684</v>
      </c>
      <c r="K76" s="181"/>
      <c r="L76" s="182" t="s">
        <v>10</v>
      </c>
      <c r="M76" s="206">
        <v>103.77</v>
      </c>
      <c r="N76" s="206">
        <v>172.95</v>
      </c>
      <c r="O76" s="207">
        <v>0.3</v>
      </c>
      <c r="P76" s="183">
        <f t="shared" si="2"/>
        <v>125</v>
      </c>
      <c r="Q76" s="208">
        <f t="shared" si="3"/>
        <v>210.45</v>
      </c>
    </row>
    <row r="77" spans="1:17" s="7" customFormat="1" ht="12.75">
      <c r="A77" s="160" t="s">
        <v>710</v>
      </c>
      <c r="B77" s="144" t="s">
        <v>806</v>
      </c>
      <c r="C77" s="151" t="s">
        <v>830</v>
      </c>
      <c r="D77" s="174" t="s">
        <v>409</v>
      </c>
      <c r="E77" s="147" t="s">
        <v>454</v>
      </c>
      <c r="F77" s="147" t="s">
        <v>454</v>
      </c>
      <c r="G77" s="147"/>
      <c r="H77" s="147" t="s">
        <v>454</v>
      </c>
      <c r="I77" s="148" t="s">
        <v>768</v>
      </c>
      <c r="J77" s="148" t="s">
        <v>1684</v>
      </c>
      <c r="K77" s="148"/>
      <c r="L77" s="149" t="s">
        <v>10</v>
      </c>
      <c r="M77" s="242">
        <v>149.37</v>
      </c>
      <c r="N77" s="242">
        <v>248.95</v>
      </c>
      <c r="O77" s="188">
        <v>0.6</v>
      </c>
      <c r="P77" s="150">
        <f t="shared" si="2"/>
        <v>125</v>
      </c>
      <c r="Q77" s="197">
        <f t="shared" si="3"/>
        <v>323.95</v>
      </c>
    </row>
    <row r="78" spans="1:17" s="7" customFormat="1" ht="12.75">
      <c r="A78" s="160" t="s">
        <v>709</v>
      </c>
      <c r="B78" s="144" t="s">
        <v>807</v>
      </c>
      <c r="C78" s="151" t="s">
        <v>741</v>
      </c>
      <c r="D78" s="174" t="s">
        <v>727</v>
      </c>
      <c r="E78" s="147" t="s">
        <v>454</v>
      </c>
      <c r="F78" s="147" t="s">
        <v>454</v>
      </c>
      <c r="G78" s="147"/>
      <c r="H78" s="147" t="s">
        <v>454</v>
      </c>
      <c r="I78" s="148" t="s">
        <v>768</v>
      </c>
      <c r="J78" s="148" t="s">
        <v>1684</v>
      </c>
      <c r="K78" s="148"/>
      <c r="L78" s="149" t="s">
        <v>10</v>
      </c>
      <c r="M78" s="242">
        <v>149.37</v>
      </c>
      <c r="N78" s="242">
        <v>248.95</v>
      </c>
      <c r="O78" s="188">
        <v>0.6</v>
      </c>
      <c r="P78" s="150">
        <f t="shared" si="2"/>
        <v>125</v>
      </c>
      <c r="Q78" s="197">
        <f t="shared" si="3"/>
        <v>323.95</v>
      </c>
    </row>
    <row r="79" spans="1:17" s="7" customFormat="1" ht="12.75">
      <c r="A79" s="160" t="s">
        <v>705</v>
      </c>
      <c r="B79" s="144" t="s">
        <v>1035</v>
      </c>
      <c r="C79" s="151" t="s">
        <v>834</v>
      </c>
      <c r="D79" s="174" t="s">
        <v>393</v>
      </c>
      <c r="E79" s="147" t="s">
        <v>454</v>
      </c>
      <c r="F79" s="147" t="s">
        <v>454</v>
      </c>
      <c r="G79" s="147"/>
      <c r="H79" s="147" t="s">
        <v>454</v>
      </c>
      <c r="I79" s="148" t="s">
        <v>768</v>
      </c>
      <c r="J79" s="148" t="s">
        <v>1684</v>
      </c>
      <c r="K79" s="148"/>
      <c r="L79" s="149" t="s">
        <v>10</v>
      </c>
      <c r="M79" s="242">
        <v>149.37</v>
      </c>
      <c r="N79" s="242">
        <v>248.95</v>
      </c>
      <c r="O79" s="188">
        <v>0.6</v>
      </c>
      <c r="P79" s="150">
        <f t="shared" si="2"/>
        <v>125</v>
      </c>
      <c r="Q79" s="197">
        <f t="shared" si="3"/>
        <v>323.95</v>
      </c>
    </row>
    <row r="80" spans="1:17" s="7" customFormat="1" ht="12.75">
      <c r="A80" s="160" t="s">
        <v>707</v>
      </c>
      <c r="B80" s="144" t="s">
        <v>808</v>
      </c>
      <c r="C80" s="151" t="s">
        <v>739</v>
      </c>
      <c r="D80" s="174" t="s">
        <v>323</v>
      </c>
      <c r="E80" s="147" t="s">
        <v>454</v>
      </c>
      <c r="F80" s="147" t="s">
        <v>454</v>
      </c>
      <c r="G80" s="147"/>
      <c r="H80" s="147" t="s">
        <v>454</v>
      </c>
      <c r="I80" s="148" t="s">
        <v>768</v>
      </c>
      <c r="J80" s="148" t="s">
        <v>1684</v>
      </c>
      <c r="K80" s="148"/>
      <c r="L80" s="149" t="s">
        <v>10</v>
      </c>
      <c r="M80" s="242">
        <v>149.37</v>
      </c>
      <c r="N80" s="242">
        <v>248.95</v>
      </c>
      <c r="O80" s="188">
        <v>0.6</v>
      </c>
      <c r="P80" s="150">
        <f t="shared" si="2"/>
        <v>125</v>
      </c>
      <c r="Q80" s="197">
        <f t="shared" si="3"/>
        <v>323.95</v>
      </c>
    </row>
    <row r="81" spans="1:18" s="7" customFormat="1" ht="12.75">
      <c r="A81" s="160" t="s">
        <v>706</v>
      </c>
      <c r="B81" s="144" t="s">
        <v>809</v>
      </c>
      <c r="C81" s="151" t="s">
        <v>738</v>
      </c>
      <c r="D81" s="174" t="s">
        <v>321</v>
      </c>
      <c r="E81" s="147" t="s">
        <v>454</v>
      </c>
      <c r="F81" s="147" t="s">
        <v>454</v>
      </c>
      <c r="G81" s="147" t="s">
        <v>454</v>
      </c>
      <c r="H81" s="147" t="s">
        <v>454</v>
      </c>
      <c r="I81" s="148" t="s">
        <v>768</v>
      </c>
      <c r="J81" s="148" t="s">
        <v>1684</v>
      </c>
      <c r="K81" s="148"/>
      <c r="L81" s="149" t="s">
        <v>10</v>
      </c>
      <c r="M81" s="242">
        <v>149.37</v>
      </c>
      <c r="N81" s="242">
        <v>248.95</v>
      </c>
      <c r="O81" s="188">
        <v>0.6</v>
      </c>
      <c r="P81" s="150">
        <f t="shared" si="2"/>
        <v>125</v>
      </c>
      <c r="Q81" s="197">
        <f t="shared" si="3"/>
        <v>323.95</v>
      </c>
    </row>
    <row r="82" spans="1:18" s="7" customFormat="1" ht="12.75">
      <c r="A82" s="160" t="s">
        <v>708</v>
      </c>
      <c r="B82" s="144" t="s">
        <v>810</v>
      </c>
      <c r="C82" s="151" t="s">
        <v>740</v>
      </c>
      <c r="D82" s="174" t="s">
        <v>392</v>
      </c>
      <c r="E82" s="147" t="s">
        <v>454</v>
      </c>
      <c r="F82" s="147" t="s">
        <v>454</v>
      </c>
      <c r="G82" s="147" t="s">
        <v>454</v>
      </c>
      <c r="H82" s="147" t="s">
        <v>454</v>
      </c>
      <c r="I82" s="148" t="s">
        <v>768</v>
      </c>
      <c r="J82" s="148" t="s">
        <v>1684</v>
      </c>
      <c r="K82" s="148"/>
      <c r="L82" s="149" t="s">
        <v>10</v>
      </c>
      <c r="M82" s="242">
        <v>149.37</v>
      </c>
      <c r="N82" s="242">
        <v>248.95</v>
      </c>
      <c r="O82" s="188">
        <v>0.6</v>
      </c>
      <c r="P82" s="150">
        <f t="shared" si="2"/>
        <v>125</v>
      </c>
      <c r="Q82" s="197">
        <f t="shared" si="3"/>
        <v>323.95</v>
      </c>
    </row>
    <row r="83" spans="1:18" s="7" customFormat="1" ht="12.75">
      <c r="A83" s="160" t="s">
        <v>711</v>
      </c>
      <c r="B83" s="144" t="s">
        <v>811</v>
      </c>
      <c r="C83" s="151" t="s">
        <v>843</v>
      </c>
      <c r="D83" s="174" t="s">
        <v>632</v>
      </c>
      <c r="E83" s="147" t="s">
        <v>454</v>
      </c>
      <c r="F83" s="147" t="s">
        <v>454</v>
      </c>
      <c r="G83" s="147"/>
      <c r="H83" s="147" t="s">
        <v>454</v>
      </c>
      <c r="I83" s="148" t="s">
        <v>768</v>
      </c>
      <c r="J83" s="148" t="s">
        <v>1684</v>
      </c>
      <c r="K83" s="148"/>
      <c r="L83" s="149" t="s">
        <v>10</v>
      </c>
      <c r="M83" s="242">
        <v>149.37</v>
      </c>
      <c r="N83" s="242">
        <v>248.95</v>
      </c>
      <c r="O83" s="188">
        <v>0.6</v>
      </c>
      <c r="P83" s="150">
        <f t="shared" si="2"/>
        <v>125</v>
      </c>
      <c r="Q83" s="197">
        <f t="shared" si="3"/>
        <v>323.95</v>
      </c>
    </row>
    <row r="84" spans="1:18" s="7" customFormat="1" ht="12.75">
      <c r="A84" s="160" t="s">
        <v>703</v>
      </c>
      <c r="B84" s="144" t="s">
        <v>812</v>
      </c>
      <c r="C84" s="151" t="s">
        <v>831</v>
      </c>
      <c r="D84" s="174" t="s">
        <v>409</v>
      </c>
      <c r="E84" s="147" t="s">
        <v>454</v>
      </c>
      <c r="F84" s="147" t="s">
        <v>454</v>
      </c>
      <c r="G84" s="147"/>
      <c r="H84" s="147" t="s">
        <v>454</v>
      </c>
      <c r="I84" s="148" t="s">
        <v>768</v>
      </c>
      <c r="J84" s="148" t="s">
        <v>1684</v>
      </c>
      <c r="K84" s="148"/>
      <c r="L84" s="149" t="s">
        <v>10</v>
      </c>
      <c r="M84" s="242">
        <v>642.57000000000005</v>
      </c>
      <c r="N84" s="242">
        <v>1070.95</v>
      </c>
      <c r="O84" s="188">
        <v>0.8</v>
      </c>
      <c r="P84" s="150">
        <f t="shared" si="2"/>
        <v>125</v>
      </c>
      <c r="Q84" s="197">
        <f t="shared" si="3"/>
        <v>1170.95</v>
      </c>
    </row>
    <row r="85" spans="1:18" s="7" customFormat="1" ht="12.75">
      <c r="A85" s="160" t="s">
        <v>702</v>
      </c>
      <c r="B85" s="144" t="s">
        <v>813</v>
      </c>
      <c r="C85" s="151" t="s">
        <v>316</v>
      </c>
      <c r="D85" s="174" t="s">
        <v>727</v>
      </c>
      <c r="E85" s="147" t="s">
        <v>454</v>
      </c>
      <c r="F85" s="147" t="s">
        <v>454</v>
      </c>
      <c r="G85" s="147"/>
      <c r="H85" s="147" t="s">
        <v>454</v>
      </c>
      <c r="I85" s="148" t="s">
        <v>768</v>
      </c>
      <c r="J85" s="148" t="s">
        <v>1684</v>
      </c>
      <c r="K85" s="148"/>
      <c r="L85" s="149" t="s">
        <v>10</v>
      </c>
      <c r="M85" s="242">
        <v>642.57000000000005</v>
      </c>
      <c r="N85" s="242">
        <v>1070.95</v>
      </c>
      <c r="O85" s="188">
        <v>0.8</v>
      </c>
      <c r="P85" s="150">
        <f t="shared" si="2"/>
        <v>125</v>
      </c>
      <c r="Q85" s="197">
        <f t="shared" si="3"/>
        <v>1170.95</v>
      </c>
    </row>
    <row r="86" spans="1:18" s="7" customFormat="1" ht="12.75">
      <c r="A86" s="160" t="s">
        <v>699</v>
      </c>
      <c r="B86" s="144" t="s">
        <v>814</v>
      </c>
      <c r="C86" s="151" t="s">
        <v>835</v>
      </c>
      <c r="D86" s="174" t="s">
        <v>393</v>
      </c>
      <c r="E86" s="147" t="s">
        <v>454</v>
      </c>
      <c r="F86" s="147" t="s">
        <v>454</v>
      </c>
      <c r="G86" s="147"/>
      <c r="H86" s="147" t="s">
        <v>454</v>
      </c>
      <c r="I86" s="148" t="s">
        <v>768</v>
      </c>
      <c r="J86" s="148" t="s">
        <v>1684</v>
      </c>
      <c r="K86" s="148"/>
      <c r="L86" s="149" t="s">
        <v>10</v>
      </c>
      <c r="M86" s="242">
        <v>642.57000000000005</v>
      </c>
      <c r="N86" s="242">
        <v>1070.95</v>
      </c>
      <c r="O86" s="188">
        <v>0.8</v>
      </c>
      <c r="P86" s="150">
        <f t="shared" si="2"/>
        <v>125</v>
      </c>
      <c r="Q86" s="197">
        <f t="shared" si="3"/>
        <v>1170.95</v>
      </c>
    </row>
    <row r="87" spans="1:18" s="7" customFormat="1" ht="12.75">
      <c r="A87" s="160" t="s">
        <v>701</v>
      </c>
      <c r="B87" s="144" t="s">
        <v>1690</v>
      </c>
      <c r="C87" s="151" t="s">
        <v>317</v>
      </c>
      <c r="D87" s="174" t="s">
        <v>323</v>
      </c>
      <c r="E87" s="147" t="s">
        <v>454</v>
      </c>
      <c r="F87" s="147" t="s">
        <v>454</v>
      </c>
      <c r="G87" s="147"/>
      <c r="H87" s="147" t="s">
        <v>454</v>
      </c>
      <c r="I87" s="148" t="s">
        <v>768</v>
      </c>
      <c r="J87" s="148" t="s">
        <v>1684</v>
      </c>
      <c r="K87" s="148"/>
      <c r="L87" s="149" t="s">
        <v>10</v>
      </c>
      <c r="M87" s="242">
        <v>642.57000000000005</v>
      </c>
      <c r="N87" s="242">
        <v>1070.95</v>
      </c>
      <c r="O87" s="188">
        <v>0.8</v>
      </c>
      <c r="P87" s="150">
        <f t="shared" si="2"/>
        <v>125</v>
      </c>
      <c r="Q87" s="197">
        <f t="shared" si="3"/>
        <v>1170.95</v>
      </c>
    </row>
    <row r="88" spans="1:18" s="7" customFormat="1" ht="12.75">
      <c r="A88" s="160" t="s">
        <v>700</v>
      </c>
      <c r="B88" s="144" t="s">
        <v>815</v>
      </c>
      <c r="C88" s="151" t="s">
        <v>318</v>
      </c>
      <c r="D88" s="174" t="s">
        <v>321</v>
      </c>
      <c r="E88" s="147" t="s">
        <v>454</v>
      </c>
      <c r="F88" s="147" t="s">
        <v>454</v>
      </c>
      <c r="G88" s="147" t="s">
        <v>454</v>
      </c>
      <c r="H88" s="147" t="s">
        <v>454</v>
      </c>
      <c r="I88" s="148" t="s">
        <v>768</v>
      </c>
      <c r="J88" s="148" t="s">
        <v>1684</v>
      </c>
      <c r="K88" s="148"/>
      <c r="L88" s="149" t="s">
        <v>10</v>
      </c>
      <c r="M88" s="242">
        <v>642.57000000000005</v>
      </c>
      <c r="N88" s="242">
        <v>1070.95</v>
      </c>
      <c r="O88" s="188">
        <v>0.8</v>
      </c>
      <c r="P88" s="150">
        <f t="shared" si="2"/>
        <v>125</v>
      </c>
      <c r="Q88" s="197">
        <f t="shared" si="3"/>
        <v>1170.95</v>
      </c>
    </row>
    <row r="89" spans="1:18" s="7" customFormat="1" ht="12.75">
      <c r="A89" s="170" t="s">
        <v>2100</v>
      </c>
      <c r="B89" s="165" t="s">
        <v>2191</v>
      </c>
      <c r="C89" s="176" t="s">
        <v>319</v>
      </c>
      <c r="D89" s="216" t="s">
        <v>392</v>
      </c>
      <c r="E89" s="180" t="s">
        <v>454</v>
      </c>
      <c r="F89" s="180" t="s">
        <v>454</v>
      </c>
      <c r="G89" s="180" t="s">
        <v>454</v>
      </c>
      <c r="H89" s="180" t="s">
        <v>454</v>
      </c>
      <c r="I89" s="181" t="s">
        <v>768</v>
      </c>
      <c r="J89" s="181" t="s">
        <v>1684</v>
      </c>
      <c r="K89" s="181"/>
      <c r="L89" s="182" t="s">
        <v>10</v>
      </c>
      <c r="M89" s="206">
        <v>642.57000000000005</v>
      </c>
      <c r="N89" s="206">
        <v>1070.95</v>
      </c>
      <c r="O89" s="207">
        <v>0.8</v>
      </c>
      <c r="P89" s="183">
        <f t="shared" si="2"/>
        <v>125</v>
      </c>
      <c r="Q89" s="208">
        <f t="shared" si="3"/>
        <v>1170.95</v>
      </c>
    </row>
    <row r="90" spans="1:18" s="7" customFormat="1" ht="12.75">
      <c r="A90" s="160" t="s">
        <v>704</v>
      </c>
      <c r="B90" s="144" t="s">
        <v>816</v>
      </c>
      <c r="C90" s="151" t="s">
        <v>844</v>
      </c>
      <c r="D90" s="174" t="s">
        <v>632</v>
      </c>
      <c r="E90" s="147" t="s">
        <v>454</v>
      </c>
      <c r="F90" s="147" t="s">
        <v>454</v>
      </c>
      <c r="G90" s="147"/>
      <c r="H90" s="147" t="s">
        <v>454</v>
      </c>
      <c r="I90" s="148" t="s">
        <v>768</v>
      </c>
      <c r="J90" s="148" t="s">
        <v>1684</v>
      </c>
      <c r="K90" s="148"/>
      <c r="L90" s="149" t="s">
        <v>10</v>
      </c>
      <c r="M90" s="242">
        <v>642.57000000000005</v>
      </c>
      <c r="N90" s="242">
        <v>1070.95</v>
      </c>
      <c r="O90" s="188">
        <v>0.8</v>
      </c>
      <c r="P90" s="150">
        <f t="shared" si="2"/>
        <v>125</v>
      </c>
      <c r="Q90" s="197">
        <f t="shared" si="3"/>
        <v>1170.95</v>
      </c>
    </row>
    <row r="91" spans="1:18" s="7" customFormat="1" ht="12.75">
      <c r="A91" s="164" t="s">
        <v>2103</v>
      </c>
      <c r="B91" s="165" t="s">
        <v>2104</v>
      </c>
      <c r="C91" s="165" t="s">
        <v>2112</v>
      </c>
      <c r="D91" s="216" t="s">
        <v>2204</v>
      </c>
      <c r="E91" s="204" t="s">
        <v>454</v>
      </c>
      <c r="F91" s="205" t="s">
        <v>454</v>
      </c>
      <c r="G91" s="205" t="s">
        <v>454</v>
      </c>
      <c r="H91" s="205" t="s">
        <v>454</v>
      </c>
      <c r="I91" s="181" t="s">
        <v>768</v>
      </c>
      <c r="J91" s="181"/>
      <c r="K91" s="181"/>
      <c r="L91" s="182" t="s">
        <v>16</v>
      </c>
      <c r="M91" s="206">
        <v>498.7</v>
      </c>
      <c r="N91" s="206">
        <v>599.95000000000005</v>
      </c>
      <c r="O91" s="207">
        <v>0</v>
      </c>
      <c r="P91" s="183">
        <f t="shared" si="2"/>
        <v>125</v>
      </c>
      <c r="Q91" s="208">
        <f t="shared" si="3"/>
        <v>599.95000000000005</v>
      </c>
      <c r="R91" s="14"/>
    </row>
    <row r="92" spans="1:18" s="7" customFormat="1" ht="12.75">
      <c r="A92" s="160" t="s">
        <v>121</v>
      </c>
      <c r="B92" s="144" t="s">
        <v>640</v>
      </c>
      <c r="C92" s="151" t="s">
        <v>1704</v>
      </c>
      <c r="D92" s="174" t="s">
        <v>439</v>
      </c>
      <c r="E92" s="147" t="s">
        <v>454</v>
      </c>
      <c r="F92" s="147" t="s">
        <v>454</v>
      </c>
      <c r="G92" s="147" t="s">
        <v>454</v>
      </c>
      <c r="H92" s="147" t="s">
        <v>454</v>
      </c>
      <c r="I92" s="148" t="s">
        <v>768</v>
      </c>
      <c r="J92" s="148"/>
      <c r="K92" s="148"/>
      <c r="L92" s="149" t="s">
        <v>16</v>
      </c>
      <c r="M92" s="242">
        <v>62.25</v>
      </c>
      <c r="N92" s="242">
        <v>69.95</v>
      </c>
      <c r="O92" s="188">
        <v>0</v>
      </c>
      <c r="P92" s="150">
        <f t="shared" si="2"/>
        <v>125</v>
      </c>
      <c r="Q92" s="197">
        <f t="shared" si="3"/>
        <v>69.95</v>
      </c>
    </row>
    <row r="93" spans="1:18" s="190" customFormat="1" ht="12.75">
      <c r="A93" s="160" t="s">
        <v>427</v>
      </c>
      <c r="B93" s="144" t="s">
        <v>895</v>
      </c>
      <c r="C93" s="151" t="s">
        <v>428</v>
      </c>
      <c r="D93" s="174" t="s">
        <v>429</v>
      </c>
      <c r="E93" s="147" t="s">
        <v>454</v>
      </c>
      <c r="F93" s="147" t="s">
        <v>454</v>
      </c>
      <c r="G93" s="147" t="s">
        <v>454</v>
      </c>
      <c r="H93" s="147" t="s">
        <v>454</v>
      </c>
      <c r="I93" s="148" t="s">
        <v>768</v>
      </c>
      <c r="J93" s="148"/>
      <c r="K93" s="148"/>
      <c r="L93" s="149" t="s">
        <v>16</v>
      </c>
      <c r="M93" s="242">
        <v>45.12</v>
      </c>
      <c r="N93" s="242">
        <v>59.95</v>
      </c>
      <c r="O93" s="188">
        <v>0</v>
      </c>
      <c r="P93" s="150">
        <f t="shared" si="2"/>
        <v>125</v>
      </c>
      <c r="Q93" s="197">
        <f t="shared" si="3"/>
        <v>59.95</v>
      </c>
      <c r="R93" s="7"/>
    </row>
    <row r="94" spans="1:18" s="190" customFormat="1" ht="12.75">
      <c r="A94" s="230" t="s">
        <v>424</v>
      </c>
      <c r="B94" s="231" t="s">
        <v>772</v>
      </c>
      <c r="C94" s="232" t="s">
        <v>2111</v>
      </c>
      <c r="D94" s="233" t="s">
        <v>432</v>
      </c>
      <c r="E94" s="246" t="s">
        <v>454</v>
      </c>
      <c r="F94" s="246" t="s">
        <v>454</v>
      </c>
      <c r="G94" s="246" t="s">
        <v>454</v>
      </c>
      <c r="H94" s="246" t="s">
        <v>454</v>
      </c>
      <c r="I94" s="235" t="s">
        <v>768</v>
      </c>
      <c r="J94" s="235" t="s">
        <v>1684</v>
      </c>
      <c r="K94" s="235"/>
      <c r="L94" s="236" t="s">
        <v>16</v>
      </c>
      <c r="M94" s="247">
        <v>349.95</v>
      </c>
      <c r="N94" s="247">
        <v>449.95</v>
      </c>
      <c r="O94" s="238">
        <v>0.8</v>
      </c>
      <c r="P94" s="237">
        <f t="shared" si="2"/>
        <v>125</v>
      </c>
      <c r="Q94" s="248">
        <f t="shared" si="3"/>
        <v>549.95000000000005</v>
      </c>
      <c r="R94" s="7"/>
    </row>
    <row r="95" spans="1:18" s="7" customFormat="1" ht="12.75">
      <c r="A95" s="160" t="s">
        <v>212</v>
      </c>
      <c r="B95" s="144" t="s">
        <v>774</v>
      </c>
      <c r="C95" s="151" t="s">
        <v>931</v>
      </c>
      <c r="D95" s="174" t="s">
        <v>440</v>
      </c>
      <c r="E95" s="147" t="s">
        <v>454</v>
      </c>
      <c r="F95" s="147" t="s">
        <v>454</v>
      </c>
      <c r="G95" s="147" t="s">
        <v>454</v>
      </c>
      <c r="H95" s="147" t="s">
        <v>454</v>
      </c>
      <c r="I95" s="148" t="s">
        <v>768</v>
      </c>
      <c r="J95" s="148" t="s">
        <v>1684</v>
      </c>
      <c r="K95" s="148"/>
      <c r="L95" s="149" t="s">
        <v>16</v>
      </c>
      <c r="M95" s="242">
        <v>442.48</v>
      </c>
      <c r="N95" s="242">
        <v>599.95000000000005</v>
      </c>
      <c r="O95" s="188">
        <v>0.8</v>
      </c>
      <c r="P95" s="150">
        <f t="shared" si="2"/>
        <v>125</v>
      </c>
      <c r="Q95" s="197">
        <f t="shared" si="3"/>
        <v>699.95</v>
      </c>
    </row>
    <row r="96" spans="1:18" s="7" customFormat="1" ht="12.75">
      <c r="A96" s="160" t="s">
        <v>420</v>
      </c>
      <c r="B96" s="144" t="s">
        <v>421</v>
      </c>
      <c r="C96" s="144" t="s">
        <v>1984</v>
      </c>
      <c r="D96" s="174" t="s">
        <v>436</v>
      </c>
      <c r="E96" s="147" t="s">
        <v>454</v>
      </c>
      <c r="F96" s="147" t="s">
        <v>454</v>
      </c>
      <c r="G96" s="147" t="s">
        <v>454</v>
      </c>
      <c r="H96" s="147" t="s">
        <v>454</v>
      </c>
      <c r="I96" s="148" t="s">
        <v>768</v>
      </c>
      <c r="J96" s="148" t="s">
        <v>1684</v>
      </c>
      <c r="K96" s="148"/>
      <c r="L96" s="149" t="s">
        <v>16</v>
      </c>
      <c r="M96" s="242">
        <v>381.6</v>
      </c>
      <c r="N96" s="242">
        <v>479.95</v>
      </c>
      <c r="O96" s="188">
        <v>0.7</v>
      </c>
      <c r="P96" s="150">
        <f t="shared" si="2"/>
        <v>125</v>
      </c>
      <c r="Q96" s="197">
        <f t="shared" si="3"/>
        <v>567.45000000000005</v>
      </c>
    </row>
    <row r="97" spans="1:17" s="7" customFormat="1" ht="12.75">
      <c r="A97" s="160" t="s">
        <v>417</v>
      </c>
      <c r="B97" s="144" t="s">
        <v>1671</v>
      </c>
      <c r="C97" s="151" t="s">
        <v>1672</v>
      </c>
      <c r="D97" s="174" t="s">
        <v>894</v>
      </c>
      <c r="E97" s="147" t="s">
        <v>454</v>
      </c>
      <c r="F97" s="147" t="s">
        <v>454</v>
      </c>
      <c r="G97" s="147" t="s">
        <v>454</v>
      </c>
      <c r="H97" s="147" t="s">
        <v>454</v>
      </c>
      <c r="I97" s="148" t="s">
        <v>768</v>
      </c>
      <c r="J97" s="148" t="s">
        <v>1684</v>
      </c>
      <c r="K97" s="148"/>
      <c r="L97" s="149" t="s">
        <v>16</v>
      </c>
      <c r="M97" s="242">
        <v>264.18</v>
      </c>
      <c r="N97" s="242">
        <v>349.95</v>
      </c>
      <c r="O97" s="188">
        <v>0.8</v>
      </c>
      <c r="P97" s="150">
        <f t="shared" si="2"/>
        <v>125</v>
      </c>
      <c r="Q97" s="197">
        <f t="shared" si="3"/>
        <v>449.95</v>
      </c>
    </row>
    <row r="98" spans="1:17" s="7" customFormat="1" ht="12.75">
      <c r="A98" s="160" t="s">
        <v>415</v>
      </c>
      <c r="B98" s="144" t="s">
        <v>775</v>
      </c>
      <c r="C98" s="151" t="s">
        <v>932</v>
      </c>
      <c r="D98" s="174" t="s">
        <v>433</v>
      </c>
      <c r="E98" s="147" t="s">
        <v>454</v>
      </c>
      <c r="F98" s="147" t="s">
        <v>454</v>
      </c>
      <c r="G98" s="147" t="s">
        <v>454</v>
      </c>
      <c r="H98" s="147" t="s">
        <v>454</v>
      </c>
      <c r="I98" s="148" t="s">
        <v>768</v>
      </c>
      <c r="J98" s="148" t="s">
        <v>1684</v>
      </c>
      <c r="K98" s="148"/>
      <c r="L98" s="149" t="s">
        <v>16</v>
      </c>
      <c r="M98" s="242">
        <v>776.98</v>
      </c>
      <c r="N98" s="242">
        <v>1049.95</v>
      </c>
      <c r="O98" s="188">
        <v>0.3</v>
      </c>
      <c r="P98" s="150">
        <f t="shared" si="2"/>
        <v>125</v>
      </c>
      <c r="Q98" s="197">
        <f t="shared" si="3"/>
        <v>1087.45</v>
      </c>
    </row>
    <row r="99" spans="1:17" s="7" customFormat="1" ht="12.75">
      <c r="A99" s="160" t="s">
        <v>414</v>
      </c>
      <c r="B99" s="144" t="s">
        <v>776</v>
      </c>
      <c r="C99" s="151" t="s">
        <v>933</v>
      </c>
      <c r="D99" s="174" t="s">
        <v>434</v>
      </c>
      <c r="E99" s="147" t="s">
        <v>454</v>
      </c>
      <c r="F99" s="147" t="s">
        <v>454</v>
      </c>
      <c r="G99" s="147" t="s">
        <v>454</v>
      </c>
      <c r="H99" s="147" t="s">
        <v>454</v>
      </c>
      <c r="I99" s="148" t="s">
        <v>768</v>
      </c>
      <c r="J99" s="148" t="s">
        <v>1684</v>
      </c>
      <c r="K99" s="148"/>
      <c r="L99" s="149" t="s">
        <v>16</v>
      </c>
      <c r="M99" s="242">
        <v>737.59</v>
      </c>
      <c r="N99" s="242">
        <v>979.95</v>
      </c>
      <c r="O99" s="188">
        <v>0.3</v>
      </c>
      <c r="P99" s="150">
        <f t="shared" si="2"/>
        <v>125</v>
      </c>
      <c r="Q99" s="197">
        <f t="shared" si="3"/>
        <v>1017.45</v>
      </c>
    </row>
    <row r="100" spans="1:17" s="7" customFormat="1" ht="12.75">
      <c r="A100" s="160" t="s">
        <v>119</v>
      </c>
      <c r="B100" s="144" t="s">
        <v>430</v>
      </c>
      <c r="C100" s="151" t="s">
        <v>940</v>
      </c>
      <c r="D100" s="174" t="s">
        <v>128</v>
      </c>
      <c r="E100" s="147" t="s">
        <v>454</v>
      </c>
      <c r="F100" s="147" t="s">
        <v>454</v>
      </c>
      <c r="G100" s="147" t="s">
        <v>454</v>
      </c>
      <c r="H100" s="147" t="s">
        <v>454</v>
      </c>
      <c r="I100" s="148" t="s">
        <v>768</v>
      </c>
      <c r="J100" s="148"/>
      <c r="K100" s="148"/>
      <c r="L100" s="149" t="s">
        <v>16</v>
      </c>
      <c r="M100" s="242">
        <v>170.46</v>
      </c>
      <c r="N100" s="242">
        <v>219.95</v>
      </c>
      <c r="O100" s="188">
        <v>0.3</v>
      </c>
      <c r="P100" s="150">
        <f t="shared" si="2"/>
        <v>125</v>
      </c>
      <c r="Q100" s="197">
        <f t="shared" si="3"/>
        <v>257.45</v>
      </c>
    </row>
    <row r="101" spans="1:17" s="7" customFormat="1" ht="12.75">
      <c r="A101" s="160" t="s">
        <v>411</v>
      </c>
      <c r="B101" s="144" t="s">
        <v>641</v>
      </c>
      <c r="C101" s="151" t="s">
        <v>939</v>
      </c>
      <c r="D101" s="174" t="s">
        <v>437</v>
      </c>
      <c r="E101" s="147" t="s">
        <v>454</v>
      </c>
      <c r="F101" s="147" t="s">
        <v>454</v>
      </c>
      <c r="G101" s="147" t="s">
        <v>454</v>
      </c>
      <c r="H101" s="147" t="s">
        <v>454</v>
      </c>
      <c r="I101" s="148" t="s">
        <v>768</v>
      </c>
      <c r="J101" s="148" t="s">
        <v>1684</v>
      </c>
      <c r="K101" s="148"/>
      <c r="L101" s="149" t="s">
        <v>16</v>
      </c>
      <c r="M101" s="242">
        <v>297.82</v>
      </c>
      <c r="N101" s="242">
        <v>379.95</v>
      </c>
      <c r="O101" s="188">
        <v>0.3</v>
      </c>
      <c r="P101" s="150">
        <f t="shared" si="2"/>
        <v>125</v>
      </c>
      <c r="Q101" s="197">
        <f t="shared" si="3"/>
        <v>417.45</v>
      </c>
    </row>
    <row r="102" spans="1:17" s="7" customFormat="1" ht="12.75">
      <c r="A102" s="160" t="s">
        <v>265</v>
      </c>
      <c r="B102" s="144" t="s">
        <v>2144</v>
      </c>
      <c r="C102" s="151" t="s">
        <v>2145</v>
      </c>
      <c r="D102" s="174" t="s">
        <v>2169</v>
      </c>
      <c r="E102" s="147" t="s">
        <v>454</v>
      </c>
      <c r="F102" s="147" t="s">
        <v>454</v>
      </c>
      <c r="G102" s="147" t="s">
        <v>454</v>
      </c>
      <c r="H102" s="147" t="s">
        <v>454</v>
      </c>
      <c r="I102" s="148" t="s">
        <v>768</v>
      </c>
      <c r="J102" s="148"/>
      <c r="K102" s="148"/>
      <c r="L102" s="149" t="s">
        <v>16</v>
      </c>
      <c r="M102" s="242">
        <v>585.29999999999995</v>
      </c>
      <c r="N102" s="242">
        <v>969.8</v>
      </c>
      <c r="O102" s="188">
        <v>0.8</v>
      </c>
      <c r="P102" s="150">
        <f t="shared" si="2"/>
        <v>125</v>
      </c>
      <c r="Q102" s="197">
        <f t="shared" si="3"/>
        <v>1069.8</v>
      </c>
    </row>
    <row r="103" spans="1:17" s="7" customFormat="1" ht="12.75">
      <c r="A103" s="160" t="s">
        <v>418</v>
      </c>
      <c r="B103" s="144" t="s">
        <v>1635</v>
      </c>
      <c r="C103" s="151" t="s">
        <v>1636</v>
      </c>
      <c r="D103" s="174" t="s">
        <v>438</v>
      </c>
      <c r="E103" s="147" t="s">
        <v>454</v>
      </c>
      <c r="F103" s="147" t="s">
        <v>454</v>
      </c>
      <c r="G103" s="147" t="s">
        <v>454</v>
      </c>
      <c r="H103" s="147" t="s">
        <v>454</v>
      </c>
      <c r="I103" s="148" t="s">
        <v>768</v>
      </c>
      <c r="J103" s="148" t="s">
        <v>1684</v>
      </c>
      <c r="K103" s="148"/>
      <c r="L103" s="149" t="s">
        <v>16</v>
      </c>
      <c r="M103" s="242">
        <v>453.5</v>
      </c>
      <c r="N103" s="242">
        <v>549.95000000000005</v>
      </c>
      <c r="O103" s="188">
        <v>0.3</v>
      </c>
      <c r="P103" s="150">
        <f t="shared" si="2"/>
        <v>125</v>
      </c>
      <c r="Q103" s="197">
        <f t="shared" si="3"/>
        <v>587.45000000000005</v>
      </c>
    </row>
    <row r="104" spans="1:17" s="7" customFormat="1" ht="12.75">
      <c r="A104" s="160" t="s">
        <v>426</v>
      </c>
      <c r="B104" s="144" t="s">
        <v>896</v>
      </c>
      <c r="C104" s="151" t="s">
        <v>1703</v>
      </c>
      <c r="D104" s="174"/>
      <c r="E104" s="147" t="s">
        <v>454</v>
      </c>
      <c r="F104" s="147" t="s">
        <v>454</v>
      </c>
      <c r="G104" s="147" t="s">
        <v>454</v>
      </c>
      <c r="H104" s="147" t="s">
        <v>454</v>
      </c>
      <c r="I104" s="148" t="s">
        <v>768</v>
      </c>
      <c r="J104" s="148" t="s">
        <v>1684</v>
      </c>
      <c r="K104" s="148"/>
      <c r="L104" s="149" t="s">
        <v>16</v>
      </c>
      <c r="M104" s="242">
        <v>60.62</v>
      </c>
      <c r="N104" s="242">
        <v>94.95</v>
      </c>
      <c r="O104" s="188">
        <v>0.2</v>
      </c>
      <c r="P104" s="150">
        <f t="shared" si="2"/>
        <v>125</v>
      </c>
      <c r="Q104" s="197">
        <f t="shared" si="3"/>
        <v>119.95</v>
      </c>
    </row>
    <row r="105" spans="1:17" s="7" customFormat="1" ht="12.75">
      <c r="A105" s="160" t="s">
        <v>211</v>
      </c>
      <c r="B105" s="144" t="s">
        <v>778</v>
      </c>
      <c r="C105" s="151" t="s">
        <v>936</v>
      </c>
      <c r="D105" s="174" t="s">
        <v>441</v>
      </c>
      <c r="E105" s="147" t="s">
        <v>454</v>
      </c>
      <c r="F105" s="147" t="s">
        <v>454</v>
      </c>
      <c r="G105" s="147" t="s">
        <v>454</v>
      </c>
      <c r="H105" s="147" t="s">
        <v>454</v>
      </c>
      <c r="I105" s="148" t="s">
        <v>768</v>
      </c>
      <c r="J105" s="148"/>
      <c r="K105" s="148"/>
      <c r="L105" s="149" t="s">
        <v>16</v>
      </c>
      <c r="M105" s="242">
        <v>84.65</v>
      </c>
      <c r="N105" s="242">
        <v>119.95</v>
      </c>
      <c r="O105" s="188">
        <v>0.1</v>
      </c>
      <c r="P105" s="150">
        <f t="shared" si="2"/>
        <v>125</v>
      </c>
      <c r="Q105" s="197">
        <f t="shared" si="3"/>
        <v>132.44999999999999</v>
      </c>
    </row>
    <row r="106" spans="1:17" s="7" customFormat="1" ht="12.75">
      <c r="A106" s="160" t="s">
        <v>718</v>
      </c>
      <c r="B106" s="144" t="s">
        <v>67</v>
      </c>
      <c r="C106" s="151" t="s">
        <v>104</v>
      </c>
      <c r="D106" s="174"/>
      <c r="E106" s="147" t="s">
        <v>454</v>
      </c>
      <c r="F106" s="147" t="s">
        <v>454</v>
      </c>
      <c r="G106" s="147" t="s">
        <v>454</v>
      </c>
      <c r="H106" s="147" t="s">
        <v>454</v>
      </c>
      <c r="I106" s="148" t="s">
        <v>768</v>
      </c>
      <c r="J106" s="148" t="s">
        <v>1684</v>
      </c>
      <c r="K106" s="148"/>
      <c r="L106" s="149" t="s">
        <v>16</v>
      </c>
      <c r="M106" s="242">
        <v>194.97</v>
      </c>
      <c r="N106" s="242">
        <v>324.95</v>
      </c>
      <c r="O106" s="188">
        <v>0.2</v>
      </c>
      <c r="P106" s="150">
        <f t="shared" si="2"/>
        <v>125</v>
      </c>
      <c r="Q106" s="197">
        <f t="shared" si="3"/>
        <v>349.95</v>
      </c>
    </row>
    <row r="107" spans="1:17" s="7" customFormat="1" ht="12.75">
      <c r="A107" s="160" t="s">
        <v>216</v>
      </c>
      <c r="B107" s="144" t="s">
        <v>1657</v>
      </c>
      <c r="C107" s="151" t="s">
        <v>313</v>
      </c>
      <c r="D107" s="174" t="s">
        <v>391</v>
      </c>
      <c r="E107" s="147" t="s">
        <v>454</v>
      </c>
      <c r="F107" s="147" t="s">
        <v>454</v>
      </c>
      <c r="G107" s="147"/>
      <c r="H107" s="147" t="s">
        <v>454</v>
      </c>
      <c r="I107" s="148" t="s">
        <v>768</v>
      </c>
      <c r="J107" s="148"/>
      <c r="K107" s="148"/>
      <c r="L107" s="149" t="s">
        <v>4</v>
      </c>
      <c r="M107" s="242">
        <v>15.57</v>
      </c>
      <c r="N107" s="242">
        <v>23.95</v>
      </c>
      <c r="O107" s="188">
        <v>0</v>
      </c>
      <c r="P107" s="150">
        <f t="shared" si="2"/>
        <v>125</v>
      </c>
      <c r="Q107" s="197">
        <f t="shared" si="3"/>
        <v>23.95</v>
      </c>
    </row>
    <row r="108" spans="1:17" s="7" customFormat="1" ht="12.75">
      <c r="A108" s="160" t="s">
        <v>22</v>
      </c>
      <c r="B108" s="144" t="s">
        <v>1658</v>
      </c>
      <c r="C108" s="151" t="s">
        <v>312</v>
      </c>
      <c r="D108" s="174" t="s">
        <v>390</v>
      </c>
      <c r="E108" s="147" t="s">
        <v>454</v>
      </c>
      <c r="F108" s="147" t="s">
        <v>454</v>
      </c>
      <c r="G108" s="147"/>
      <c r="H108" s="147" t="s">
        <v>454</v>
      </c>
      <c r="I108" s="148" t="s">
        <v>768</v>
      </c>
      <c r="J108" s="148"/>
      <c r="K108" s="148"/>
      <c r="L108" s="149" t="s">
        <v>4</v>
      </c>
      <c r="M108" s="242">
        <v>15.57</v>
      </c>
      <c r="N108" s="242">
        <v>23.95</v>
      </c>
      <c r="O108" s="188">
        <v>0</v>
      </c>
      <c r="P108" s="150">
        <f t="shared" si="2"/>
        <v>125</v>
      </c>
      <c r="Q108" s="197">
        <f t="shared" si="3"/>
        <v>23.95</v>
      </c>
    </row>
    <row r="109" spans="1:17" s="7" customFormat="1" ht="12.75">
      <c r="A109" s="160" t="s">
        <v>206</v>
      </c>
      <c r="B109" s="144" t="s">
        <v>1659</v>
      </c>
      <c r="C109" s="151" t="s">
        <v>836</v>
      </c>
      <c r="D109" s="174" t="s">
        <v>393</v>
      </c>
      <c r="E109" s="147" t="s">
        <v>454</v>
      </c>
      <c r="F109" s="147" t="s">
        <v>454</v>
      </c>
      <c r="G109" s="147"/>
      <c r="H109" s="147" t="s">
        <v>454</v>
      </c>
      <c r="I109" s="148" t="s">
        <v>768</v>
      </c>
      <c r="J109" s="148"/>
      <c r="K109" s="148"/>
      <c r="L109" s="149" t="s">
        <v>4</v>
      </c>
      <c r="M109" s="242">
        <v>15.57</v>
      </c>
      <c r="N109" s="242">
        <v>23.95</v>
      </c>
      <c r="O109" s="188">
        <v>0</v>
      </c>
      <c r="P109" s="150">
        <f t="shared" si="2"/>
        <v>125</v>
      </c>
      <c r="Q109" s="197">
        <f t="shared" si="3"/>
        <v>23.95</v>
      </c>
    </row>
    <row r="110" spans="1:17" s="7" customFormat="1" ht="12.75">
      <c r="A110" s="160" t="s">
        <v>116</v>
      </c>
      <c r="B110" s="144" t="s">
        <v>1660</v>
      </c>
      <c r="C110" s="151" t="s">
        <v>315</v>
      </c>
      <c r="D110" s="174" t="s">
        <v>323</v>
      </c>
      <c r="E110" s="147" t="s">
        <v>454</v>
      </c>
      <c r="F110" s="147" t="s">
        <v>454</v>
      </c>
      <c r="G110" s="147"/>
      <c r="H110" s="147" t="s">
        <v>454</v>
      </c>
      <c r="I110" s="148" t="s">
        <v>768</v>
      </c>
      <c r="J110" s="148"/>
      <c r="K110" s="148"/>
      <c r="L110" s="149" t="s">
        <v>4</v>
      </c>
      <c r="M110" s="242">
        <v>15.54</v>
      </c>
      <c r="N110" s="242">
        <v>23.95</v>
      </c>
      <c r="O110" s="188">
        <v>0</v>
      </c>
      <c r="P110" s="150">
        <f t="shared" si="2"/>
        <v>125</v>
      </c>
      <c r="Q110" s="197">
        <f t="shared" si="3"/>
        <v>23.95</v>
      </c>
    </row>
    <row r="111" spans="1:17" s="7" customFormat="1" ht="12.75">
      <c r="A111" s="160" t="s">
        <v>3</v>
      </c>
      <c r="B111" s="144" t="s">
        <v>1661</v>
      </c>
      <c r="C111" s="151" t="s">
        <v>311</v>
      </c>
      <c r="D111" s="174" t="s">
        <v>321</v>
      </c>
      <c r="E111" s="147" t="s">
        <v>454</v>
      </c>
      <c r="F111" s="147" t="s">
        <v>454</v>
      </c>
      <c r="G111" s="147" t="s">
        <v>454</v>
      </c>
      <c r="H111" s="147" t="s">
        <v>454</v>
      </c>
      <c r="I111" s="148" t="s">
        <v>768</v>
      </c>
      <c r="J111" s="148"/>
      <c r="K111" s="148"/>
      <c r="L111" s="149" t="s">
        <v>4</v>
      </c>
      <c r="M111" s="242">
        <v>15.57</v>
      </c>
      <c r="N111" s="242">
        <v>23.95</v>
      </c>
      <c r="O111" s="188">
        <v>0</v>
      </c>
      <c r="P111" s="150">
        <f t="shared" si="2"/>
        <v>125</v>
      </c>
      <c r="Q111" s="197">
        <f t="shared" si="3"/>
        <v>23.95</v>
      </c>
    </row>
    <row r="112" spans="1:17" s="7" customFormat="1" ht="12.75">
      <c r="A112" s="160" t="s">
        <v>6</v>
      </c>
      <c r="B112" s="144" t="s">
        <v>1656</v>
      </c>
      <c r="C112" s="151" t="s">
        <v>314</v>
      </c>
      <c r="D112" s="174" t="s">
        <v>392</v>
      </c>
      <c r="E112" s="147" t="s">
        <v>454</v>
      </c>
      <c r="F112" s="147" t="s">
        <v>454</v>
      </c>
      <c r="G112" s="147" t="s">
        <v>454</v>
      </c>
      <c r="H112" s="147" t="s">
        <v>454</v>
      </c>
      <c r="I112" s="148" t="s">
        <v>768</v>
      </c>
      <c r="J112" s="148"/>
      <c r="K112" s="148"/>
      <c r="L112" s="149" t="s">
        <v>4</v>
      </c>
      <c r="M112" s="242">
        <v>15.57</v>
      </c>
      <c r="N112" s="242">
        <v>23.95</v>
      </c>
      <c r="O112" s="188">
        <v>0</v>
      </c>
      <c r="P112" s="150">
        <f t="shared" si="2"/>
        <v>125</v>
      </c>
      <c r="Q112" s="197">
        <f t="shared" si="3"/>
        <v>23.95</v>
      </c>
    </row>
    <row r="113" spans="1:17" s="7" customFormat="1" ht="12.75">
      <c r="A113" s="160" t="s">
        <v>635</v>
      </c>
      <c r="B113" s="144" t="s">
        <v>1649</v>
      </c>
      <c r="C113" s="151" t="s">
        <v>845</v>
      </c>
      <c r="D113" s="174" t="s">
        <v>788</v>
      </c>
      <c r="E113" s="147" t="s">
        <v>454</v>
      </c>
      <c r="F113" s="147" t="s">
        <v>454</v>
      </c>
      <c r="G113" s="147"/>
      <c r="H113" s="147" t="s">
        <v>454</v>
      </c>
      <c r="I113" s="148" t="s">
        <v>768</v>
      </c>
      <c r="J113" s="148"/>
      <c r="K113" s="148"/>
      <c r="L113" s="149" t="s">
        <v>4</v>
      </c>
      <c r="M113" s="242">
        <v>15.57</v>
      </c>
      <c r="N113" s="242">
        <v>23.95</v>
      </c>
      <c r="O113" s="188">
        <v>0</v>
      </c>
      <c r="P113" s="150">
        <f t="shared" si="2"/>
        <v>125</v>
      </c>
      <c r="Q113" s="197">
        <f t="shared" si="3"/>
        <v>23.95</v>
      </c>
    </row>
    <row r="114" spans="1:17" s="7" customFormat="1" ht="12.75">
      <c r="A114" s="160" t="s">
        <v>1824</v>
      </c>
      <c r="B114" s="144" t="s">
        <v>1827</v>
      </c>
      <c r="C114" s="244" t="s">
        <v>1788</v>
      </c>
      <c r="D114" s="174"/>
      <c r="E114" s="147" t="s">
        <v>454</v>
      </c>
      <c r="F114" s="147" t="s">
        <v>454</v>
      </c>
      <c r="G114" s="147" t="s">
        <v>454</v>
      </c>
      <c r="H114" s="147" t="s">
        <v>454</v>
      </c>
      <c r="I114" s="148"/>
      <c r="J114" s="148"/>
      <c r="K114" s="148"/>
      <c r="L114" s="149" t="s">
        <v>10</v>
      </c>
      <c r="M114" s="242">
        <v>123.53</v>
      </c>
      <c r="N114" s="242">
        <v>199.95</v>
      </c>
      <c r="O114" s="188">
        <v>0.1</v>
      </c>
      <c r="P114" s="150">
        <f t="shared" si="2"/>
        <v>125</v>
      </c>
      <c r="Q114" s="197">
        <f t="shared" si="3"/>
        <v>212.45</v>
      </c>
    </row>
    <row r="115" spans="1:17" s="7" customFormat="1" ht="12.75">
      <c r="A115" s="160" t="s">
        <v>1825</v>
      </c>
      <c r="B115" s="144" t="s">
        <v>1696</v>
      </c>
      <c r="C115" s="244" t="s">
        <v>1789</v>
      </c>
      <c r="D115" s="174" t="s">
        <v>2099</v>
      </c>
      <c r="E115" s="147" t="s">
        <v>454</v>
      </c>
      <c r="F115" s="147" t="s">
        <v>454</v>
      </c>
      <c r="G115" s="147" t="s">
        <v>454</v>
      </c>
      <c r="H115" s="147" t="s">
        <v>454</v>
      </c>
      <c r="I115" s="148"/>
      <c r="J115" s="148"/>
      <c r="K115" s="148"/>
      <c r="L115" s="149" t="s">
        <v>10</v>
      </c>
      <c r="M115" s="242">
        <v>102.28</v>
      </c>
      <c r="N115" s="242">
        <v>169.95</v>
      </c>
      <c r="O115" s="188">
        <v>0.1</v>
      </c>
      <c r="P115" s="150">
        <f t="shared" si="2"/>
        <v>125</v>
      </c>
      <c r="Q115" s="197">
        <f t="shared" si="3"/>
        <v>182.45</v>
      </c>
    </row>
    <row r="116" spans="1:17" s="7" customFormat="1" ht="12.75">
      <c r="A116" s="160" t="s">
        <v>1823</v>
      </c>
      <c r="B116" s="144" t="s">
        <v>122</v>
      </c>
      <c r="C116" s="244" t="s">
        <v>742</v>
      </c>
      <c r="D116" s="174"/>
      <c r="E116" s="147" t="s">
        <v>454</v>
      </c>
      <c r="F116" s="147" t="s">
        <v>454</v>
      </c>
      <c r="G116" s="147" t="s">
        <v>454</v>
      </c>
      <c r="H116" s="147" t="s">
        <v>454</v>
      </c>
      <c r="I116" s="148"/>
      <c r="J116" s="148"/>
      <c r="K116" s="148"/>
      <c r="L116" s="149" t="s">
        <v>10</v>
      </c>
      <c r="M116" s="242">
        <v>727.28</v>
      </c>
      <c r="N116" s="242">
        <v>1038.95</v>
      </c>
      <c r="O116" s="188">
        <v>2</v>
      </c>
      <c r="P116" s="150">
        <f t="shared" si="2"/>
        <v>125</v>
      </c>
      <c r="Q116" s="197">
        <f t="shared" si="3"/>
        <v>1288.95</v>
      </c>
    </row>
    <row r="117" spans="1:17" s="7" customFormat="1" ht="12.75">
      <c r="A117" s="160" t="s">
        <v>1826</v>
      </c>
      <c r="B117" s="144" t="s">
        <v>897</v>
      </c>
      <c r="C117" s="244" t="s">
        <v>92</v>
      </c>
      <c r="D117" s="174"/>
      <c r="E117" s="147" t="s">
        <v>454</v>
      </c>
      <c r="F117" s="147" t="s">
        <v>454</v>
      </c>
      <c r="G117" s="147" t="s">
        <v>454</v>
      </c>
      <c r="H117" s="147" t="s">
        <v>454</v>
      </c>
      <c r="I117" s="148"/>
      <c r="J117" s="148"/>
      <c r="K117" s="148"/>
      <c r="L117" s="149" t="s">
        <v>10</v>
      </c>
      <c r="M117" s="242">
        <v>228.47</v>
      </c>
      <c r="N117" s="242">
        <v>326.95</v>
      </c>
      <c r="O117" s="188">
        <v>0.4</v>
      </c>
      <c r="P117" s="150">
        <f t="shared" si="2"/>
        <v>125</v>
      </c>
      <c r="Q117" s="197">
        <f t="shared" si="3"/>
        <v>376.95</v>
      </c>
    </row>
    <row r="118" spans="1:17" s="7" customFormat="1" ht="12.75">
      <c r="A118" s="160" t="s">
        <v>17</v>
      </c>
      <c r="B118" s="144" t="s">
        <v>644</v>
      </c>
      <c r="C118" s="151" t="s">
        <v>1807</v>
      </c>
      <c r="D118" s="174" t="s">
        <v>1752</v>
      </c>
      <c r="E118" s="147" t="s">
        <v>454</v>
      </c>
      <c r="F118" s="147" t="s">
        <v>454</v>
      </c>
      <c r="G118" s="147" t="s">
        <v>454</v>
      </c>
      <c r="H118" s="147" t="s">
        <v>454</v>
      </c>
      <c r="I118" s="148" t="s">
        <v>768</v>
      </c>
      <c r="J118" s="148"/>
      <c r="K118" s="148"/>
      <c r="L118" s="149" t="s">
        <v>16</v>
      </c>
      <c r="M118" s="242">
        <v>39.99</v>
      </c>
      <c r="N118" s="242">
        <v>59.95</v>
      </c>
      <c r="O118" s="188">
        <v>0</v>
      </c>
      <c r="P118" s="150">
        <f t="shared" si="2"/>
        <v>125</v>
      </c>
      <c r="Q118" s="197">
        <f t="shared" si="3"/>
        <v>59.95</v>
      </c>
    </row>
    <row r="119" spans="1:17" s="7" customFormat="1" ht="12.75">
      <c r="A119" s="160" t="s">
        <v>1487</v>
      </c>
      <c r="B119" s="144" t="s">
        <v>1485</v>
      </c>
      <c r="C119" s="151" t="s">
        <v>1486</v>
      </c>
      <c r="D119" s="174" t="s">
        <v>1709</v>
      </c>
      <c r="E119" s="147" t="s">
        <v>454</v>
      </c>
      <c r="F119" s="147" t="s">
        <v>454</v>
      </c>
      <c r="G119" s="147" t="s">
        <v>454</v>
      </c>
      <c r="H119" s="147" t="s">
        <v>454</v>
      </c>
      <c r="I119" s="148" t="s">
        <v>768</v>
      </c>
      <c r="J119" s="148"/>
      <c r="K119" s="148"/>
      <c r="L119" s="149" t="s">
        <v>0</v>
      </c>
      <c r="M119" s="242">
        <v>47</v>
      </c>
      <c r="N119" s="242">
        <v>64.95</v>
      </c>
      <c r="O119" s="188">
        <v>0</v>
      </c>
      <c r="P119" s="150">
        <f t="shared" si="2"/>
        <v>125</v>
      </c>
      <c r="Q119" s="197">
        <f t="shared" si="3"/>
        <v>64.95</v>
      </c>
    </row>
    <row r="120" spans="1:17" s="7" customFormat="1" ht="12.75">
      <c r="A120" s="160" t="s">
        <v>294</v>
      </c>
      <c r="B120" s="144" t="s">
        <v>295</v>
      </c>
      <c r="C120" s="151" t="s">
        <v>296</v>
      </c>
      <c r="D120" s="174" t="s">
        <v>1708</v>
      </c>
      <c r="E120" s="147" t="s">
        <v>454</v>
      </c>
      <c r="F120" s="147" t="s">
        <v>454</v>
      </c>
      <c r="G120" s="147" t="s">
        <v>454</v>
      </c>
      <c r="H120" s="147" t="s">
        <v>454</v>
      </c>
      <c r="I120" s="148" t="s">
        <v>768</v>
      </c>
      <c r="J120" s="148"/>
      <c r="K120" s="148"/>
      <c r="L120" s="149" t="s">
        <v>0</v>
      </c>
      <c r="M120" s="242">
        <v>60</v>
      </c>
      <c r="N120" s="242">
        <v>79.95</v>
      </c>
      <c r="O120" s="188">
        <v>0</v>
      </c>
      <c r="P120" s="150">
        <f t="shared" si="2"/>
        <v>125</v>
      </c>
      <c r="Q120" s="197">
        <f t="shared" si="3"/>
        <v>79.95</v>
      </c>
    </row>
    <row r="121" spans="1:17" s="7" customFormat="1" ht="12.75">
      <c r="A121" s="160" t="s">
        <v>1059</v>
      </c>
      <c r="B121" s="144" t="s">
        <v>1060</v>
      </c>
      <c r="C121" s="151" t="s">
        <v>1068</v>
      </c>
      <c r="D121" s="174" t="s">
        <v>2160</v>
      </c>
      <c r="E121" s="147" t="s">
        <v>454</v>
      </c>
      <c r="F121" s="147" t="s">
        <v>454</v>
      </c>
      <c r="G121" s="147" t="s">
        <v>454</v>
      </c>
      <c r="H121" s="147" t="s">
        <v>454</v>
      </c>
      <c r="I121" s="148" t="s">
        <v>768</v>
      </c>
      <c r="J121" s="148"/>
      <c r="K121" s="148"/>
      <c r="L121" s="149" t="s">
        <v>4</v>
      </c>
      <c r="M121" s="242">
        <v>2.5</v>
      </c>
      <c r="N121" s="242">
        <v>4.95</v>
      </c>
      <c r="O121" s="188">
        <v>0</v>
      </c>
      <c r="P121" s="150">
        <f t="shared" si="2"/>
        <v>125</v>
      </c>
      <c r="Q121" s="197">
        <f t="shared" si="3"/>
        <v>4.95</v>
      </c>
    </row>
    <row r="122" spans="1:17" s="7" customFormat="1" ht="12.75">
      <c r="A122" s="160" t="s">
        <v>1061</v>
      </c>
      <c r="B122" s="144" t="s">
        <v>1646</v>
      </c>
      <c r="C122" s="151" t="s">
        <v>1069</v>
      </c>
      <c r="D122" s="174" t="s">
        <v>2161</v>
      </c>
      <c r="E122" s="147" t="s">
        <v>454</v>
      </c>
      <c r="F122" s="147" t="s">
        <v>454</v>
      </c>
      <c r="G122" s="147" t="s">
        <v>454</v>
      </c>
      <c r="H122" s="147" t="s">
        <v>454</v>
      </c>
      <c r="I122" s="148" t="s">
        <v>768</v>
      </c>
      <c r="J122" s="148"/>
      <c r="K122" s="148"/>
      <c r="L122" s="149" t="s">
        <v>4</v>
      </c>
      <c r="M122" s="242">
        <v>2.5</v>
      </c>
      <c r="N122" s="242">
        <v>4.95</v>
      </c>
      <c r="O122" s="188">
        <v>0</v>
      </c>
      <c r="P122" s="150">
        <f t="shared" si="2"/>
        <v>125</v>
      </c>
      <c r="Q122" s="197">
        <f t="shared" si="3"/>
        <v>4.95</v>
      </c>
    </row>
    <row r="123" spans="1:17" s="7" customFormat="1" ht="12.75">
      <c r="A123" s="160" t="s">
        <v>1070</v>
      </c>
      <c r="B123" s="144" t="s">
        <v>1064</v>
      </c>
      <c r="C123" s="151" t="s">
        <v>1066</v>
      </c>
      <c r="D123" s="174" t="s">
        <v>2162</v>
      </c>
      <c r="E123" s="147" t="s">
        <v>454</v>
      </c>
      <c r="F123" s="147" t="s">
        <v>454</v>
      </c>
      <c r="G123" s="147" t="s">
        <v>454</v>
      </c>
      <c r="H123" s="147" t="s">
        <v>454</v>
      </c>
      <c r="I123" s="148" t="s">
        <v>768</v>
      </c>
      <c r="J123" s="148"/>
      <c r="K123" s="148"/>
      <c r="L123" s="149" t="s">
        <v>4</v>
      </c>
      <c r="M123" s="242">
        <v>2.5</v>
      </c>
      <c r="N123" s="242">
        <v>4.95</v>
      </c>
      <c r="O123" s="188">
        <v>0</v>
      </c>
      <c r="P123" s="150">
        <f t="shared" si="2"/>
        <v>125</v>
      </c>
      <c r="Q123" s="197">
        <f t="shared" si="3"/>
        <v>4.95</v>
      </c>
    </row>
    <row r="124" spans="1:17" s="7" customFormat="1" ht="12.75">
      <c r="A124" s="160" t="s">
        <v>1071</v>
      </c>
      <c r="B124" s="144" t="s">
        <v>1065</v>
      </c>
      <c r="C124" s="151" t="s">
        <v>1067</v>
      </c>
      <c r="D124" s="174" t="s">
        <v>2162</v>
      </c>
      <c r="E124" s="147" t="s">
        <v>454</v>
      </c>
      <c r="F124" s="147" t="s">
        <v>454</v>
      </c>
      <c r="G124" s="147" t="s">
        <v>454</v>
      </c>
      <c r="H124" s="147" t="s">
        <v>454</v>
      </c>
      <c r="I124" s="148" t="s">
        <v>768</v>
      </c>
      <c r="J124" s="148"/>
      <c r="K124" s="148"/>
      <c r="L124" s="149" t="s">
        <v>4</v>
      </c>
      <c r="M124" s="242">
        <v>2.5</v>
      </c>
      <c r="N124" s="242">
        <v>4.95</v>
      </c>
      <c r="O124" s="188">
        <v>0</v>
      </c>
      <c r="P124" s="150">
        <f t="shared" si="2"/>
        <v>125</v>
      </c>
      <c r="Q124" s="197">
        <f t="shared" si="3"/>
        <v>4.95</v>
      </c>
    </row>
    <row r="125" spans="1:17" s="7" customFormat="1" ht="12.75">
      <c r="A125" s="160" t="s">
        <v>1769</v>
      </c>
      <c r="B125" s="144" t="s">
        <v>1767</v>
      </c>
      <c r="C125" s="151" t="s">
        <v>1783</v>
      </c>
      <c r="D125" s="174" t="s">
        <v>1062</v>
      </c>
      <c r="E125" s="147" t="s">
        <v>454</v>
      </c>
      <c r="F125" s="147" t="s">
        <v>454</v>
      </c>
      <c r="G125" s="147" t="s">
        <v>454</v>
      </c>
      <c r="H125" s="147" t="s">
        <v>454</v>
      </c>
      <c r="I125" s="148"/>
      <c r="J125" s="148"/>
      <c r="K125" s="148"/>
      <c r="L125" s="149" t="s">
        <v>4</v>
      </c>
      <c r="M125" s="242" t="e">
        <v>#N/A</v>
      </c>
      <c r="N125" s="242" t="e">
        <v>#N/A</v>
      </c>
      <c r="O125" s="188">
        <v>0</v>
      </c>
      <c r="P125" s="150">
        <v>0</v>
      </c>
      <c r="Q125" s="197" t="e">
        <f t="shared" si="3"/>
        <v>#N/A</v>
      </c>
    </row>
    <row r="126" spans="1:17" s="7" customFormat="1" ht="12.75">
      <c r="A126" s="160" t="s">
        <v>1770</v>
      </c>
      <c r="B126" s="144" t="s">
        <v>1768</v>
      </c>
      <c r="C126" s="151" t="s">
        <v>1784</v>
      </c>
      <c r="D126" s="174" t="s">
        <v>1063</v>
      </c>
      <c r="E126" s="147" t="s">
        <v>454</v>
      </c>
      <c r="F126" s="147" t="s">
        <v>454</v>
      </c>
      <c r="G126" s="147" t="s">
        <v>454</v>
      </c>
      <c r="H126" s="147" t="s">
        <v>454</v>
      </c>
      <c r="I126" s="148"/>
      <c r="J126" s="148"/>
      <c r="K126" s="148"/>
      <c r="L126" s="149" t="s">
        <v>4</v>
      </c>
      <c r="M126" s="242" t="e">
        <v>#N/A</v>
      </c>
      <c r="N126" s="242" t="e">
        <v>#N/A</v>
      </c>
      <c r="O126" s="188">
        <v>0</v>
      </c>
      <c r="P126" s="150">
        <v>0</v>
      </c>
      <c r="Q126" s="197" t="e">
        <f t="shared" si="3"/>
        <v>#N/A</v>
      </c>
    </row>
    <row r="127" spans="1:17">
      <c r="Q127" s="198"/>
    </row>
    <row r="128" spans="1:17">
      <c r="Q128" s="198"/>
    </row>
    <row r="129" spans="17:17">
      <c r="Q129" s="198"/>
    </row>
    <row r="130" spans="17:17">
      <c r="Q130" s="198"/>
    </row>
    <row r="131" spans="17:17">
      <c r="Q131" s="198"/>
    </row>
    <row r="132" spans="17:17">
      <c r="Q132" s="198"/>
    </row>
    <row r="133" spans="17:17">
      <c r="Q133" s="198"/>
    </row>
    <row r="134" spans="17:17">
      <c r="Q134" s="198"/>
    </row>
    <row r="135" spans="17:17">
      <c r="Q135" s="198"/>
    </row>
    <row r="136" spans="17:17">
      <c r="Q136" s="198"/>
    </row>
    <row r="137" spans="17:17">
      <c r="Q137" s="198"/>
    </row>
    <row r="138" spans="17:17">
      <c r="Q138" s="198"/>
    </row>
    <row r="139" spans="17:17">
      <c r="Q139" s="198"/>
    </row>
    <row r="140" spans="17:17">
      <c r="Q140" s="198"/>
    </row>
    <row r="141" spans="17:17">
      <c r="Q141" s="198"/>
    </row>
    <row r="142" spans="17:17">
      <c r="Q142" s="198"/>
    </row>
    <row r="143" spans="17:17">
      <c r="Q143" s="198"/>
    </row>
  </sheetData>
  <sortState xmlns:xlrd2="http://schemas.microsoft.com/office/spreadsheetml/2017/richdata2" ref="A3:P124">
    <sortCondition ref="B3:B124"/>
  </sortState>
  <mergeCells count="4">
    <mergeCell ref="J2:K2"/>
    <mergeCell ref="A1:C1"/>
    <mergeCell ref="D1:K1"/>
    <mergeCell ref="P1:Q1"/>
  </mergeCells>
  <conditionalFormatting sqref="M3:N126">
    <cfRule type="cellIs" dxfId="9" priority="2" operator="lessThan">
      <formula>0.02</formula>
    </cfRule>
  </conditionalFormatting>
  <hyperlinks>
    <hyperlink ref="I68" r:id="rId1" xr:uid="{0C46C6E1-B99B-4CAC-A5EA-CEC804E39AC8}"/>
    <hyperlink ref="I29" r:id="rId2" xr:uid="{A983286E-47D8-4E4D-A83E-2AE21B9941B9}"/>
    <hyperlink ref="I75" r:id="rId3" xr:uid="{F22D88D9-670D-44CB-9BBF-E1F6E4C046C1}"/>
    <hyperlink ref="I69" r:id="rId4" xr:uid="{7FC532C9-11FB-4760-AFA1-F6A10C8F9819}"/>
    <hyperlink ref="I76" r:id="rId5" xr:uid="{9307CE82-9013-4E65-B78C-F04F14BB6ADE}"/>
    <hyperlink ref="I36" r:id="rId6" xr:uid="{859F5416-2554-4525-89E6-ACF746431CA0}"/>
    <hyperlink ref="I16" r:id="rId7" xr:uid="{6A77D20D-725C-45BB-BFB9-DC49DA447FB4}"/>
    <hyperlink ref="I74" r:id="rId8" xr:uid="{FA9E5879-D0F3-431F-91BA-1FC3A751FFBA}"/>
    <hyperlink ref="I79" r:id="rId9" xr:uid="{1F035D97-A415-402C-8812-8DFABD664713}"/>
    <hyperlink ref="I9" r:id="rId10" xr:uid="{3168BFE8-8900-4E27-AD5E-07F48529C3E5}"/>
    <hyperlink ref="I67" r:id="rId11" xr:uid="{1F59D19D-926C-418E-AB69-26D4CEF56A47}"/>
    <hyperlink ref="I10" r:id="rId12" xr:uid="{10BF889D-2621-4965-BE6D-A3934622CFA1}"/>
    <hyperlink ref="I11" r:id="rId13" xr:uid="{11ED90B3-94A8-4D7C-B9E2-B8B7F17E74E2}"/>
    <hyperlink ref="I26" r:id="rId14" xr:uid="{5DDE9550-4954-46A2-B78F-B1B8B13B2CA2}"/>
    <hyperlink ref="I25" r:id="rId15" xr:uid="{7243EA5A-7663-40DE-88AD-B87AD5DF363B}"/>
    <hyperlink ref="I21" r:id="rId16" xr:uid="{E9262985-1F33-4278-A6CB-ABFEE8DB06FB}"/>
    <hyperlink ref="I39" r:id="rId17" xr:uid="{5503DAB9-35A0-42FA-BA25-B8568F1BE0F4}"/>
    <hyperlink ref="I7" r:id="rId18" xr:uid="{F9006B48-49B9-4CCF-B788-7249A2A0C5C8}"/>
    <hyperlink ref="I106" r:id="rId19" xr:uid="{C65FFA20-DF84-4EC6-BB79-E09DDDA3904B}"/>
    <hyperlink ref="I73" r:id="rId20" xr:uid="{12FB557D-764D-40C0-8959-92AEAC065BEC}"/>
    <hyperlink ref="I72" r:id="rId21" xr:uid="{00B60F89-F247-427B-B9BF-4BA3A3A11041}"/>
    <hyperlink ref="I71" r:id="rId22" xr:uid="{86CF8AE5-B6F8-41D6-9E3C-68295F1EE88E}"/>
    <hyperlink ref="I44" r:id="rId23" xr:uid="{522B2CF8-2E0B-4473-AB73-ACECD7B3C33B}"/>
    <hyperlink ref="I53" r:id="rId24" xr:uid="{2589D3CC-93D1-4164-B343-BA60DCC3ECCA}"/>
    <hyperlink ref="I42" r:id="rId25" xr:uid="{8E72B8A0-2138-4E39-878B-DFF50BD29DB1}"/>
    <hyperlink ref="I20" r:id="rId26" xr:uid="{9B0192ED-FF8F-4E06-995C-B0A9D8638C22}"/>
    <hyperlink ref="I40" r:id="rId27" xr:uid="{CA842DDE-3013-4D4D-8738-CEFF6B42EDC2}"/>
    <hyperlink ref="I15" r:id="rId28" xr:uid="{041499FD-96ED-4829-9B4C-89794CECA9AA}"/>
    <hyperlink ref="I28" r:id="rId29" xr:uid="{E163D0CB-B97F-40DC-9C3B-A7E7BA222D62}"/>
    <hyperlink ref="I112" r:id="rId30" xr:uid="{6DCAB2D4-5C8A-49F4-9FE9-ED4A54167F39}"/>
    <hyperlink ref="I107:I112" r:id="rId31" display="PHOTO" xr:uid="{4D69E72D-A5E4-4E5C-9D5D-AE62F92282B6}"/>
    <hyperlink ref="I77:I82" r:id="rId32" display="PHOTO" xr:uid="{E4D40409-D021-4B4D-8DFC-0BD0ED5C22C3}"/>
    <hyperlink ref="I84" r:id="rId33" xr:uid="{229EF4B7-8FD2-4544-A5E5-98F8AFF49170}"/>
    <hyperlink ref="I97" r:id="rId34" xr:uid="{1887888B-AD4D-40B2-88D3-D3DE72743394}"/>
    <hyperlink ref="I92" r:id="rId35" xr:uid="{AE270B0D-AD32-4A01-AD10-B76DC0B5A0B8}"/>
    <hyperlink ref="I58" r:id="rId36" xr:uid="{C2959310-D452-4E70-BF41-D2DBC57CBA5F}"/>
    <hyperlink ref="I57" r:id="rId37" xr:uid="{8C9C082D-13E3-49BC-8B0C-2D2E6BCBB4F2}"/>
    <hyperlink ref="I61" r:id="rId38" xr:uid="{9970F7F6-63A4-4D67-8E9F-14C1D4FD5732}"/>
    <hyperlink ref="I93" r:id="rId39" xr:uid="{75616E05-94EC-4BD6-81E9-F17E0005A716}"/>
    <hyperlink ref="I96" r:id="rId40" xr:uid="{0154F808-93E9-48A9-AB84-231B4C74703B}"/>
    <hyperlink ref="I95" r:id="rId41" xr:uid="{C92C8A78-FFEC-4EB1-9BC8-3AC4B8ED634B}"/>
    <hyperlink ref="I98" r:id="rId42" xr:uid="{82EBD06B-E932-48A0-98F0-601A40E69358}"/>
    <hyperlink ref="I99" r:id="rId43" xr:uid="{DAEE079C-8D41-4C9A-BD41-DF4EC87584D2}"/>
    <hyperlink ref="I100" r:id="rId44" xr:uid="{016C7055-5284-4385-81A1-7DEE97002F60}"/>
    <hyperlink ref="I101" r:id="rId45" xr:uid="{851C04B8-6D86-48B3-834D-5140C38024F2}"/>
    <hyperlink ref="I103" r:id="rId46" xr:uid="{A3A083B3-C894-4982-94F5-54BC79A991C0}"/>
    <hyperlink ref="I104" r:id="rId47" xr:uid="{253E7E32-6E46-49D7-B6C9-0FBC8A53A2C7}"/>
    <hyperlink ref="I105" r:id="rId48" xr:uid="{EFA85A16-5A83-43C5-BD51-306B39FCB446}"/>
    <hyperlink ref="I120" r:id="rId49" xr:uid="{96B0573E-3C91-406D-A918-80FEE98B370F}"/>
    <hyperlink ref="I5" r:id="rId50" xr:uid="{96AA3C55-5F0E-4F56-9325-47B23085EFA1}"/>
    <hyperlink ref="I62" r:id="rId51" xr:uid="{6751204E-2131-4266-9C46-EDDF535EEE8D}"/>
    <hyperlink ref="I60" r:id="rId52" xr:uid="{857BBE87-4A38-48B1-8E10-E8D69264182F}"/>
    <hyperlink ref="I54" r:id="rId53" xr:uid="{4B050EF0-E0F5-4EC5-B99F-DE5695AF3B9C}"/>
    <hyperlink ref="I37" r:id="rId54" xr:uid="{43ACA075-8F40-400D-85EA-E5926BB55315}"/>
    <hyperlink ref="I27" r:id="rId55" xr:uid="{CC2071A4-16A3-4E28-93A7-75DCC0A61102}"/>
    <hyperlink ref="I23" r:id="rId56" xr:uid="{15E62970-F613-4878-989F-165E3FB0B842}"/>
    <hyperlink ref="I22" r:id="rId57" xr:uid="{B60B4B42-0472-4E7E-9387-297B5ECF862E}"/>
    <hyperlink ref="I24" r:id="rId58" xr:uid="{77C82722-7FF8-4C22-A8A5-8A6F09497E06}"/>
    <hyperlink ref="I30" r:id="rId59" xr:uid="{5456832C-ACD0-41B0-A9B0-0A8821D0DDDE}"/>
    <hyperlink ref="I33" r:id="rId60" xr:uid="{53DA6431-FE78-4E22-8372-400FE373F492}"/>
    <hyperlink ref="I35" r:id="rId61" xr:uid="{DF99E62A-5C44-4D1D-9FD5-82198842BE0A}"/>
    <hyperlink ref="I34" r:id="rId62" xr:uid="{3451C7B1-D514-40B8-9EC2-63A389222014}"/>
    <hyperlink ref="I3" r:id="rId63" xr:uid="{15D46036-1611-48A7-89FD-AD6A2FD0203E}"/>
    <hyperlink ref="I65" r:id="rId64" xr:uid="{091A5669-0B3A-40AE-A400-304D0F09B862}"/>
    <hyperlink ref="I64" r:id="rId65" xr:uid="{A167A600-B822-4F0A-9DFB-46340E271267}"/>
    <hyperlink ref="I41" r:id="rId66" xr:uid="{DE528A0F-86FD-4096-B12A-FD9ABD26AD29}"/>
    <hyperlink ref="I8" r:id="rId67" xr:uid="{6F0499BD-99B2-4F46-AFF4-26CE2B2443F7}"/>
    <hyperlink ref="I52" r:id="rId68" xr:uid="{76564CD5-835E-4D9C-B160-0E1AF6295CE6}"/>
    <hyperlink ref="I47" r:id="rId69" xr:uid="{0E33CB6A-441C-496E-8431-B7BA0CE22CEE}"/>
    <hyperlink ref="I45:I50" r:id="rId70" display="PHOTO" xr:uid="{E49974B0-C99D-4B21-9B36-D0263B8072AF}"/>
    <hyperlink ref="I31" r:id="rId71" xr:uid="{5ECED858-6675-4FE8-B304-EA95C4AC3B9E}"/>
    <hyperlink ref="I32" r:id="rId72" xr:uid="{A792DE89-0DAF-4FA4-9DBF-820EE3749A33}"/>
    <hyperlink ref="I56" r:id="rId73" xr:uid="{E0384B44-83CE-486B-A530-9B520DFB0E8D}"/>
    <hyperlink ref="I123" r:id="rId74" xr:uid="{6A528D4F-5B1A-42C7-8678-6E1929D4FCE1}"/>
    <hyperlink ref="I124" r:id="rId75" xr:uid="{DA5C8B91-2C40-4F8A-916B-343A1BDA3192}"/>
    <hyperlink ref="I121" r:id="rId76" xr:uid="{1655D578-988F-46E3-ADDB-E35402FB8DCA}"/>
    <hyperlink ref="I122" r:id="rId77" xr:uid="{121FF2BA-B6B1-4E87-9706-FB7C76AC5672}"/>
    <hyperlink ref="I38" r:id="rId78" xr:uid="{84DDE7FD-1D00-4DCE-8E6B-3254565A0102}"/>
    <hyperlink ref="I119" r:id="rId79" xr:uid="{7D06BE4A-DF74-4597-AFB5-A893A0AAB938}"/>
    <hyperlink ref="I102" r:id="rId80" xr:uid="{BF3F8C70-282B-43D4-A565-F9D809D98E0C}"/>
    <hyperlink ref="I55" r:id="rId81" xr:uid="{79EB12BF-50E2-4726-9FB2-FFBA8B16581B}"/>
    <hyperlink ref="J10" r:id="rId82" xr:uid="{A31D6304-99AB-43CF-A30D-B478568E847F}"/>
    <hyperlink ref="J11" r:id="rId83" xr:uid="{478C0036-C467-4030-A7F2-A88EECD81CAF}"/>
    <hyperlink ref="J7" r:id="rId84" xr:uid="{6139C0C2-7E2B-4748-ABF4-18787B648196}"/>
    <hyperlink ref="J8" r:id="rId85" xr:uid="{273417CF-3DD3-4D51-BC88-052E300CCA92}"/>
    <hyperlink ref="J15" r:id="rId86" xr:uid="{387224E1-401B-4F0D-B4E7-D305153D84DD}"/>
    <hyperlink ref="J16" r:id="rId87" xr:uid="{FE433C64-B6AD-4707-93D7-918B6B4AF10A}"/>
    <hyperlink ref="J17" r:id="rId88" xr:uid="{702A8473-EBF7-4102-BBB1-8A29E78409EA}"/>
    <hyperlink ref="J18" r:id="rId89" xr:uid="{16E68C19-A484-4B59-B0B9-854BF6F6ECF1}"/>
    <hyperlink ref="J20" r:id="rId90" xr:uid="{1EEEB5DC-30EC-4126-8F6E-85134B2EFC27}"/>
    <hyperlink ref="J21" r:id="rId91" xr:uid="{39126D0B-D38E-406B-B2EE-B1AB1716F20D}"/>
    <hyperlink ref="J25" r:id="rId92" xr:uid="{00BA3FB8-C694-47E3-8B31-6A8427D715CB}"/>
    <hyperlink ref="J26" r:id="rId93" xr:uid="{20516E11-11B2-43BC-A8B7-70D692A11F5E}"/>
    <hyperlink ref="J28" r:id="rId94" xr:uid="{A2F129F2-B5E3-41DC-AFAE-4413FF70DFBB}"/>
    <hyperlink ref="J29" r:id="rId95" xr:uid="{C4DC4B9B-3FC6-459D-943E-48B08D40A1FE}"/>
    <hyperlink ref="J36" r:id="rId96" xr:uid="{82E15C48-37E3-4CFB-8A8F-48C3972F20C4}"/>
    <hyperlink ref="J37" r:id="rId97" xr:uid="{56A21DBB-3E3C-41BE-AF1A-9F50D2D7641B}"/>
    <hyperlink ref="J38" r:id="rId98" xr:uid="{85B4F8F4-65A9-43E5-96F3-90D30D2E5EE5}"/>
    <hyperlink ref="J41" r:id="rId99" xr:uid="{A4ED2F7A-7D8A-4F82-B97F-52CE2DD3CD78}"/>
    <hyperlink ref="J42" r:id="rId100" xr:uid="{9BDA6A44-CD70-4D41-ABC4-1FE8D84E244E}"/>
    <hyperlink ref="J44" r:id="rId101" xr:uid="{6F423483-C6CD-4199-8B4B-C4AB145A6C72}"/>
    <hyperlink ref="J47" r:id="rId102" xr:uid="{9039E247-9F4B-4597-96A1-2B2956F4CB79}"/>
    <hyperlink ref="J45:J50" r:id="rId103" display="SHEET" xr:uid="{05106A09-4CF1-4308-8580-479E8CA198A9}"/>
    <hyperlink ref="J53" r:id="rId104" xr:uid="{BA8E615A-EDDE-4AB0-ABA6-A0FF9E7209A7}"/>
    <hyperlink ref="J52" r:id="rId105" xr:uid="{A77F5661-93FA-437B-80DF-8DCCA75536A7}"/>
    <hyperlink ref="J65" r:id="rId106" xr:uid="{C657BAD5-2CE6-4A88-9891-C96087CFB95E}"/>
    <hyperlink ref="J64" r:id="rId107" xr:uid="{23AF9E07-B170-4B83-9101-72CB53CBD4F1}"/>
    <hyperlink ref="J67" r:id="rId108" xr:uid="{B90F2485-FB0E-4525-A01D-CF17E53F150B}"/>
    <hyperlink ref="J69" r:id="rId109" xr:uid="{32CCCB3E-B608-4A16-8351-345A660C78AE}"/>
    <hyperlink ref="J68" r:id="rId110" xr:uid="{4BDF0A84-8724-48EF-B14C-46311BB2343C}"/>
    <hyperlink ref="I66" r:id="rId111" xr:uid="{289E475F-F67D-48D6-B9B2-648BCD1C9C09}"/>
    <hyperlink ref="J66" r:id="rId112" xr:uid="{F6C58053-348D-4DD7-8CA9-2AE26EC308F7}"/>
    <hyperlink ref="J70" r:id="rId113" xr:uid="{E0986AD1-AA78-440C-B92A-5C0AE6C2F672}"/>
    <hyperlink ref="J71" r:id="rId114" xr:uid="{FE4E0422-DF72-486F-AC7D-09C05871AAE2}"/>
    <hyperlink ref="J72" r:id="rId115" xr:uid="{B1C57460-FBEE-4019-9B15-08685AB1256C}"/>
    <hyperlink ref="J73" r:id="rId116" xr:uid="{1DC0D879-0786-4B6A-ABAD-2936CAC93D21}"/>
    <hyperlink ref="J74" r:id="rId117" xr:uid="{2AB23680-8D1B-457C-B8AC-343BCD59AE7C}"/>
    <hyperlink ref="J75" r:id="rId118" xr:uid="{E5202C0F-0865-4C3D-A13F-978F974FE54C}"/>
    <hyperlink ref="J76" r:id="rId119" xr:uid="{A33A0FA8-3A1E-46A1-A190-F083AED7B69E}"/>
    <hyperlink ref="J79" r:id="rId120" xr:uid="{07885203-C4FE-4677-B86C-BFD00AC6FE13}"/>
    <hyperlink ref="J77:J82" r:id="rId121" display="SHEET" xr:uid="{2EFA13C5-82E9-4554-9F10-9C6DCB67A387}"/>
    <hyperlink ref="J84" r:id="rId122" xr:uid="{4C2F9F68-EC71-42C5-A410-3F6DAEBB2F74}"/>
    <hyperlink ref="J84:J89" r:id="rId123" display="SHEET" xr:uid="{239B4E0F-7164-405E-A2B9-4E5742E22D24}"/>
    <hyperlink ref="J106" r:id="rId124" xr:uid="{F37FA097-0582-4ED1-A550-FDA7D657D575}"/>
    <hyperlink ref="J5" r:id="rId125" xr:uid="{0D2E3584-D65E-44F7-8344-75695CCF2FA3}"/>
    <hyperlink ref="J96" r:id="rId126" xr:uid="{9CE44205-4065-4220-9E63-1907F5953578}"/>
    <hyperlink ref="J95" r:id="rId127" xr:uid="{961F7E66-6B99-4B68-8B6A-6F18712EB152}"/>
    <hyperlink ref="J101" r:id="rId128" xr:uid="{B1B5FA47-8F94-4E46-BFD6-973809EA8B30}"/>
    <hyperlink ref="J103" r:id="rId129" xr:uid="{567F7336-5C09-4482-A782-96F54208D30A}"/>
    <hyperlink ref="J97" r:id="rId130" xr:uid="{1FB79940-14E9-4B1E-A175-3A33390D0E30}"/>
    <hyperlink ref="J57" r:id="rId131" xr:uid="{E90237E5-FBDF-4DB7-98FC-8D4D32D53B9D}"/>
    <hyperlink ref="J40" r:id="rId132" xr:uid="{23D731E6-4020-4401-9F05-8059E490F899}"/>
    <hyperlink ref="J39" r:id="rId133" xr:uid="{6976E3B0-681C-46A7-A107-E979BA7BF703}"/>
    <hyperlink ref="J4" r:id="rId134" xr:uid="{2DD7B9C9-66B5-484F-A160-0A0C3030A269}"/>
    <hyperlink ref="I118" r:id="rId135" xr:uid="{8C997E38-2663-4603-84C9-E0CC1D771E4F}"/>
    <hyperlink ref="I6" r:id="rId136" xr:uid="{B1B56558-53C3-455C-BE81-910D9388D2B3}"/>
    <hyperlink ref="I12" r:id="rId137" xr:uid="{F774B8AA-AC87-4E84-AB50-A05FB67B22C2}"/>
    <hyperlink ref="I14" r:id="rId138" xr:uid="{8299276D-9F47-4A9C-8568-BC12018DE94A}"/>
    <hyperlink ref="J12" r:id="rId139" xr:uid="{A0187E24-9C5E-4D90-8742-7E282EECB922}"/>
    <hyperlink ref="J14" r:id="rId140" xr:uid="{1FFFDB62-F0C1-45F9-AE70-8C4BE762C4C6}"/>
    <hyperlink ref="J104" r:id="rId141" xr:uid="{BD841ED3-E7FF-444B-943D-FD3CAA575F79}"/>
    <hyperlink ref="I17" r:id="rId142" xr:uid="{F452E168-A16D-46B9-97A9-C308511D4305}"/>
    <hyperlink ref="I4" r:id="rId143" xr:uid="{FFE52EE3-BF94-4C6F-A8B1-B3A91FA475AD}"/>
    <hyperlink ref="J27" r:id="rId144" xr:uid="{3B87CB9B-38CF-47BC-A9C8-4D347F9F12AC}"/>
    <hyperlink ref="J63" r:id="rId145" xr:uid="{7DF32031-D680-4E0B-95E4-F92DBC34D39A}"/>
    <hyperlink ref="I94" r:id="rId146" xr:uid="{5E06A23C-88D0-44B1-8737-63A16276014F}"/>
    <hyperlink ref="J94" r:id="rId147" xr:uid="{C5B6ACF6-612A-41A7-850C-8419F5EE600E}"/>
    <hyperlink ref="I91" r:id="rId148" xr:uid="{838FF468-C05E-4EE5-8C9E-B4E9A2A45415}"/>
    <hyperlink ref="I13" r:id="rId149" display="SHEET" xr:uid="{927658FD-07A5-46C9-B11D-8DFC7F211BF9}"/>
    <hyperlink ref="J89" r:id="rId150" xr:uid="{C76CC4BD-D7E6-414E-B46E-43952183AD4C}"/>
  </hyperlinks>
  <pageMargins left="0.7" right="0.7" top="0.75" bottom="0.75" header="0.3" footer="0.3"/>
  <pageSetup orientation="portrait" r:id="rId151"/>
  <legacyDrawing r:id="rId15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D08C-3A56-4694-95F0-9235D2BD4932}">
  <sheetPr published="0">
    <tabColor theme="4" tint="-0.249977111117893"/>
  </sheetPr>
  <dimension ref="A1:T115"/>
  <sheetViews>
    <sheetView zoomScale="85" zoomScaleNormal="85" workbookViewId="0">
      <pane xSplit="2" ySplit="2" topLeftCell="C3" activePane="bottomRight" state="frozenSplit"/>
      <selection pane="topRight" activeCell="D1" sqref="D1"/>
      <selection pane="bottomLeft" activeCell="A15" sqref="A15"/>
      <selection pane="bottomRight" activeCell="A2" sqref="A2"/>
    </sheetView>
  </sheetViews>
  <sheetFormatPr defaultColWidth="67.7109375" defaultRowHeight="15"/>
  <cols>
    <col min="1" max="1" width="22.5703125" style="2" customWidth="1"/>
    <col min="2" max="2" width="78.140625" style="2" customWidth="1"/>
    <col min="3" max="3" width="94.140625" style="2" bestFit="1" customWidth="1"/>
    <col min="4" max="4" width="104.42578125" style="2" bestFit="1" customWidth="1"/>
    <col min="5" max="8" width="6.28515625" style="2" bestFit="1" customWidth="1"/>
    <col min="9" max="9" width="6.7109375" style="2" bestFit="1" customWidth="1"/>
    <col min="10" max="10" width="6.28515625" style="2" bestFit="1" customWidth="1"/>
    <col min="11" max="11" width="8.7109375" style="11" bestFit="1" customWidth="1"/>
    <col min="12" max="12" width="6.28515625" style="18" bestFit="1" customWidth="1"/>
    <col min="13" max="13" width="5.5703125" style="18" customWidth="1"/>
    <col min="14" max="14" width="12.7109375" style="2" bestFit="1" customWidth="1"/>
    <col min="15" max="15" width="11.42578125" style="2" customWidth="1"/>
    <col min="16" max="16" width="11.28515625" style="2" bestFit="1" customWidth="1"/>
    <col min="17" max="17" width="8.42578125" style="11" bestFit="1" customWidth="1"/>
    <col min="18" max="18" width="9.85546875" style="2" bestFit="1" customWidth="1"/>
    <col min="19" max="19" width="11.28515625" style="2" bestFit="1" customWidth="1"/>
    <col min="20" max="20" width="5.7109375" style="2" customWidth="1"/>
    <col min="21" max="32" width="6.5703125" style="2" customWidth="1"/>
    <col min="33" max="16384" width="67.7109375" style="2"/>
  </cols>
  <sheetData>
    <row r="1" spans="1:20" ht="45">
      <c r="A1" s="346" t="s">
        <v>2101</v>
      </c>
      <c r="B1" s="347"/>
      <c r="C1" s="347"/>
      <c r="D1" s="357" t="s">
        <v>167</v>
      </c>
      <c r="E1" s="357"/>
      <c r="F1" s="357"/>
      <c r="G1" s="357"/>
      <c r="H1" s="357"/>
      <c r="I1" s="357"/>
      <c r="J1" s="357"/>
      <c r="K1" s="357"/>
      <c r="L1" s="357"/>
      <c r="M1" s="357"/>
      <c r="N1" s="136">
        <v>125</v>
      </c>
      <c r="O1" s="1"/>
      <c r="P1" s="1"/>
      <c r="Q1" s="229"/>
      <c r="R1" s="349" t="s">
        <v>213</v>
      </c>
      <c r="S1" s="350"/>
    </row>
    <row r="2" spans="1:20" ht="47.25">
      <c r="A2" s="131" t="s">
        <v>140</v>
      </c>
      <c r="B2" s="131" t="s">
        <v>141</v>
      </c>
      <c r="C2" s="131" t="s">
        <v>142</v>
      </c>
      <c r="D2" s="131" t="s">
        <v>143</v>
      </c>
      <c r="E2" s="131" t="s">
        <v>1766</v>
      </c>
      <c r="F2" s="131" t="s">
        <v>456</v>
      </c>
      <c r="G2" s="131" t="s">
        <v>457</v>
      </c>
      <c r="H2" s="131" t="s">
        <v>458</v>
      </c>
      <c r="I2" s="131" t="s">
        <v>1765</v>
      </c>
      <c r="J2" s="131" t="s">
        <v>460</v>
      </c>
      <c r="K2" s="10" t="s">
        <v>768</v>
      </c>
      <c r="L2" s="355" t="s">
        <v>1685</v>
      </c>
      <c r="M2" s="356"/>
      <c r="N2" s="10" t="s">
        <v>144</v>
      </c>
      <c r="O2" s="132" t="s">
        <v>145</v>
      </c>
      <c r="P2" s="132" t="s">
        <v>146</v>
      </c>
      <c r="Q2" s="131" t="s">
        <v>147</v>
      </c>
      <c r="R2" s="132" t="s">
        <v>148</v>
      </c>
      <c r="S2" s="132" t="s">
        <v>149</v>
      </c>
    </row>
    <row r="3" spans="1:20" ht="14.25">
      <c r="A3" s="221" t="s">
        <v>869</v>
      </c>
      <c r="B3" s="156" t="s">
        <v>1010</v>
      </c>
      <c r="C3" s="244" t="s">
        <v>1040</v>
      </c>
      <c r="D3" s="149" t="s">
        <v>2038</v>
      </c>
      <c r="E3" s="147" t="s">
        <v>454</v>
      </c>
      <c r="F3" s="147" t="s">
        <v>454</v>
      </c>
      <c r="G3" s="147" t="s">
        <v>454</v>
      </c>
      <c r="H3" s="147" t="s">
        <v>454</v>
      </c>
      <c r="I3" s="147" t="s">
        <v>454</v>
      </c>
      <c r="J3" s="147" t="s">
        <v>454</v>
      </c>
      <c r="K3" s="148" t="s">
        <v>768</v>
      </c>
      <c r="L3" s="178" t="s">
        <v>1684</v>
      </c>
      <c r="M3" s="251"/>
      <c r="N3" s="189" t="s">
        <v>16</v>
      </c>
      <c r="O3" s="252">
        <v>250</v>
      </c>
      <c r="P3" s="252">
        <v>399.95</v>
      </c>
      <c r="Q3" s="179">
        <v>1</v>
      </c>
      <c r="R3" s="252">
        <f t="shared" ref="R3:R66" si="0">$N$1</f>
        <v>125</v>
      </c>
      <c r="S3" s="253">
        <f t="shared" ref="S3:S31" si="1">Q3*R3+P3</f>
        <v>524.95000000000005</v>
      </c>
    </row>
    <row r="4" spans="1:20" ht="14.25">
      <c r="A4" s="221" t="s">
        <v>871</v>
      </c>
      <c r="B4" s="156" t="s">
        <v>1009</v>
      </c>
      <c r="C4" s="244" t="s">
        <v>874</v>
      </c>
      <c r="D4" s="149" t="s">
        <v>1843</v>
      </c>
      <c r="E4" s="147" t="s">
        <v>454</v>
      </c>
      <c r="F4" s="147" t="s">
        <v>454</v>
      </c>
      <c r="G4" s="147" t="s">
        <v>454</v>
      </c>
      <c r="H4" s="147" t="s">
        <v>454</v>
      </c>
      <c r="I4" s="147" t="s">
        <v>454</v>
      </c>
      <c r="J4" s="147" t="s">
        <v>454</v>
      </c>
      <c r="K4" s="148" t="s">
        <v>768</v>
      </c>
      <c r="L4" s="178"/>
      <c r="M4" s="251"/>
      <c r="N4" s="189" t="s">
        <v>59</v>
      </c>
      <c r="O4" s="252">
        <v>1750</v>
      </c>
      <c r="P4" s="252">
        <v>2295.9499999999998</v>
      </c>
      <c r="Q4" s="179">
        <v>1.5</v>
      </c>
      <c r="R4" s="252">
        <f t="shared" si="0"/>
        <v>125</v>
      </c>
      <c r="S4" s="253">
        <f t="shared" si="1"/>
        <v>2483.4499999999998</v>
      </c>
    </row>
    <row r="5" spans="1:20" ht="14.25">
      <c r="A5" s="221" t="s">
        <v>792</v>
      </c>
      <c r="B5" s="156" t="s">
        <v>2039</v>
      </c>
      <c r="C5" s="244" t="s">
        <v>2040</v>
      </c>
      <c r="D5" s="149" t="s">
        <v>2041</v>
      </c>
      <c r="E5" s="147" t="s">
        <v>454</v>
      </c>
      <c r="F5" s="147" t="s">
        <v>454</v>
      </c>
      <c r="G5" s="147" t="s">
        <v>454</v>
      </c>
      <c r="H5" s="147" t="s">
        <v>454</v>
      </c>
      <c r="I5" s="147" t="s">
        <v>454</v>
      </c>
      <c r="J5" s="147" t="s">
        <v>454</v>
      </c>
      <c r="K5" s="148" t="s">
        <v>768</v>
      </c>
      <c r="L5" s="178"/>
      <c r="M5" s="251"/>
      <c r="N5" s="189" t="s">
        <v>0</v>
      </c>
      <c r="O5" s="252">
        <v>127.17</v>
      </c>
      <c r="P5" s="252">
        <v>211.95</v>
      </c>
      <c r="Q5" s="179">
        <v>0</v>
      </c>
      <c r="R5" s="252">
        <f t="shared" si="0"/>
        <v>125</v>
      </c>
      <c r="S5" s="253">
        <f t="shared" si="1"/>
        <v>211.95</v>
      </c>
    </row>
    <row r="6" spans="1:20" ht="14.25">
      <c r="A6" s="221" t="s">
        <v>68</v>
      </c>
      <c r="B6" s="156" t="s">
        <v>69</v>
      </c>
      <c r="C6" s="244" t="s">
        <v>106</v>
      </c>
      <c r="D6" s="149"/>
      <c r="E6" s="147" t="s">
        <v>454</v>
      </c>
      <c r="F6" s="147" t="s">
        <v>454</v>
      </c>
      <c r="G6" s="147" t="s">
        <v>454</v>
      </c>
      <c r="H6" s="147" t="s">
        <v>454</v>
      </c>
      <c r="I6" s="147" t="s">
        <v>454</v>
      </c>
      <c r="J6" s="147" t="s">
        <v>454</v>
      </c>
      <c r="K6" s="148" t="s">
        <v>768</v>
      </c>
      <c r="L6" s="178" t="s">
        <v>1684</v>
      </c>
      <c r="M6" s="251"/>
      <c r="N6" s="189" t="s">
        <v>10</v>
      </c>
      <c r="O6" s="252">
        <v>180.67</v>
      </c>
      <c r="P6" s="252">
        <v>277.95</v>
      </c>
      <c r="Q6" s="179">
        <v>0.4</v>
      </c>
      <c r="R6" s="252">
        <f t="shared" si="0"/>
        <v>125</v>
      </c>
      <c r="S6" s="253">
        <f t="shared" si="1"/>
        <v>327.95</v>
      </c>
    </row>
    <row r="7" spans="1:20" s="8" customFormat="1" ht="14.25">
      <c r="A7" s="221" t="s">
        <v>115</v>
      </c>
      <c r="B7" s="156" t="s">
        <v>817</v>
      </c>
      <c r="C7" s="244" t="s">
        <v>203</v>
      </c>
      <c r="D7" s="149"/>
      <c r="E7" s="147" t="s">
        <v>454</v>
      </c>
      <c r="F7" s="147" t="s">
        <v>454</v>
      </c>
      <c r="G7" s="147" t="s">
        <v>454</v>
      </c>
      <c r="H7" s="147" t="s">
        <v>454</v>
      </c>
      <c r="I7" s="147" t="s">
        <v>454</v>
      </c>
      <c r="J7" s="147" t="s">
        <v>454</v>
      </c>
      <c r="K7" s="148"/>
      <c r="L7" s="178"/>
      <c r="M7" s="251"/>
      <c r="N7" s="189" t="s">
        <v>10</v>
      </c>
      <c r="O7" s="252">
        <v>15.57</v>
      </c>
      <c r="P7" s="252">
        <v>25.95</v>
      </c>
      <c r="Q7" s="179">
        <v>0</v>
      </c>
      <c r="R7" s="252">
        <f t="shared" si="0"/>
        <v>125</v>
      </c>
      <c r="S7" s="253">
        <f t="shared" si="1"/>
        <v>25.95</v>
      </c>
      <c r="T7" s="2"/>
    </row>
    <row r="8" spans="1:20">
      <c r="A8" s="221" t="s">
        <v>276</v>
      </c>
      <c r="B8" s="156" t="s">
        <v>277</v>
      </c>
      <c r="C8" s="244" t="s">
        <v>278</v>
      </c>
      <c r="D8" s="149"/>
      <c r="E8" s="147" t="s">
        <v>454</v>
      </c>
      <c r="F8" s="147" t="s">
        <v>454</v>
      </c>
      <c r="G8" s="147" t="s">
        <v>454</v>
      </c>
      <c r="H8" s="147" t="s">
        <v>454</v>
      </c>
      <c r="I8" s="147" t="s">
        <v>454</v>
      </c>
      <c r="J8" s="147" t="s">
        <v>454</v>
      </c>
      <c r="K8" s="137" t="s">
        <v>768</v>
      </c>
      <c r="L8" s="178" t="s">
        <v>1684</v>
      </c>
      <c r="M8" s="251"/>
      <c r="N8" s="189" t="s">
        <v>10</v>
      </c>
      <c r="O8" s="252">
        <v>108.57</v>
      </c>
      <c r="P8" s="252">
        <v>180.95</v>
      </c>
      <c r="Q8" s="179">
        <v>0.2</v>
      </c>
      <c r="R8" s="252">
        <f t="shared" si="0"/>
        <v>125</v>
      </c>
      <c r="S8" s="253">
        <f t="shared" si="1"/>
        <v>205.95</v>
      </c>
    </row>
    <row r="9" spans="1:20" ht="14.25">
      <c r="A9" s="221" t="s">
        <v>1</v>
      </c>
      <c r="B9" s="156" t="s">
        <v>24</v>
      </c>
      <c r="C9" s="244" t="s">
        <v>85</v>
      </c>
      <c r="D9" s="149" t="s">
        <v>410</v>
      </c>
      <c r="E9" s="147" t="s">
        <v>454</v>
      </c>
      <c r="F9" s="147" t="s">
        <v>454</v>
      </c>
      <c r="G9" s="147" t="s">
        <v>454</v>
      </c>
      <c r="H9" s="147" t="s">
        <v>454</v>
      </c>
      <c r="I9" s="147" t="s">
        <v>454</v>
      </c>
      <c r="J9" s="147" t="s">
        <v>454</v>
      </c>
      <c r="K9" s="148" t="s">
        <v>768</v>
      </c>
      <c r="L9" s="178" t="s">
        <v>1684</v>
      </c>
      <c r="M9" s="251"/>
      <c r="N9" s="189" t="s">
        <v>0</v>
      </c>
      <c r="O9" s="252">
        <v>26.37</v>
      </c>
      <c r="P9" s="252">
        <v>43.95</v>
      </c>
      <c r="Q9" s="179">
        <v>0</v>
      </c>
      <c r="R9" s="252">
        <f t="shared" si="0"/>
        <v>125</v>
      </c>
      <c r="S9" s="253">
        <f t="shared" si="1"/>
        <v>43.95</v>
      </c>
    </row>
    <row r="10" spans="1:20" ht="14.25">
      <c r="A10" s="221" t="s">
        <v>1611</v>
      </c>
      <c r="B10" s="156" t="s">
        <v>1613</v>
      </c>
      <c r="C10" s="244" t="s">
        <v>968</v>
      </c>
      <c r="D10" s="149" t="s">
        <v>1616</v>
      </c>
      <c r="E10" s="147" t="s">
        <v>454</v>
      </c>
      <c r="F10" s="147" t="s">
        <v>454</v>
      </c>
      <c r="G10" s="147" t="s">
        <v>454</v>
      </c>
      <c r="H10" s="147" t="s">
        <v>454</v>
      </c>
      <c r="I10" s="147" t="s">
        <v>454</v>
      </c>
      <c r="J10" s="147" t="s">
        <v>454</v>
      </c>
      <c r="K10" s="148"/>
      <c r="L10" s="178"/>
      <c r="M10" s="251"/>
      <c r="N10" s="189" t="s">
        <v>10</v>
      </c>
      <c r="O10" s="252">
        <v>278.94</v>
      </c>
      <c r="P10" s="252">
        <v>465.95</v>
      </c>
      <c r="Q10" s="179">
        <v>0.4</v>
      </c>
      <c r="R10" s="252">
        <f t="shared" si="0"/>
        <v>125</v>
      </c>
      <c r="S10" s="253">
        <f t="shared" si="1"/>
        <v>515.95000000000005</v>
      </c>
    </row>
    <row r="11" spans="1:20" ht="14.25">
      <c r="A11" s="221" t="s">
        <v>717</v>
      </c>
      <c r="B11" s="156" t="s">
        <v>1614</v>
      </c>
      <c r="C11" s="244" t="s">
        <v>882</v>
      </c>
      <c r="D11" s="149" t="s">
        <v>1617</v>
      </c>
      <c r="E11" s="147" t="s">
        <v>454</v>
      </c>
      <c r="F11" s="147" t="s">
        <v>454</v>
      </c>
      <c r="G11" s="147" t="s">
        <v>454</v>
      </c>
      <c r="H11" s="147" t="s">
        <v>454</v>
      </c>
      <c r="I11" s="147" t="s">
        <v>454</v>
      </c>
      <c r="J11" s="147" t="s">
        <v>454</v>
      </c>
      <c r="K11" s="148" t="s">
        <v>768</v>
      </c>
      <c r="L11" s="178"/>
      <c r="M11" s="251"/>
      <c r="N11" s="189" t="s">
        <v>10</v>
      </c>
      <c r="O11" s="252">
        <v>117</v>
      </c>
      <c r="P11" s="252">
        <v>195.95</v>
      </c>
      <c r="Q11" s="179">
        <v>0.4</v>
      </c>
      <c r="R11" s="252">
        <f t="shared" si="0"/>
        <v>125</v>
      </c>
      <c r="S11" s="253">
        <f t="shared" si="1"/>
        <v>245.95</v>
      </c>
    </row>
    <row r="12" spans="1:20" ht="14.25">
      <c r="A12" s="221" t="s">
        <v>271</v>
      </c>
      <c r="B12" s="156" t="s">
        <v>272</v>
      </c>
      <c r="C12" s="244" t="s">
        <v>273</v>
      </c>
      <c r="D12" s="149"/>
      <c r="E12" s="147" t="s">
        <v>454</v>
      </c>
      <c r="F12" s="147" t="s">
        <v>454</v>
      </c>
      <c r="G12" s="147" t="s">
        <v>454</v>
      </c>
      <c r="H12" s="147" t="s">
        <v>454</v>
      </c>
      <c r="I12" s="147" t="s">
        <v>454</v>
      </c>
      <c r="J12" s="147" t="s">
        <v>454</v>
      </c>
      <c r="K12" s="148" t="s">
        <v>768</v>
      </c>
      <c r="L12" s="178" t="s">
        <v>1684</v>
      </c>
      <c r="M12" s="251"/>
      <c r="N12" s="189" t="s">
        <v>10</v>
      </c>
      <c r="O12" s="252">
        <v>172.77</v>
      </c>
      <c r="P12" s="252">
        <v>287.95</v>
      </c>
      <c r="Q12" s="179">
        <v>0.2</v>
      </c>
      <c r="R12" s="252">
        <f t="shared" si="0"/>
        <v>125</v>
      </c>
      <c r="S12" s="253">
        <f t="shared" si="1"/>
        <v>312.95</v>
      </c>
    </row>
    <row r="13" spans="1:20" ht="14.25">
      <c r="A13" s="221" t="s">
        <v>267</v>
      </c>
      <c r="B13" s="156" t="s">
        <v>268</v>
      </c>
      <c r="C13" s="244" t="s">
        <v>327</v>
      </c>
      <c r="D13" s="149"/>
      <c r="E13" s="147" t="s">
        <v>454</v>
      </c>
      <c r="F13" s="147" t="s">
        <v>454</v>
      </c>
      <c r="G13" s="147" t="s">
        <v>454</v>
      </c>
      <c r="H13" s="147" t="s">
        <v>454</v>
      </c>
      <c r="I13" s="147" t="s">
        <v>454</v>
      </c>
      <c r="J13" s="147" t="s">
        <v>454</v>
      </c>
      <c r="K13" s="148" t="s">
        <v>768</v>
      </c>
      <c r="L13" s="178" t="s">
        <v>1684</v>
      </c>
      <c r="M13" s="251"/>
      <c r="N13" s="189" t="s">
        <v>10</v>
      </c>
      <c r="O13" s="252">
        <v>562.16</v>
      </c>
      <c r="P13" s="252">
        <v>936.95</v>
      </c>
      <c r="Q13" s="179">
        <v>0.6</v>
      </c>
      <c r="R13" s="252">
        <f t="shared" si="0"/>
        <v>125</v>
      </c>
      <c r="S13" s="253">
        <f t="shared" si="1"/>
        <v>1011.95</v>
      </c>
    </row>
    <row r="14" spans="1:20" ht="14.25">
      <c r="A14" s="221" t="s">
        <v>1595</v>
      </c>
      <c r="B14" s="156" t="s">
        <v>1628</v>
      </c>
      <c r="C14" s="244" t="s">
        <v>363</v>
      </c>
      <c r="D14" s="149" t="s">
        <v>1673</v>
      </c>
      <c r="E14" s="147" t="s">
        <v>454</v>
      </c>
      <c r="F14" s="147" t="s">
        <v>454</v>
      </c>
      <c r="G14" s="147" t="s">
        <v>454</v>
      </c>
      <c r="H14" s="147" t="s">
        <v>454</v>
      </c>
      <c r="I14" s="147" t="s">
        <v>454</v>
      </c>
      <c r="J14" s="147" t="s">
        <v>454</v>
      </c>
      <c r="K14" s="148" t="s">
        <v>768</v>
      </c>
      <c r="L14" s="178" t="s">
        <v>1684</v>
      </c>
      <c r="M14" s="251"/>
      <c r="N14" s="189" t="s">
        <v>16</v>
      </c>
      <c r="O14" s="252">
        <v>129.35</v>
      </c>
      <c r="P14" s="252">
        <v>183.95</v>
      </c>
      <c r="Q14" s="179">
        <v>0</v>
      </c>
      <c r="R14" s="252">
        <f t="shared" si="0"/>
        <v>125</v>
      </c>
      <c r="S14" s="253">
        <f t="shared" si="1"/>
        <v>183.95</v>
      </c>
    </row>
    <row r="15" spans="1:20" ht="14.25">
      <c r="A15" s="221" t="s">
        <v>60</v>
      </c>
      <c r="B15" s="156" t="s">
        <v>793</v>
      </c>
      <c r="C15" s="244" t="s">
        <v>101</v>
      </c>
      <c r="D15" s="149"/>
      <c r="E15" s="147" t="s">
        <v>454</v>
      </c>
      <c r="F15" s="147" t="s">
        <v>454</v>
      </c>
      <c r="G15" s="147" t="s">
        <v>454</v>
      </c>
      <c r="H15" s="147" t="s">
        <v>454</v>
      </c>
      <c r="I15" s="147" t="s">
        <v>454</v>
      </c>
      <c r="J15" s="147" t="s">
        <v>454</v>
      </c>
      <c r="K15" s="148" t="s">
        <v>768</v>
      </c>
      <c r="L15" s="178"/>
      <c r="M15" s="251"/>
      <c r="N15" s="189" t="s">
        <v>16</v>
      </c>
      <c r="O15" s="252">
        <v>98.85</v>
      </c>
      <c r="P15" s="252">
        <v>164.95</v>
      </c>
      <c r="Q15" s="179">
        <v>0</v>
      </c>
      <c r="R15" s="252">
        <f t="shared" si="0"/>
        <v>125</v>
      </c>
      <c r="S15" s="253">
        <f t="shared" si="1"/>
        <v>164.95</v>
      </c>
    </row>
    <row r="16" spans="1:20" ht="14.25">
      <c r="A16" s="221" t="s">
        <v>62</v>
      </c>
      <c r="B16" s="156" t="s">
        <v>2042</v>
      </c>
      <c r="C16" s="244" t="s">
        <v>2043</v>
      </c>
      <c r="D16" s="149"/>
      <c r="E16" s="147" t="s">
        <v>454</v>
      </c>
      <c r="F16" s="147" t="s">
        <v>454</v>
      </c>
      <c r="G16" s="147" t="s">
        <v>454</v>
      </c>
      <c r="H16" s="147" t="s">
        <v>454</v>
      </c>
      <c r="I16" s="147" t="s">
        <v>454</v>
      </c>
      <c r="J16" s="147" t="s">
        <v>454</v>
      </c>
      <c r="K16" s="148" t="s">
        <v>768</v>
      </c>
      <c r="L16" s="178" t="s">
        <v>1684</v>
      </c>
      <c r="M16" s="251"/>
      <c r="N16" s="189" t="s">
        <v>16</v>
      </c>
      <c r="O16" s="252">
        <v>39.61</v>
      </c>
      <c r="P16" s="252">
        <v>60.95</v>
      </c>
      <c r="Q16" s="179">
        <v>0.1</v>
      </c>
      <c r="R16" s="252">
        <f t="shared" si="0"/>
        <v>125</v>
      </c>
      <c r="S16" s="253">
        <f t="shared" si="1"/>
        <v>73.45</v>
      </c>
    </row>
    <row r="17" spans="1:20" ht="14.25">
      <c r="A17" s="221" t="s">
        <v>63</v>
      </c>
      <c r="B17" s="156" t="s">
        <v>923</v>
      </c>
      <c r="C17" s="244" t="s">
        <v>103</v>
      </c>
      <c r="D17" s="149"/>
      <c r="E17" s="147" t="s">
        <v>454</v>
      </c>
      <c r="F17" s="147" t="s">
        <v>454</v>
      </c>
      <c r="G17" s="147" t="s">
        <v>454</v>
      </c>
      <c r="H17" s="147" t="s">
        <v>454</v>
      </c>
      <c r="I17" s="147" t="s">
        <v>454</v>
      </c>
      <c r="J17" s="147" t="s">
        <v>454</v>
      </c>
      <c r="K17" s="148" t="s">
        <v>768</v>
      </c>
      <c r="L17" s="178" t="s">
        <v>1684</v>
      </c>
      <c r="M17" s="251"/>
      <c r="N17" s="189" t="s">
        <v>16</v>
      </c>
      <c r="O17" s="252">
        <v>34.42</v>
      </c>
      <c r="P17" s="252">
        <v>52.95</v>
      </c>
      <c r="Q17" s="179">
        <v>0</v>
      </c>
      <c r="R17" s="252">
        <f t="shared" si="0"/>
        <v>125</v>
      </c>
      <c r="S17" s="253">
        <f t="shared" si="1"/>
        <v>52.95</v>
      </c>
    </row>
    <row r="18" spans="1:20" ht="14.25">
      <c r="A18" s="221" t="s">
        <v>274</v>
      </c>
      <c r="B18" s="156" t="s">
        <v>275</v>
      </c>
      <c r="C18" s="244" t="s">
        <v>2179</v>
      </c>
      <c r="D18" s="149"/>
      <c r="E18" s="147" t="s">
        <v>454</v>
      </c>
      <c r="F18" s="147" t="s">
        <v>454</v>
      </c>
      <c r="G18" s="147" t="s">
        <v>454</v>
      </c>
      <c r="H18" s="147" t="s">
        <v>454</v>
      </c>
      <c r="I18" s="147" t="s">
        <v>454</v>
      </c>
      <c r="J18" s="147" t="s">
        <v>454</v>
      </c>
      <c r="K18" s="148" t="s">
        <v>768</v>
      </c>
      <c r="L18" s="178" t="s">
        <v>1684</v>
      </c>
      <c r="M18" s="251"/>
      <c r="N18" s="189" t="s">
        <v>10</v>
      </c>
      <c r="O18" s="252">
        <v>212.37</v>
      </c>
      <c r="P18" s="252">
        <v>353.95</v>
      </c>
      <c r="Q18" s="179">
        <v>0.6</v>
      </c>
      <c r="R18" s="252">
        <f t="shared" si="0"/>
        <v>125</v>
      </c>
      <c r="S18" s="253">
        <f t="shared" si="1"/>
        <v>428.95</v>
      </c>
    </row>
    <row r="19" spans="1:20" s="200" customFormat="1" ht="14.25">
      <c r="A19" s="221" t="s">
        <v>15</v>
      </c>
      <c r="B19" s="156" t="s">
        <v>32</v>
      </c>
      <c r="C19" s="244" t="s">
        <v>89</v>
      </c>
      <c r="D19" s="149"/>
      <c r="E19" s="147" t="s">
        <v>454</v>
      </c>
      <c r="F19" s="147" t="s">
        <v>454</v>
      </c>
      <c r="G19" s="147" t="s">
        <v>454</v>
      </c>
      <c r="H19" s="147" t="s">
        <v>454</v>
      </c>
      <c r="I19" s="147" t="s">
        <v>454</v>
      </c>
      <c r="J19" s="147" t="s">
        <v>454</v>
      </c>
      <c r="K19" s="148" t="s">
        <v>768</v>
      </c>
      <c r="L19" s="178"/>
      <c r="M19" s="251"/>
      <c r="N19" s="189" t="s">
        <v>0</v>
      </c>
      <c r="O19" s="252">
        <v>32.97</v>
      </c>
      <c r="P19" s="252">
        <v>54.95</v>
      </c>
      <c r="Q19" s="179">
        <v>0</v>
      </c>
      <c r="R19" s="252">
        <f t="shared" si="0"/>
        <v>125</v>
      </c>
      <c r="S19" s="253">
        <f t="shared" si="1"/>
        <v>54.95</v>
      </c>
      <c r="T19" s="2"/>
    </row>
    <row r="20" spans="1:20" s="200" customFormat="1" ht="14.25">
      <c r="A20" s="221" t="s">
        <v>1758</v>
      </c>
      <c r="B20" s="156" t="s">
        <v>1755</v>
      </c>
      <c r="C20" s="156" t="s">
        <v>2199</v>
      </c>
      <c r="D20" s="149" t="s">
        <v>1759</v>
      </c>
      <c r="E20" s="147" t="s">
        <v>454</v>
      </c>
      <c r="F20" s="147" t="s">
        <v>454</v>
      </c>
      <c r="G20" s="147" t="s">
        <v>454</v>
      </c>
      <c r="H20" s="147" t="s">
        <v>454</v>
      </c>
      <c r="I20" s="147" t="s">
        <v>454</v>
      </c>
      <c r="J20" s="147" t="s">
        <v>454</v>
      </c>
      <c r="K20" s="148" t="s">
        <v>768</v>
      </c>
      <c r="L20" s="178" t="s">
        <v>1684</v>
      </c>
      <c r="M20" s="251"/>
      <c r="N20" s="189" t="s">
        <v>59</v>
      </c>
      <c r="O20" s="252">
        <v>225</v>
      </c>
      <c r="P20" s="252">
        <v>319.95</v>
      </c>
      <c r="Q20" s="179">
        <v>0.7</v>
      </c>
      <c r="R20" s="252">
        <f t="shared" si="0"/>
        <v>125</v>
      </c>
      <c r="S20" s="253">
        <f t="shared" si="1"/>
        <v>407.45</v>
      </c>
      <c r="T20" s="2"/>
    </row>
    <row r="21" spans="1:20" s="200" customFormat="1" ht="14.25">
      <c r="A21" s="170" t="s">
        <v>2187</v>
      </c>
      <c r="B21" s="171" t="s">
        <v>2213</v>
      </c>
      <c r="C21" s="209" t="s">
        <v>2201</v>
      </c>
      <c r="D21" s="182" t="s">
        <v>2188</v>
      </c>
      <c r="E21" s="180" t="s">
        <v>454</v>
      </c>
      <c r="F21" s="180" t="s">
        <v>454</v>
      </c>
      <c r="G21" s="180" t="s">
        <v>454</v>
      </c>
      <c r="H21" s="180" t="s">
        <v>454</v>
      </c>
      <c r="I21" s="180" t="s">
        <v>454</v>
      </c>
      <c r="J21" s="180" t="s">
        <v>454</v>
      </c>
      <c r="K21" s="180"/>
      <c r="L21" s="180"/>
      <c r="M21" s="243"/>
      <c r="N21" s="210" t="s">
        <v>59</v>
      </c>
      <c r="O21" s="211">
        <v>489.99</v>
      </c>
      <c r="P21" s="211">
        <v>699.95</v>
      </c>
      <c r="Q21" s="212">
        <v>0.7</v>
      </c>
      <c r="R21" s="211">
        <f t="shared" si="0"/>
        <v>125</v>
      </c>
      <c r="S21" s="213">
        <f t="shared" si="1"/>
        <v>787.45</v>
      </c>
      <c r="T21" s="2"/>
    </row>
    <row r="22" spans="1:20" s="201" customFormat="1" ht="12.6" customHeight="1">
      <c r="A22" s="221" t="s">
        <v>1757</v>
      </c>
      <c r="B22" s="156" t="s">
        <v>1756</v>
      </c>
      <c r="C22" s="156" t="s">
        <v>2200</v>
      </c>
      <c r="D22" s="149" t="s">
        <v>1759</v>
      </c>
      <c r="E22" s="147" t="s">
        <v>454</v>
      </c>
      <c r="F22" s="147" t="s">
        <v>454</v>
      </c>
      <c r="G22" s="147" t="s">
        <v>454</v>
      </c>
      <c r="H22" s="147" t="s">
        <v>454</v>
      </c>
      <c r="I22" s="147" t="s">
        <v>454</v>
      </c>
      <c r="J22" s="147" t="s">
        <v>454</v>
      </c>
      <c r="K22" s="148" t="s">
        <v>768</v>
      </c>
      <c r="L22" s="178" t="s">
        <v>1684</v>
      </c>
      <c r="M22" s="251"/>
      <c r="N22" s="189" t="s">
        <v>59</v>
      </c>
      <c r="O22" s="252">
        <v>598</v>
      </c>
      <c r="P22" s="252">
        <v>849.95</v>
      </c>
      <c r="Q22" s="179">
        <v>0.7</v>
      </c>
      <c r="R22" s="252">
        <f t="shared" si="0"/>
        <v>125</v>
      </c>
      <c r="S22" s="253">
        <f t="shared" si="1"/>
        <v>937.45</v>
      </c>
      <c r="T22" s="7"/>
    </row>
    <row r="23" spans="1:20" s="200" customFormat="1" ht="14.25">
      <c r="A23" s="221" t="s">
        <v>1037</v>
      </c>
      <c r="B23" s="156" t="s">
        <v>1612</v>
      </c>
      <c r="C23" s="244" t="s">
        <v>900</v>
      </c>
      <c r="D23" s="149" t="s">
        <v>1615</v>
      </c>
      <c r="E23" s="147" t="s">
        <v>454</v>
      </c>
      <c r="F23" s="147" t="s">
        <v>454</v>
      </c>
      <c r="G23" s="147" t="s">
        <v>454</v>
      </c>
      <c r="H23" s="147" t="s">
        <v>454</v>
      </c>
      <c r="I23" s="147" t="s">
        <v>454</v>
      </c>
      <c r="J23" s="147" t="s">
        <v>454</v>
      </c>
      <c r="K23" s="148"/>
      <c r="L23" s="178" t="s">
        <v>1684</v>
      </c>
      <c r="M23" s="251"/>
      <c r="N23" s="189" t="s">
        <v>10</v>
      </c>
      <c r="O23" s="252">
        <v>186.57</v>
      </c>
      <c r="P23" s="252">
        <v>310.95</v>
      </c>
      <c r="Q23" s="179">
        <v>0.2</v>
      </c>
      <c r="R23" s="252">
        <f t="shared" si="0"/>
        <v>125</v>
      </c>
      <c r="S23" s="253">
        <f t="shared" si="1"/>
        <v>335.95</v>
      </c>
      <c r="T23" s="2"/>
    </row>
    <row r="24" spans="1:20" ht="14.25">
      <c r="A24" s="221" t="s">
        <v>12</v>
      </c>
      <c r="B24" s="156" t="s">
        <v>132</v>
      </c>
      <c r="C24" s="244" t="s">
        <v>107</v>
      </c>
      <c r="D24" s="149" t="s">
        <v>137</v>
      </c>
      <c r="E24" s="147" t="s">
        <v>454</v>
      </c>
      <c r="F24" s="147" t="s">
        <v>454</v>
      </c>
      <c r="G24" s="147" t="s">
        <v>454</v>
      </c>
      <c r="H24" s="147"/>
      <c r="I24" s="147"/>
      <c r="J24" s="147"/>
      <c r="K24" s="148" t="s">
        <v>768</v>
      </c>
      <c r="L24" s="178" t="s">
        <v>1684</v>
      </c>
      <c r="M24" s="251"/>
      <c r="N24" s="189" t="s">
        <v>10</v>
      </c>
      <c r="O24" s="252">
        <v>194.97</v>
      </c>
      <c r="P24" s="252">
        <v>324.95</v>
      </c>
      <c r="Q24" s="179">
        <v>0.2</v>
      </c>
      <c r="R24" s="252">
        <f t="shared" si="0"/>
        <v>125</v>
      </c>
      <c r="S24" s="253">
        <f t="shared" si="1"/>
        <v>349.95</v>
      </c>
    </row>
    <row r="25" spans="1:20" ht="14.25">
      <c r="A25" s="221" t="s">
        <v>11</v>
      </c>
      <c r="B25" s="156" t="s">
        <v>138</v>
      </c>
      <c r="C25" s="244" t="s">
        <v>107</v>
      </c>
      <c r="D25" s="149" t="s">
        <v>204</v>
      </c>
      <c r="E25" s="147"/>
      <c r="F25" s="147"/>
      <c r="G25" s="147"/>
      <c r="H25" s="147" t="s">
        <v>454</v>
      </c>
      <c r="I25" s="147" t="s">
        <v>454</v>
      </c>
      <c r="J25" s="147" t="s">
        <v>454</v>
      </c>
      <c r="K25" s="148" t="s">
        <v>768</v>
      </c>
      <c r="L25" s="178" t="s">
        <v>1684</v>
      </c>
      <c r="M25" s="251"/>
      <c r="N25" s="189" t="s">
        <v>10</v>
      </c>
      <c r="O25" s="252">
        <v>194.97</v>
      </c>
      <c r="P25" s="252">
        <v>324.95</v>
      </c>
      <c r="Q25" s="179">
        <v>0.2</v>
      </c>
      <c r="R25" s="252">
        <f t="shared" si="0"/>
        <v>125</v>
      </c>
      <c r="S25" s="253">
        <f t="shared" si="1"/>
        <v>349.95</v>
      </c>
    </row>
    <row r="26" spans="1:20" ht="14.25">
      <c r="A26" s="221" t="s">
        <v>21</v>
      </c>
      <c r="B26" s="156" t="s">
        <v>27</v>
      </c>
      <c r="C26" s="244" t="s">
        <v>105</v>
      </c>
      <c r="D26" s="149" t="s">
        <v>128</v>
      </c>
      <c r="E26" s="147" t="s">
        <v>454</v>
      </c>
      <c r="F26" s="147" t="s">
        <v>454</v>
      </c>
      <c r="G26" s="147" t="s">
        <v>454</v>
      </c>
      <c r="H26" s="147" t="s">
        <v>454</v>
      </c>
      <c r="I26" s="147" t="s">
        <v>454</v>
      </c>
      <c r="J26" s="147" t="s">
        <v>454</v>
      </c>
      <c r="K26" s="148"/>
      <c r="L26" s="178"/>
      <c r="M26" s="251"/>
      <c r="N26" s="189" t="s">
        <v>4</v>
      </c>
      <c r="O26" s="252">
        <v>77</v>
      </c>
      <c r="P26" s="252">
        <v>128.94999999999999</v>
      </c>
      <c r="Q26" s="179">
        <v>0.5</v>
      </c>
      <c r="R26" s="252">
        <f t="shared" si="0"/>
        <v>125</v>
      </c>
      <c r="S26" s="253">
        <f t="shared" si="1"/>
        <v>191.45</v>
      </c>
    </row>
    <row r="27" spans="1:20" s="200" customFormat="1" ht="14.25">
      <c r="A27" s="221" t="s">
        <v>655</v>
      </c>
      <c r="B27" s="156" t="s">
        <v>2044</v>
      </c>
      <c r="C27" s="244" t="s">
        <v>2178</v>
      </c>
      <c r="D27" s="149" t="s">
        <v>1632</v>
      </c>
      <c r="E27" s="147" t="s">
        <v>454</v>
      </c>
      <c r="F27" s="147" t="s">
        <v>454</v>
      </c>
      <c r="G27" s="147" t="s">
        <v>454</v>
      </c>
      <c r="H27" s="147" t="s">
        <v>454</v>
      </c>
      <c r="I27" s="147" t="s">
        <v>454</v>
      </c>
      <c r="J27" s="147" t="s">
        <v>454</v>
      </c>
      <c r="K27" s="148"/>
      <c r="L27" s="178" t="s">
        <v>1684</v>
      </c>
      <c r="M27" s="251"/>
      <c r="N27" s="189" t="s">
        <v>0</v>
      </c>
      <c r="O27" s="252">
        <v>64.17</v>
      </c>
      <c r="P27" s="252">
        <v>106.95</v>
      </c>
      <c r="Q27" s="179">
        <v>0</v>
      </c>
      <c r="R27" s="252">
        <f t="shared" si="0"/>
        <v>125</v>
      </c>
      <c r="S27" s="253">
        <f t="shared" si="1"/>
        <v>106.95</v>
      </c>
      <c r="T27" s="2"/>
    </row>
    <row r="28" spans="1:20" s="200" customFormat="1" ht="14.25">
      <c r="A28" s="221" t="s">
        <v>175</v>
      </c>
      <c r="B28" s="156" t="s">
        <v>646</v>
      </c>
      <c r="C28" s="244" t="s">
        <v>878</v>
      </c>
      <c r="D28" s="149" t="s">
        <v>1705</v>
      </c>
      <c r="E28" s="147" t="s">
        <v>454</v>
      </c>
      <c r="F28" s="147" t="s">
        <v>454</v>
      </c>
      <c r="G28" s="147" t="s">
        <v>454</v>
      </c>
      <c r="H28" s="147" t="s">
        <v>454</v>
      </c>
      <c r="I28" s="147" t="s">
        <v>454</v>
      </c>
      <c r="J28" s="147" t="s">
        <v>454</v>
      </c>
      <c r="K28" s="148" t="s">
        <v>768</v>
      </c>
      <c r="L28" s="178"/>
      <c r="M28" s="251"/>
      <c r="N28" s="189" t="s">
        <v>16</v>
      </c>
      <c r="O28" s="252">
        <v>70</v>
      </c>
      <c r="P28" s="252">
        <v>99.95</v>
      </c>
      <c r="Q28" s="179">
        <v>0</v>
      </c>
      <c r="R28" s="252">
        <f t="shared" si="0"/>
        <v>125</v>
      </c>
      <c r="S28" s="253">
        <f t="shared" si="1"/>
        <v>99.95</v>
      </c>
      <c r="T28" s="2"/>
    </row>
    <row r="29" spans="1:20" s="200" customFormat="1" ht="14.25">
      <c r="A29" s="221" t="s">
        <v>176</v>
      </c>
      <c r="B29" s="156" t="s">
        <v>647</v>
      </c>
      <c r="C29" s="244" t="s">
        <v>879</v>
      </c>
      <c r="D29" s="149" t="s">
        <v>1705</v>
      </c>
      <c r="E29" s="147" t="s">
        <v>454</v>
      </c>
      <c r="F29" s="147" t="s">
        <v>454</v>
      </c>
      <c r="G29" s="147" t="s">
        <v>454</v>
      </c>
      <c r="H29" s="147" t="s">
        <v>454</v>
      </c>
      <c r="I29" s="147" t="s">
        <v>454</v>
      </c>
      <c r="J29" s="147" t="s">
        <v>454</v>
      </c>
      <c r="K29" s="148" t="s">
        <v>768</v>
      </c>
      <c r="L29" s="178"/>
      <c r="M29" s="251"/>
      <c r="N29" s="189" t="s">
        <v>16</v>
      </c>
      <c r="O29" s="252">
        <v>70</v>
      </c>
      <c r="P29" s="252">
        <v>99.95</v>
      </c>
      <c r="Q29" s="179">
        <v>0</v>
      </c>
      <c r="R29" s="252">
        <f t="shared" si="0"/>
        <v>125</v>
      </c>
      <c r="S29" s="253">
        <f t="shared" si="1"/>
        <v>99.95</v>
      </c>
      <c r="T29" s="2"/>
    </row>
    <row r="30" spans="1:20" s="200" customFormat="1" ht="14.25">
      <c r="A30" s="221" t="s">
        <v>177</v>
      </c>
      <c r="B30" s="156" t="s">
        <v>648</v>
      </c>
      <c r="C30" s="244" t="s">
        <v>880</v>
      </c>
      <c r="D30" s="149" t="s">
        <v>1705</v>
      </c>
      <c r="E30" s="147" t="s">
        <v>454</v>
      </c>
      <c r="F30" s="147" t="s">
        <v>454</v>
      </c>
      <c r="G30" s="147" t="s">
        <v>454</v>
      </c>
      <c r="H30" s="147" t="s">
        <v>454</v>
      </c>
      <c r="I30" s="147" t="s">
        <v>454</v>
      </c>
      <c r="J30" s="147" t="s">
        <v>454</v>
      </c>
      <c r="K30" s="148" t="s">
        <v>768</v>
      </c>
      <c r="L30" s="178"/>
      <c r="M30" s="251"/>
      <c r="N30" s="189" t="s">
        <v>16</v>
      </c>
      <c r="O30" s="252">
        <v>49</v>
      </c>
      <c r="P30" s="252">
        <v>69.95</v>
      </c>
      <c r="Q30" s="179">
        <v>0</v>
      </c>
      <c r="R30" s="252">
        <f t="shared" si="0"/>
        <v>125</v>
      </c>
      <c r="S30" s="253">
        <f t="shared" si="1"/>
        <v>69.95</v>
      </c>
      <c r="T30" s="2"/>
    </row>
    <row r="31" spans="1:20" s="200" customFormat="1" ht="14.25">
      <c r="A31" s="221" t="s">
        <v>221</v>
      </c>
      <c r="B31" s="156" t="s">
        <v>554</v>
      </c>
      <c r="C31" s="244" t="s">
        <v>1079</v>
      </c>
      <c r="D31" s="149" t="s">
        <v>1711</v>
      </c>
      <c r="E31" s="147" t="s">
        <v>454</v>
      </c>
      <c r="F31" s="147" t="s">
        <v>454</v>
      </c>
      <c r="G31" s="147" t="s">
        <v>454</v>
      </c>
      <c r="H31" s="147" t="s">
        <v>454</v>
      </c>
      <c r="I31" s="147" t="s">
        <v>454</v>
      </c>
      <c r="J31" s="147" t="s">
        <v>454</v>
      </c>
      <c r="K31" s="148" t="s">
        <v>768</v>
      </c>
      <c r="L31" s="178" t="s">
        <v>1684</v>
      </c>
      <c r="M31" s="251"/>
      <c r="N31" s="189" t="s">
        <v>10</v>
      </c>
      <c r="O31" s="252">
        <v>160.77000000000001</v>
      </c>
      <c r="P31" s="252">
        <v>267.95</v>
      </c>
      <c r="Q31" s="179">
        <v>0.5</v>
      </c>
      <c r="R31" s="252">
        <f t="shared" si="0"/>
        <v>125</v>
      </c>
      <c r="S31" s="253">
        <f t="shared" si="1"/>
        <v>330.45</v>
      </c>
      <c r="T31" s="2"/>
    </row>
    <row r="32" spans="1:20" s="200" customFormat="1" ht="14.25">
      <c r="A32" s="221" t="s">
        <v>561</v>
      </c>
      <c r="B32" s="156" t="s">
        <v>563</v>
      </c>
      <c r="C32" s="244" t="s">
        <v>566</v>
      </c>
      <c r="D32" s="228" t="s">
        <v>1829</v>
      </c>
      <c r="E32" s="147" t="s">
        <v>454</v>
      </c>
      <c r="F32" s="147" t="s">
        <v>454</v>
      </c>
      <c r="G32" s="147" t="s">
        <v>454</v>
      </c>
      <c r="H32" s="147" t="s">
        <v>454</v>
      </c>
      <c r="I32" s="147" t="s">
        <v>454</v>
      </c>
      <c r="J32" s="147" t="s">
        <v>454</v>
      </c>
      <c r="K32" s="148" t="s">
        <v>768</v>
      </c>
      <c r="L32" s="178"/>
      <c r="M32" s="251"/>
      <c r="N32" s="189" t="s">
        <v>10</v>
      </c>
      <c r="O32" s="252">
        <v>14.77</v>
      </c>
      <c r="P32" s="252">
        <v>39.950000000000003</v>
      </c>
      <c r="Q32" s="179">
        <v>0</v>
      </c>
      <c r="R32" s="252">
        <f t="shared" si="0"/>
        <v>125</v>
      </c>
      <c r="S32" s="253">
        <v>49.95</v>
      </c>
      <c r="T32" s="2"/>
    </row>
    <row r="33" spans="1:20" s="200" customFormat="1" ht="14.25">
      <c r="A33" s="221" t="s">
        <v>1046</v>
      </c>
      <c r="B33" s="156" t="s">
        <v>1047</v>
      </c>
      <c r="C33" s="244" t="s">
        <v>1050</v>
      </c>
      <c r="D33" s="228" t="s">
        <v>1829</v>
      </c>
      <c r="E33" s="147" t="s">
        <v>454</v>
      </c>
      <c r="F33" s="147" t="s">
        <v>454</v>
      </c>
      <c r="G33" s="147" t="s">
        <v>454</v>
      </c>
      <c r="H33" s="147" t="s">
        <v>454</v>
      </c>
      <c r="I33" s="147" t="s">
        <v>454</v>
      </c>
      <c r="J33" s="147" t="s">
        <v>454</v>
      </c>
      <c r="K33" s="148" t="s">
        <v>768</v>
      </c>
      <c r="L33" s="178"/>
      <c r="M33" s="251"/>
      <c r="N33" s="189" t="s">
        <v>10</v>
      </c>
      <c r="O33" s="252">
        <v>18.5</v>
      </c>
      <c r="P33" s="252">
        <v>0</v>
      </c>
      <c r="Q33" s="179">
        <v>0</v>
      </c>
      <c r="R33" s="252">
        <f t="shared" si="0"/>
        <v>125</v>
      </c>
      <c r="S33" s="253">
        <v>49.95</v>
      </c>
      <c r="T33" s="2"/>
    </row>
    <row r="34" spans="1:20" s="200" customFormat="1" ht="14.25">
      <c r="A34" s="221" t="s">
        <v>1048</v>
      </c>
      <c r="B34" s="156" t="s">
        <v>1049</v>
      </c>
      <c r="C34" s="244" t="s">
        <v>1051</v>
      </c>
      <c r="D34" s="228" t="s">
        <v>1829</v>
      </c>
      <c r="E34" s="147" t="s">
        <v>454</v>
      </c>
      <c r="F34" s="147" t="s">
        <v>454</v>
      </c>
      <c r="G34" s="147" t="s">
        <v>454</v>
      </c>
      <c r="H34" s="147" t="s">
        <v>454</v>
      </c>
      <c r="I34" s="147" t="s">
        <v>454</v>
      </c>
      <c r="J34" s="147" t="s">
        <v>454</v>
      </c>
      <c r="K34" s="148" t="s">
        <v>768</v>
      </c>
      <c r="L34" s="178"/>
      <c r="M34" s="251"/>
      <c r="N34" s="189" t="s">
        <v>10</v>
      </c>
      <c r="O34" s="252">
        <v>14.25</v>
      </c>
      <c r="P34" s="252">
        <v>0</v>
      </c>
      <c r="Q34" s="179">
        <v>0</v>
      </c>
      <c r="R34" s="252">
        <f t="shared" si="0"/>
        <v>125</v>
      </c>
      <c r="S34" s="253">
        <v>49.95</v>
      </c>
      <c r="T34" s="2"/>
    </row>
    <row r="35" spans="1:20" s="200" customFormat="1" ht="14.25">
      <c r="A35" s="221" t="s">
        <v>562</v>
      </c>
      <c r="B35" s="156" t="s">
        <v>565</v>
      </c>
      <c r="C35" s="244" t="s">
        <v>568</v>
      </c>
      <c r="D35" s="228" t="s">
        <v>1829</v>
      </c>
      <c r="E35" s="147" t="s">
        <v>454</v>
      </c>
      <c r="F35" s="147" t="s">
        <v>454</v>
      </c>
      <c r="G35" s="147" t="s">
        <v>454</v>
      </c>
      <c r="H35" s="147" t="s">
        <v>454</v>
      </c>
      <c r="I35" s="147" t="s">
        <v>454</v>
      </c>
      <c r="J35" s="147" t="s">
        <v>454</v>
      </c>
      <c r="K35" s="148" t="s">
        <v>768</v>
      </c>
      <c r="L35" s="178"/>
      <c r="M35" s="251"/>
      <c r="N35" s="189" t="s">
        <v>10</v>
      </c>
      <c r="O35" s="252">
        <v>18.09</v>
      </c>
      <c r="P35" s="252">
        <v>0</v>
      </c>
      <c r="Q35" s="179">
        <v>0</v>
      </c>
      <c r="R35" s="252">
        <f t="shared" si="0"/>
        <v>125</v>
      </c>
      <c r="S35" s="253">
        <f>Q35*R35+P35</f>
        <v>0</v>
      </c>
      <c r="T35" s="2"/>
    </row>
    <row r="36" spans="1:20" ht="14.25">
      <c r="A36" s="221" t="s">
        <v>560</v>
      </c>
      <c r="B36" s="156" t="s">
        <v>885</v>
      </c>
      <c r="C36" s="244" t="s">
        <v>905</v>
      </c>
      <c r="D36" s="228" t="s">
        <v>1829</v>
      </c>
      <c r="E36" s="147" t="s">
        <v>454</v>
      </c>
      <c r="F36" s="147" t="s">
        <v>454</v>
      </c>
      <c r="G36" s="147" t="s">
        <v>454</v>
      </c>
      <c r="H36" s="147" t="s">
        <v>454</v>
      </c>
      <c r="I36" s="147" t="s">
        <v>454</v>
      </c>
      <c r="J36" s="147" t="s">
        <v>454</v>
      </c>
      <c r="K36" s="148" t="s">
        <v>768</v>
      </c>
      <c r="L36" s="178"/>
      <c r="M36" s="251"/>
      <c r="N36" s="189" t="s">
        <v>10</v>
      </c>
      <c r="O36" s="252">
        <v>16.45</v>
      </c>
      <c r="P36" s="252">
        <v>39.950000000000003</v>
      </c>
      <c r="Q36" s="179">
        <v>0</v>
      </c>
      <c r="R36" s="252">
        <f t="shared" si="0"/>
        <v>125</v>
      </c>
      <c r="S36" s="253">
        <v>49.95</v>
      </c>
    </row>
    <row r="37" spans="1:20" ht="14.25">
      <c r="A37" s="221" t="s">
        <v>570</v>
      </c>
      <c r="B37" s="156" t="s">
        <v>564</v>
      </c>
      <c r="C37" s="244" t="s">
        <v>567</v>
      </c>
      <c r="D37" s="228" t="s">
        <v>1829</v>
      </c>
      <c r="E37" s="147" t="s">
        <v>454</v>
      </c>
      <c r="F37" s="147" t="s">
        <v>454</v>
      </c>
      <c r="G37" s="147" t="s">
        <v>454</v>
      </c>
      <c r="H37" s="147" t="s">
        <v>454</v>
      </c>
      <c r="I37" s="147" t="s">
        <v>454</v>
      </c>
      <c r="J37" s="147" t="s">
        <v>454</v>
      </c>
      <c r="K37" s="148" t="s">
        <v>768</v>
      </c>
      <c r="L37" s="178"/>
      <c r="M37" s="251"/>
      <c r="N37" s="189" t="s">
        <v>10</v>
      </c>
      <c r="O37" s="252">
        <v>99.95</v>
      </c>
      <c r="P37" s="252">
        <v>39.950000000000003</v>
      </c>
      <c r="Q37" s="179">
        <v>0</v>
      </c>
      <c r="R37" s="252">
        <f t="shared" si="0"/>
        <v>125</v>
      </c>
      <c r="S37" s="253">
        <v>49.95</v>
      </c>
    </row>
    <row r="38" spans="1:20" ht="14.25">
      <c r="A38" s="221" t="s">
        <v>75</v>
      </c>
      <c r="B38" s="156" t="s">
        <v>198</v>
      </c>
      <c r="C38" s="244" t="s">
        <v>90</v>
      </c>
      <c r="D38" s="149"/>
      <c r="E38" s="147" t="s">
        <v>454</v>
      </c>
      <c r="F38" s="147" t="s">
        <v>454</v>
      </c>
      <c r="G38" s="147" t="s">
        <v>454</v>
      </c>
      <c r="H38" s="147" t="s">
        <v>454</v>
      </c>
      <c r="I38" s="147" t="s">
        <v>454</v>
      </c>
      <c r="J38" s="147" t="s">
        <v>454</v>
      </c>
      <c r="K38" s="148" t="s">
        <v>768</v>
      </c>
      <c r="L38" s="178" t="s">
        <v>1684</v>
      </c>
      <c r="M38" s="251"/>
      <c r="N38" s="189" t="s">
        <v>59</v>
      </c>
      <c r="O38" s="252">
        <v>116.97</v>
      </c>
      <c r="P38" s="252">
        <v>194.95</v>
      </c>
      <c r="Q38" s="179">
        <v>1.5</v>
      </c>
      <c r="R38" s="252">
        <f t="shared" si="0"/>
        <v>125</v>
      </c>
      <c r="S38" s="253">
        <f t="shared" ref="S38:S101" si="2">Q38*R38+P38</f>
        <v>382.45</v>
      </c>
    </row>
    <row r="39" spans="1:20" ht="14.25">
      <c r="A39" s="221" t="s">
        <v>19</v>
      </c>
      <c r="B39" s="156" t="s">
        <v>133</v>
      </c>
      <c r="C39" s="244" t="s">
        <v>108</v>
      </c>
      <c r="D39" s="149"/>
      <c r="E39" s="147" t="s">
        <v>454</v>
      </c>
      <c r="F39" s="147" t="s">
        <v>454</v>
      </c>
      <c r="G39" s="147" t="s">
        <v>454</v>
      </c>
      <c r="H39" s="147" t="s">
        <v>454</v>
      </c>
      <c r="I39" s="147" t="s">
        <v>454</v>
      </c>
      <c r="J39" s="147" t="s">
        <v>454</v>
      </c>
      <c r="K39" s="148" t="s">
        <v>768</v>
      </c>
      <c r="L39" s="178" t="s">
        <v>1684</v>
      </c>
      <c r="M39" s="251"/>
      <c r="N39" s="189" t="s">
        <v>59</v>
      </c>
      <c r="O39" s="252">
        <v>64.17</v>
      </c>
      <c r="P39" s="252">
        <v>106.95</v>
      </c>
      <c r="Q39" s="179">
        <v>1.5</v>
      </c>
      <c r="R39" s="252">
        <f t="shared" si="0"/>
        <v>125</v>
      </c>
      <c r="S39" s="253">
        <f t="shared" si="2"/>
        <v>294.45</v>
      </c>
    </row>
    <row r="40" spans="1:20" ht="14.25">
      <c r="A40" s="221" t="s">
        <v>76</v>
      </c>
      <c r="B40" s="156" t="s">
        <v>199</v>
      </c>
      <c r="C40" s="244" t="s">
        <v>2180</v>
      </c>
      <c r="D40" s="149"/>
      <c r="E40" s="147" t="s">
        <v>454</v>
      </c>
      <c r="F40" s="147" t="s">
        <v>454</v>
      </c>
      <c r="G40" s="147" t="s">
        <v>454</v>
      </c>
      <c r="H40" s="147" t="s">
        <v>454</v>
      </c>
      <c r="I40" s="147" t="s">
        <v>454</v>
      </c>
      <c r="J40" s="147" t="s">
        <v>454</v>
      </c>
      <c r="K40" s="148" t="s">
        <v>768</v>
      </c>
      <c r="L40" s="178" t="s">
        <v>1684</v>
      </c>
      <c r="M40" s="251"/>
      <c r="N40" s="189" t="s">
        <v>59</v>
      </c>
      <c r="O40" s="252">
        <v>77.37</v>
      </c>
      <c r="P40" s="252">
        <v>128.94999999999999</v>
      </c>
      <c r="Q40" s="179">
        <v>0.7</v>
      </c>
      <c r="R40" s="252">
        <f t="shared" si="0"/>
        <v>125</v>
      </c>
      <c r="S40" s="253">
        <f t="shared" si="2"/>
        <v>216.45</v>
      </c>
    </row>
    <row r="41" spans="1:20" ht="14.25">
      <c r="A41" s="221" t="s">
        <v>726</v>
      </c>
      <c r="B41" s="156" t="s">
        <v>886</v>
      </c>
      <c r="C41" s="244" t="s">
        <v>110</v>
      </c>
      <c r="D41" s="149" t="s">
        <v>128</v>
      </c>
      <c r="E41" s="147" t="s">
        <v>454</v>
      </c>
      <c r="F41" s="147" t="s">
        <v>454</v>
      </c>
      <c r="G41" s="147" t="s">
        <v>454</v>
      </c>
      <c r="H41" s="147" t="s">
        <v>454</v>
      </c>
      <c r="I41" s="147" t="s">
        <v>454</v>
      </c>
      <c r="J41" s="147" t="s">
        <v>454</v>
      </c>
      <c r="K41" s="148" t="s">
        <v>768</v>
      </c>
      <c r="L41" s="178"/>
      <c r="M41" s="251"/>
      <c r="N41" s="189" t="s">
        <v>16</v>
      </c>
      <c r="O41" s="252">
        <v>54.21</v>
      </c>
      <c r="P41" s="252">
        <v>99.95</v>
      </c>
      <c r="Q41" s="179">
        <v>0.1</v>
      </c>
      <c r="R41" s="252">
        <f t="shared" si="0"/>
        <v>125</v>
      </c>
      <c r="S41" s="253">
        <f t="shared" si="2"/>
        <v>112.45</v>
      </c>
    </row>
    <row r="42" spans="1:20" ht="14.25">
      <c r="A42" s="221" t="s">
        <v>114</v>
      </c>
      <c r="B42" s="156" t="s">
        <v>915</v>
      </c>
      <c r="C42" s="244" t="s">
        <v>917</v>
      </c>
      <c r="D42" s="149" t="s">
        <v>1714</v>
      </c>
      <c r="E42" s="147" t="s">
        <v>454</v>
      </c>
      <c r="F42" s="147" t="s">
        <v>454</v>
      </c>
      <c r="G42" s="147" t="s">
        <v>454</v>
      </c>
      <c r="H42" s="147" t="s">
        <v>454</v>
      </c>
      <c r="I42" s="147" t="s">
        <v>454</v>
      </c>
      <c r="J42" s="147" t="s">
        <v>454</v>
      </c>
      <c r="K42" s="148" t="s">
        <v>768</v>
      </c>
      <c r="L42" s="178" t="s">
        <v>1684</v>
      </c>
      <c r="M42" s="251"/>
      <c r="N42" s="189" t="s">
        <v>10</v>
      </c>
      <c r="O42" s="252">
        <v>52.77</v>
      </c>
      <c r="P42" s="252">
        <v>87.95</v>
      </c>
      <c r="Q42" s="179">
        <v>0.4</v>
      </c>
      <c r="R42" s="252">
        <f t="shared" si="0"/>
        <v>125</v>
      </c>
      <c r="S42" s="253">
        <f t="shared" si="2"/>
        <v>137.94999999999999</v>
      </c>
    </row>
    <row r="43" spans="1:20" ht="14.25">
      <c r="A43" s="221" t="s">
        <v>226</v>
      </c>
      <c r="B43" s="156" t="s">
        <v>916</v>
      </c>
      <c r="C43" s="244" t="s">
        <v>918</v>
      </c>
      <c r="D43" s="149" t="s">
        <v>1714</v>
      </c>
      <c r="E43" s="147" t="s">
        <v>454</v>
      </c>
      <c r="F43" s="147" t="s">
        <v>454</v>
      </c>
      <c r="G43" s="147" t="s">
        <v>454</v>
      </c>
      <c r="H43" s="147" t="s">
        <v>454</v>
      </c>
      <c r="I43" s="147" t="s">
        <v>454</v>
      </c>
      <c r="J43" s="147" t="s">
        <v>454</v>
      </c>
      <c r="K43" s="148" t="s">
        <v>768</v>
      </c>
      <c r="L43" s="178" t="s">
        <v>1684</v>
      </c>
      <c r="M43" s="251"/>
      <c r="N43" s="189" t="s">
        <v>10</v>
      </c>
      <c r="O43" s="252">
        <v>65.37</v>
      </c>
      <c r="P43" s="252">
        <v>108.95</v>
      </c>
      <c r="Q43" s="179">
        <v>0.4</v>
      </c>
      <c r="R43" s="252">
        <f t="shared" si="0"/>
        <v>125</v>
      </c>
      <c r="S43" s="253">
        <f t="shared" si="2"/>
        <v>158.94999999999999</v>
      </c>
    </row>
    <row r="44" spans="1:20" ht="14.25">
      <c r="A44" s="221" t="s">
        <v>872</v>
      </c>
      <c r="B44" s="156" t="s">
        <v>873</v>
      </c>
      <c r="C44" s="244" t="s">
        <v>875</v>
      </c>
      <c r="D44" s="149" t="s">
        <v>1844</v>
      </c>
      <c r="E44" s="147" t="s">
        <v>454</v>
      </c>
      <c r="F44" s="147" t="s">
        <v>454</v>
      </c>
      <c r="G44" s="147" t="s">
        <v>454</v>
      </c>
      <c r="H44" s="147" t="s">
        <v>454</v>
      </c>
      <c r="I44" s="147" t="s">
        <v>454</v>
      </c>
      <c r="J44" s="147" t="s">
        <v>454</v>
      </c>
      <c r="K44" s="148"/>
      <c r="L44" s="178"/>
      <c r="M44" s="251"/>
      <c r="N44" s="189" t="s">
        <v>59</v>
      </c>
      <c r="O44" s="252">
        <v>84</v>
      </c>
      <c r="P44" s="252">
        <v>119.95</v>
      </c>
      <c r="Q44" s="179">
        <v>0</v>
      </c>
      <c r="R44" s="252">
        <f t="shared" si="0"/>
        <v>125</v>
      </c>
      <c r="S44" s="253">
        <f t="shared" si="2"/>
        <v>119.95</v>
      </c>
    </row>
    <row r="45" spans="1:20" s="200" customFormat="1" ht="14.25">
      <c r="A45" s="221" t="s">
        <v>241</v>
      </c>
      <c r="B45" s="156" t="s">
        <v>30</v>
      </c>
      <c r="C45" s="244" t="s">
        <v>336</v>
      </c>
      <c r="D45" s="149"/>
      <c r="E45" s="147" t="s">
        <v>454</v>
      </c>
      <c r="F45" s="147" t="s">
        <v>454</v>
      </c>
      <c r="G45" s="147" t="s">
        <v>454</v>
      </c>
      <c r="H45" s="147" t="s">
        <v>454</v>
      </c>
      <c r="I45" s="147" t="s">
        <v>454</v>
      </c>
      <c r="J45" s="147" t="s">
        <v>454</v>
      </c>
      <c r="K45" s="148" t="s">
        <v>768</v>
      </c>
      <c r="L45" s="178" t="s">
        <v>1684</v>
      </c>
      <c r="M45" s="251"/>
      <c r="N45" s="189" t="s">
        <v>10</v>
      </c>
      <c r="O45" s="252">
        <v>112.77</v>
      </c>
      <c r="P45" s="252">
        <v>187.95</v>
      </c>
      <c r="Q45" s="179">
        <v>0.4</v>
      </c>
      <c r="R45" s="252">
        <f t="shared" si="0"/>
        <v>125</v>
      </c>
      <c r="S45" s="253">
        <f t="shared" si="2"/>
        <v>237.95</v>
      </c>
      <c r="T45" s="2"/>
    </row>
    <row r="46" spans="1:20" s="200" customFormat="1" ht="14.25">
      <c r="A46" s="221" t="s">
        <v>20</v>
      </c>
      <c r="B46" s="156" t="s">
        <v>2046</v>
      </c>
      <c r="C46" s="244" t="s">
        <v>1763</v>
      </c>
      <c r="D46" s="149"/>
      <c r="E46" s="147" t="s">
        <v>454</v>
      </c>
      <c r="F46" s="147" t="s">
        <v>454</v>
      </c>
      <c r="G46" s="147" t="s">
        <v>454</v>
      </c>
      <c r="H46" s="147" t="s">
        <v>454</v>
      </c>
      <c r="I46" s="147" t="s">
        <v>454</v>
      </c>
      <c r="J46" s="147" t="s">
        <v>454</v>
      </c>
      <c r="K46" s="148" t="s">
        <v>768</v>
      </c>
      <c r="L46" s="178"/>
      <c r="M46" s="251"/>
      <c r="N46" s="189" t="s">
        <v>59</v>
      </c>
      <c r="O46" s="252">
        <v>583.35</v>
      </c>
      <c r="P46" s="252">
        <v>758.95</v>
      </c>
      <c r="Q46" s="179">
        <v>1</v>
      </c>
      <c r="R46" s="252">
        <f t="shared" si="0"/>
        <v>125</v>
      </c>
      <c r="S46" s="253">
        <f t="shared" si="2"/>
        <v>883.95</v>
      </c>
      <c r="T46" s="2"/>
    </row>
    <row r="47" spans="1:20" s="200" customFormat="1" ht="14.25">
      <c r="A47" s="221" t="s">
        <v>111</v>
      </c>
      <c r="B47" s="156" t="s">
        <v>2047</v>
      </c>
      <c r="C47" s="244" t="s">
        <v>2183</v>
      </c>
      <c r="D47" s="149"/>
      <c r="E47" s="147" t="s">
        <v>454</v>
      </c>
      <c r="F47" s="147" t="s">
        <v>454</v>
      </c>
      <c r="G47" s="147" t="s">
        <v>454</v>
      </c>
      <c r="H47" s="147" t="s">
        <v>454</v>
      </c>
      <c r="I47" s="147" t="s">
        <v>454</v>
      </c>
      <c r="J47" s="147" t="s">
        <v>454</v>
      </c>
      <c r="K47" s="148" t="s">
        <v>768</v>
      </c>
      <c r="L47" s="178"/>
      <c r="M47" s="251"/>
      <c r="N47" s="189" t="s">
        <v>59</v>
      </c>
      <c r="O47" s="252">
        <v>287.27</v>
      </c>
      <c r="P47" s="252">
        <v>441.95</v>
      </c>
      <c r="Q47" s="179">
        <v>0.1</v>
      </c>
      <c r="R47" s="252">
        <f t="shared" si="0"/>
        <v>125</v>
      </c>
      <c r="S47" s="253">
        <f t="shared" si="2"/>
        <v>454.45</v>
      </c>
      <c r="T47" s="2"/>
    </row>
    <row r="48" spans="1:20" s="200" customFormat="1" ht="14.25">
      <c r="A48" s="221" t="s">
        <v>469</v>
      </c>
      <c r="B48" s="156" t="s">
        <v>779</v>
      </c>
      <c r="C48" s="244" t="s">
        <v>559</v>
      </c>
      <c r="D48" s="149"/>
      <c r="E48" s="147" t="s">
        <v>454</v>
      </c>
      <c r="F48" s="147" t="s">
        <v>454</v>
      </c>
      <c r="G48" s="147" t="s">
        <v>454</v>
      </c>
      <c r="H48" s="147" t="s">
        <v>454</v>
      </c>
      <c r="I48" s="147" t="s">
        <v>454</v>
      </c>
      <c r="J48" s="147" t="s">
        <v>454</v>
      </c>
      <c r="K48" s="148" t="s">
        <v>768</v>
      </c>
      <c r="L48" s="178"/>
      <c r="M48" s="251"/>
      <c r="N48" s="189" t="s">
        <v>59</v>
      </c>
      <c r="O48" s="252">
        <v>60</v>
      </c>
      <c r="P48" s="252">
        <v>84.95</v>
      </c>
      <c r="Q48" s="179">
        <v>0.8</v>
      </c>
      <c r="R48" s="252">
        <f t="shared" si="0"/>
        <v>125</v>
      </c>
      <c r="S48" s="253">
        <f t="shared" si="2"/>
        <v>184.95</v>
      </c>
      <c r="T48" s="2"/>
    </row>
    <row r="49" spans="1:20" ht="14.25">
      <c r="A49" s="221" t="s">
        <v>1680</v>
      </c>
      <c r="B49" s="156" t="s">
        <v>1800</v>
      </c>
      <c r="C49" s="244" t="s">
        <v>1796</v>
      </c>
      <c r="D49" s="149" t="s">
        <v>1804</v>
      </c>
      <c r="E49" s="147" t="s">
        <v>454</v>
      </c>
      <c r="F49" s="147" t="s">
        <v>454</v>
      </c>
      <c r="G49" s="147" t="s">
        <v>454</v>
      </c>
      <c r="H49" s="147" t="s">
        <v>454</v>
      </c>
      <c r="I49" s="147" t="s">
        <v>454</v>
      </c>
      <c r="J49" s="147" t="s">
        <v>454</v>
      </c>
      <c r="K49" s="148" t="s">
        <v>768</v>
      </c>
      <c r="L49" s="178"/>
      <c r="M49" s="251"/>
      <c r="N49" s="189" t="s">
        <v>59</v>
      </c>
      <c r="O49" s="252">
        <v>258.75</v>
      </c>
      <c r="P49" s="252">
        <v>389.95</v>
      </c>
      <c r="Q49" s="179">
        <v>0.8</v>
      </c>
      <c r="R49" s="252">
        <f t="shared" si="0"/>
        <v>125</v>
      </c>
      <c r="S49" s="253">
        <f t="shared" si="2"/>
        <v>489.95</v>
      </c>
    </row>
    <row r="50" spans="1:20" ht="14.25">
      <c r="A50" s="221" t="s">
        <v>1052</v>
      </c>
      <c r="B50" s="156" t="s">
        <v>1792</v>
      </c>
      <c r="C50" s="244" t="s">
        <v>1797</v>
      </c>
      <c r="D50" s="149" t="s">
        <v>2048</v>
      </c>
      <c r="E50" s="147" t="s">
        <v>454</v>
      </c>
      <c r="F50" s="147" t="s">
        <v>454</v>
      </c>
      <c r="G50" s="147" t="s">
        <v>454</v>
      </c>
      <c r="H50" s="147" t="s">
        <v>454</v>
      </c>
      <c r="I50" s="147" t="s">
        <v>454</v>
      </c>
      <c r="J50" s="147" t="s">
        <v>454</v>
      </c>
      <c r="K50" s="148" t="s">
        <v>768</v>
      </c>
      <c r="L50" s="178"/>
      <c r="M50" s="251"/>
      <c r="N50" s="189" t="s">
        <v>59</v>
      </c>
      <c r="O50" s="252">
        <v>150</v>
      </c>
      <c r="P50" s="252">
        <v>214.95</v>
      </c>
      <c r="Q50" s="179">
        <v>0.8</v>
      </c>
      <c r="R50" s="252">
        <f t="shared" si="0"/>
        <v>125</v>
      </c>
      <c r="S50" s="253">
        <f t="shared" si="2"/>
        <v>314.95</v>
      </c>
    </row>
    <row r="51" spans="1:20" s="8" customFormat="1" ht="14.25">
      <c r="A51" s="170" t="s">
        <v>2219</v>
      </c>
      <c r="B51" s="171" t="s">
        <v>279</v>
      </c>
      <c r="C51" s="176" t="s">
        <v>2184</v>
      </c>
      <c r="D51" s="182" t="s">
        <v>2005</v>
      </c>
      <c r="E51" s="180" t="s">
        <v>454</v>
      </c>
      <c r="F51" s="180" t="s">
        <v>454</v>
      </c>
      <c r="G51" s="180" t="s">
        <v>454</v>
      </c>
      <c r="H51" s="180" t="s">
        <v>454</v>
      </c>
      <c r="I51" s="180" t="s">
        <v>454</v>
      </c>
      <c r="J51" s="180" t="s">
        <v>454</v>
      </c>
      <c r="K51" s="181" t="s">
        <v>768</v>
      </c>
      <c r="L51" s="254" t="s">
        <v>1684</v>
      </c>
      <c r="M51" s="255"/>
      <c r="N51" s="210" t="s">
        <v>59</v>
      </c>
      <c r="O51" s="211">
        <v>315</v>
      </c>
      <c r="P51" s="211">
        <v>449.95</v>
      </c>
      <c r="Q51" s="212">
        <v>0.8</v>
      </c>
      <c r="R51" s="211">
        <f t="shared" si="0"/>
        <v>125</v>
      </c>
      <c r="S51" s="213">
        <f t="shared" si="2"/>
        <v>549.95000000000005</v>
      </c>
      <c r="T51" s="2"/>
    </row>
    <row r="52" spans="1:20" s="8" customFormat="1" ht="14.25">
      <c r="A52" s="221" t="s">
        <v>286</v>
      </c>
      <c r="B52" s="156" t="s">
        <v>287</v>
      </c>
      <c r="C52" s="244" t="s">
        <v>292</v>
      </c>
      <c r="D52" s="149" t="s">
        <v>2006</v>
      </c>
      <c r="E52" s="147" t="s">
        <v>454</v>
      </c>
      <c r="F52" s="147" t="s">
        <v>454</v>
      </c>
      <c r="G52" s="147" t="s">
        <v>454</v>
      </c>
      <c r="H52" s="147" t="s">
        <v>454</v>
      </c>
      <c r="I52" s="147" t="s">
        <v>454</v>
      </c>
      <c r="J52" s="147" t="s">
        <v>454</v>
      </c>
      <c r="K52" s="148" t="s">
        <v>768</v>
      </c>
      <c r="L52" s="178"/>
      <c r="M52" s="251"/>
      <c r="N52" s="189" t="s">
        <v>59</v>
      </c>
      <c r="O52" s="252">
        <v>230</v>
      </c>
      <c r="P52" s="252">
        <v>329.95</v>
      </c>
      <c r="Q52" s="179">
        <v>0.8</v>
      </c>
      <c r="R52" s="252">
        <f t="shared" si="0"/>
        <v>125</v>
      </c>
      <c r="S52" s="253">
        <f t="shared" si="2"/>
        <v>429.95</v>
      </c>
      <c r="T52" s="2"/>
    </row>
    <row r="53" spans="1:20" s="8" customFormat="1" ht="14.25">
      <c r="A53" s="221" t="s">
        <v>1754</v>
      </c>
      <c r="B53" s="156" t="s">
        <v>2209</v>
      </c>
      <c r="C53" s="244" t="s">
        <v>2182</v>
      </c>
      <c r="D53" s="149"/>
      <c r="E53" s="147" t="s">
        <v>454</v>
      </c>
      <c r="F53" s="147" t="s">
        <v>454</v>
      </c>
      <c r="G53" s="147" t="s">
        <v>454</v>
      </c>
      <c r="H53" s="147" t="s">
        <v>454</v>
      </c>
      <c r="I53" s="147" t="s">
        <v>454</v>
      </c>
      <c r="J53" s="147" t="s">
        <v>454</v>
      </c>
      <c r="K53" s="148"/>
      <c r="L53" s="178"/>
      <c r="M53" s="251"/>
      <c r="N53" s="189" t="s">
        <v>59</v>
      </c>
      <c r="O53" s="252">
        <v>230</v>
      </c>
      <c r="P53" s="252">
        <v>329.95</v>
      </c>
      <c r="Q53" s="179">
        <v>0.8</v>
      </c>
      <c r="R53" s="252">
        <f t="shared" si="0"/>
        <v>125</v>
      </c>
      <c r="S53" s="253">
        <f t="shared" si="2"/>
        <v>429.95</v>
      </c>
      <c r="T53" s="2"/>
    </row>
    <row r="54" spans="1:20" s="8" customFormat="1" ht="14.25">
      <c r="A54" s="221" t="s">
        <v>558</v>
      </c>
      <c r="B54" s="156" t="s">
        <v>1801</v>
      </c>
      <c r="C54" s="244" t="s">
        <v>1798</v>
      </c>
      <c r="D54" s="149" t="s">
        <v>2049</v>
      </c>
      <c r="E54" s="147" t="s">
        <v>454</v>
      </c>
      <c r="F54" s="147" t="s">
        <v>454</v>
      </c>
      <c r="G54" s="147" t="s">
        <v>454</v>
      </c>
      <c r="H54" s="147" t="s">
        <v>454</v>
      </c>
      <c r="I54" s="147" t="s">
        <v>454</v>
      </c>
      <c r="J54" s="147" t="s">
        <v>454</v>
      </c>
      <c r="K54" s="148" t="s">
        <v>768</v>
      </c>
      <c r="L54" s="178"/>
      <c r="M54" s="251"/>
      <c r="N54" s="189" t="s">
        <v>59</v>
      </c>
      <c r="O54" s="252">
        <v>150</v>
      </c>
      <c r="P54" s="252">
        <v>214.95</v>
      </c>
      <c r="Q54" s="179">
        <v>0.8</v>
      </c>
      <c r="R54" s="252">
        <f t="shared" si="0"/>
        <v>125</v>
      </c>
      <c r="S54" s="253">
        <f t="shared" si="2"/>
        <v>314.95</v>
      </c>
      <c r="T54" s="2"/>
    </row>
    <row r="55" spans="1:20" s="8" customFormat="1" ht="14.25">
      <c r="A55" s="221" t="s">
        <v>283</v>
      </c>
      <c r="B55" s="156" t="s">
        <v>284</v>
      </c>
      <c r="C55" s="244" t="s">
        <v>291</v>
      </c>
      <c r="D55" s="149" t="s">
        <v>2007</v>
      </c>
      <c r="E55" s="147" t="s">
        <v>454</v>
      </c>
      <c r="F55" s="147" t="s">
        <v>454</v>
      </c>
      <c r="G55" s="147" t="s">
        <v>454</v>
      </c>
      <c r="H55" s="147" t="s">
        <v>454</v>
      </c>
      <c r="I55" s="147" t="s">
        <v>454</v>
      </c>
      <c r="J55" s="147" t="s">
        <v>454</v>
      </c>
      <c r="K55" s="148" t="s">
        <v>768</v>
      </c>
      <c r="L55" s="178"/>
      <c r="M55" s="251"/>
      <c r="N55" s="189" t="s">
        <v>59</v>
      </c>
      <c r="O55" s="252">
        <v>150</v>
      </c>
      <c r="P55" s="252">
        <v>214.95</v>
      </c>
      <c r="Q55" s="179">
        <v>0.8</v>
      </c>
      <c r="R55" s="252">
        <f t="shared" si="0"/>
        <v>125</v>
      </c>
      <c r="S55" s="253">
        <f t="shared" si="2"/>
        <v>314.95</v>
      </c>
      <c r="T55" s="2"/>
    </row>
    <row r="56" spans="1:20" s="8" customFormat="1" ht="14.25">
      <c r="A56" s="221" t="s">
        <v>299</v>
      </c>
      <c r="B56" s="156" t="s">
        <v>300</v>
      </c>
      <c r="C56" s="244" t="s">
        <v>301</v>
      </c>
      <c r="D56" s="149" t="s">
        <v>302</v>
      </c>
      <c r="E56" s="147" t="s">
        <v>454</v>
      </c>
      <c r="F56" s="147" t="s">
        <v>454</v>
      </c>
      <c r="G56" s="147" t="s">
        <v>454</v>
      </c>
      <c r="H56" s="147" t="s">
        <v>454</v>
      </c>
      <c r="I56" s="147" t="s">
        <v>454</v>
      </c>
      <c r="J56" s="147" t="s">
        <v>454</v>
      </c>
      <c r="K56" s="148" t="s">
        <v>768</v>
      </c>
      <c r="L56" s="178"/>
      <c r="M56" s="251"/>
      <c r="N56" s="189" t="s">
        <v>59</v>
      </c>
      <c r="O56" s="252">
        <v>60</v>
      </c>
      <c r="P56" s="252">
        <v>79.95</v>
      </c>
      <c r="Q56" s="179">
        <v>0.8</v>
      </c>
      <c r="R56" s="252">
        <f t="shared" si="0"/>
        <v>125</v>
      </c>
      <c r="S56" s="253">
        <f t="shared" si="2"/>
        <v>179.95</v>
      </c>
      <c r="T56" s="2"/>
    </row>
    <row r="57" spans="1:20" s="8" customFormat="1" ht="14.25">
      <c r="A57" s="221" t="s">
        <v>468</v>
      </c>
      <c r="B57" s="156" t="s">
        <v>1793</v>
      </c>
      <c r="C57" s="244" t="s">
        <v>1799</v>
      </c>
      <c r="D57" s="149" t="s">
        <v>2003</v>
      </c>
      <c r="E57" s="147" t="s">
        <v>454</v>
      </c>
      <c r="F57" s="147" t="s">
        <v>454</v>
      </c>
      <c r="G57" s="147" t="s">
        <v>454</v>
      </c>
      <c r="H57" s="147" t="s">
        <v>454</v>
      </c>
      <c r="I57" s="147" t="s">
        <v>454</v>
      </c>
      <c r="J57" s="147" t="s">
        <v>454</v>
      </c>
      <c r="K57" s="148" t="s">
        <v>768</v>
      </c>
      <c r="L57" s="178"/>
      <c r="M57" s="251"/>
      <c r="N57" s="189" t="s">
        <v>59</v>
      </c>
      <c r="O57" s="252">
        <v>88.5</v>
      </c>
      <c r="P57" s="252">
        <v>124.95</v>
      </c>
      <c r="Q57" s="179">
        <v>0.8</v>
      </c>
      <c r="R57" s="252">
        <f t="shared" si="0"/>
        <v>125</v>
      </c>
      <c r="S57" s="253">
        <f t="shared" si="2"/>
        <v>224.95</v>
      </c>
      <c r="T57" s="2"/>
    </row>
    <row r="58" spans="1:20" s="8" customFormat="1">
      <c r="A58" s="221" t="s">
        <v>865</v>
      </c>
      <c r="B58" s="156" t="s">
        <v>860</v>
      </c>
      <c r="C58" s="244" t="s">
        <v>866</v>
      </c>
      <c r="D58" s="149" t="s">
        <v>1707</v>
      </c>
      <c r="E58" s="147" t="s">
        <v>454</v>
      </c>
      <c r="F58" s="147" t="s">
        <v>454</v>
      </c>
      <c r="G58" s="147" t="s">
        <v>454</v>
      </c>
      <c r="H58" s="147" t="s">
        <v>454</v>
      </c>
      <c r="I58" s="147" t="s">
        <v>454</v>
      </c>
      <c r="J58" s="147" t="s">
        <v>454</v>
      </c>
      <c r="K58" s="148"/>
      <c r="L58" s="137" t="s">
        <v>1684</v>
      </c>
      <c r="M58" s="256"/>
      <c r="N58" s="189" t="s">
        <v>10</v>
      </c>
      <c r="O58" s="252">
        <v>392.67</v>
      </c>
      <c r="P58" s="252">
        <v>560.95000000000005</v>
      </c>
      <c r="Q58" s="179">
        <v>1.5</v>
      </c>
      <c r="R58" s="252">
        <f t="shared" si="0"/>
        <v>125</v>
      </c>
      <c r="S58" s="253">
        <f t="shared" si="2"/>
        <v>748.45</v>
      </c>
      <c r="T58" s="2"/>
    </row>
    <row r="59" spans="1:20" s="8" customFormat="1" ht="14.25">
      <c r="A59" s="221" t="s">
        <v>861</v>
      </c>
      <c r="B59" s="156" t="s">
        <v>2050</v>
      </c>
      <c r="C59" s="244" t="s">
        <v>2051</v>
      </c>
      <c r="D59" s="149" t="s">
        <v>1707</v>
      </c>
      <c r="E59" s="147" t="s">
        <v>454</v>
      </c>
      <c r="F59" s="147" t="s">
        <v>454</v>
      </c>
      <c r="G59" s="147" t="s">
        <v>454</v>
      </c>
      <c r="H59" s="147" t="s">
        <v>454</v>
      </c>
      <c r="I59" s="147" t="s">
        <v>454</v>
      </c>
      <c r="J59" s="147" t="s">
        <v>454</v>
      </c>
      <c r="K59" s="148" t="s">
        <v>768</v>
      </c>
      <c r="L59" s="178" t="s">
        <v>1684</v>
      </c>
      <c r="M59" s="251"/>
      <c r="N59" s="189" t="s">
        <v>10</v>
      </c>
      <c r="O59" s="252">
        <v>769.97</v>
      </c>
      <c r="P59" s="252">
        <v>1099.95</v>
      </c>
      <c r="Q59" s="179">
        <v>0</v>
      </c>
      <c r="R59" s="252">
        <f t="shared" si="0"/>
        <v>125</v>
      </c>
      <c r="S59" s="253">
        <f t="shared" si="2"/>
        <v>1099.95</v>
      </c>
      <c r="T59" s="2"/>
    </row>
    <row r="60" spans="1:20" s="8" customFormat="1" ht="14.25">
      <c r="A60" s="221" t="s">
        <v>862</v>
      </c>
      <c r="B60" s="156" t="s">
        <v>2074</v>
      </c>
      <c r="C60" s="244" t="s">
        <v>2110</v>
      </c>
      <c r="D60" s="149" t="s">
        <v>1707</v>
      </c>
      <c r="E60" s="147" t="s">
        <v>454</v>
      </c>
      <c r="F60" s="147" t="s">
        <v>454</v>
      </c>
      <c r="G60" s="147" t="s">
        <v>454</v>
      </c>
      <c r="H60" s="147" t="s">
        <v>454</v>
      </c>
      <c r="I60" s="147" t="s">
        <v>454</v>
      </c>
      <c r="J60" s="147" t="s">
        <v>454</v>
      </c>
      <c r="K60" s="148" t="s">
        <v>768</v>
      </c>
      <c r="L60" s="178" t="s">
        <v>1684</v>
      </c>
      <c r="M60" s="251"/>
      <c r="N60" s="189" t="s">
        <v>10</v>
      </c>
      <c r="O60" s="252">
        <v>476.43</v>
      </c>
      <c r="P60" s="252">
        <v>669.95</v>
      </c>
      <c r="Q60" s="179">
        <v>0</v>
      </c>
      <c r="R60" s="252">
        <f t="shared" si="0"/>
        <v>125</v>
      </c>
      <c r="S60" s="253">
        <f t="shared" si="2"/>
        <v>669.95</v>
      </c>
      <c r="T60" s="2"/>
    </row>
    <row r="61" spans="1:20" s="8" customFormat="1" ht="14.25">
      <c r="A61" s="221" t="s">
        <v>65</v>
      </c>
      <c r="B61" s="156" t="s">
        <v>1761</v>
      </c>
      <c r="C61" s="244" t="s">
        <v>1760</v>
      </c>
      <c r="D61" s="149" t="s">
        <v>81</v>
      </c>
      <c r="E61" s="147" t="s">
        <v>454</v>
      </c>
      <c r="F61" s="147" t="s">
        <v>454</v>
      </c>
      <c r="G61" s="147" t="s">
        <v>454</v>
      </c>
      <c r="H61" s="147" t="s">
        <v>454</v>
      </c>
      <c r="I61" s="147" t="s">
        <v>454</v>
      </c>
      <c r="J61" s="147" t="s">
        <v>454</v>
      </c>
      <c r="K61" s="148" t="s">
        <v>768</v>
      </c>
      <c r="L61" s="178" t="s">
        <v>1684</v>
      </c>
      <c r="M61" s="251"/>
      <c r="N61" s="189" t="s">
        <v>0</v>
      </c>
      <c r="O61" s="252">
        <v>137.97</v>
      </c>
      <c r="P61" s="252">
        <v>229.95</v>
      </c>
      <c r="Q61" s="179">
        <v>0.5</v>
      </c>
      <c r="R61" s="252">
        <f t="shared" si="0"/>
        <v>125</v>
      </c>
      <c r="S61" s="253">
        <f t="shared" si="2"/>
        <v>292.45</v>
      </c>
      <c r="T61" s="2"/>
    </row>
    <row r="62" spans="1:20" s="8" customFormat="1" ht="14.25">
      <c r="A62" s="221" t="s">
        <v>18</v>
      </c>
      <c r="B62" s="156" t="s">
        <v>1626</v>
      </c>
      <c r="C62" s="244" t="s">
        <v>86</v>
      </c>
      <c r="D62" s="149" t="s">
        <v>1627</v>
      </c>
      <c r="E62" s="147" t="s">
        <v>454</v>
      </c>
      <c r="F62" s="147" t="s">
        <v>454</v>
      </c>
      <c r="G62" s="147" t="s">
        <v>454</v>
      </c>
      <c r="H62" s="147" t="s">
        <v>454</v>
      </c>
      <c r="I62" s="147" t="s">
        <v>454</v>
      </c>
      <c r="J62" s="147" t="s">
        <v>454</v>
      </c>
      <c r="K62" s="148" t="s">
        <v>768</v>
      </c>
      <c r="L62" s="178" t="s">
        <v>1684</v>
      </c>
      <c r="M62" s="251"/>
      <c r="N62" s="189" t="s">
        <v>0</v>
      </c>
      <c r="O62" s="252">
        <v>73.17</v>
      </c>
      <c r="P62" s="252">
        <v>121.95</v>
      </c>
      <c r="Q62" s="179">
        <v>0</v>
      </c>
      <c r="R62" s="252">
        <f t="shared" si="0"/>
        <v>125</v>
      </c>
      <c r="S62" s="253">
        <f t="shared" si="2"/>
        <v>121.95</v>
      </c>
      <c r="T62" s="2"/>
    </row>
    <row r="63" spans="1:20" s="8" customFormat="1" ht="14.25">
      <c r="A63" s="221" t="s">
        <v>307</v>
      </c>
      <c r="B63" s="156" t="s">
        <v>2185</v>
      </c>
      <c r="C63" s="244" t="s">
        <v>2098</v>
      </c>
      <c r="D63" s="149" t="s">
        <v>309</v>
      </c>
      <c r="E63" s="147" t="s">
        <v>454</v>
      </c>
      <c r="F63" s="147" t="s">
        <v>410</v>
      </c>
      <c r="G63" s="147"/>
      <c r="H63" s="147"/>
      <c r="I63" s="147"/>
      <c r="J63" s="147"/>
      <c r="K63" s="148" t="s">
        <v>768</v>
      </c>
      <c r="L63" s="178" t="s">
        <v>1684</v>
      </c>
      <c r="M63" s="251"/>
      <c r="N63" s="189" t="s">
        <v>10</v>
      </c>
      <c r="O63" s="252">
        <v>80.97</v>
      </c>
      <c r="P63" s="252">
        <v>134.94999999999999</v>
      </c>
      <c r="Q63" s="179">
        <v>0.2</v>
      </c>
      <c r="R63" s="252">
        <f t="shared" si="0"/>
        <v>125</v>
      </c>
      <c r="S63" s="253">
        <f t="shared" si="2"/>
        <v>159.94999999999999</v>
      </c>
      <c r="T63" s="2"/>
    </row>
    <row r="64" spans="1:20" s="8" customFormat="1" ht="14.25">
      <c r="A64" s="221" t="s">
        <v>13</v>
      </c>
      <c r="B64" s="156" t="s">
        <v>2096</v>
      </c>
      <c r="C64" s="244" t="s">
        <v>1764</v>
      </c>
      <c r="D64" s="149" t="s">
        <v>308</v>
      </c>
      <c r="E64" s="147" t="s">
        <v>410</v>
      </c>
      <c r="F64" s="147" t="s">
        <v>454</v>
      </c>
      <c r="G64" s="147" t="s">
        <v>454</v>
      </c>
      <c r="H64" s="147" t="s">
        <v>454</v>
      </c>
      <c r="I64" s="147" t="s">
        <v>454</v>
      </c>
      <c r="J64" s="147" t="s">
        <v>454</v>
      </c>
      <c r="K64" s="148" t="s">
        <v>768</v>
      </c>
      <c r="L64" s="178" t="s">
        <v>1684</v>
      </c>
      <c r="M64" s="251"/>
      <c r="N64" s="189" t="s">
        <v>10</v>
      </c>
      <c r="O64" s="252">
        <v>164.37</v>
      </c>
      <c r="P64" s="252">
        <v>273.95</v>
      </c>
      <c r="Q64" s="179">
        <v>0.2</v>
      </c>
      <c r="R64" s="252">
        <f t="shared" si="0"/>
        <v>125</v>
      </c>
      <c r="S64" s="253">
        <f t="shared" si="2"/>
        <v>298.95</v>
      </c>
      <c r="T64" s="2"/>
    </row>
    <row r="65" spans="1:20" s="8" customFormat="1" ht="14.25">
      <c r="A65" s="221" t="s">
        <v>70</v>
      </c>
      <c r="B65" s="156" t="s">
        <v>201</v>
      </c>
      <c r="C65" s="244" t="s">
        <v>339</v>
      </c>
      <c r="D65" s="149"/>
      <c r="E65" s="147" t="s">
        <v>454</v>
      </c>
      <c r="F65" s="147" t="s">
        <v>454</v>
      </c>
      <c r="G65" s="147" t="s">
        <v>454</v>
      </c>
      <c r="H65" s="147" t="s">
        <v>454</v>
      </c>
      <c r="I65" s="147" t="s">
        <v>454</v>
      </c>
      <c r="J65" s="147" t="s">
        <v>454</v>
      </c>
      <c r="K65" s="148" t="s">
        <v>768</v>
      </c>
      <c r="L65" s="178" t="s">
        <v>1684</v>
      </c>
      <c r="M65" s="251"/>
      <c r="N65" s="189" t="s">
        <v>10</v>
      </c>
      <c r="O65" s="252">
        <v>115.77</v>
      </c>
      <c r="P65" s="252">
        <v>192.95</v>
      </c>
      <c r="Q65" s="179">
        <v>0.5</v>
      </c>
      <c r="R65" s="252">
        <f t="shared" si="0"/>
        <v>125</v>
      </c>
      <c r="S65" s="253">
        <f t="shared" si="2"/>
        <v>255.45</v>
      </c>
      <c r="T65" s="2"/>
    </row>
    <row r="66" spans="1:20" ht="14.25">
      <c r="A66" s="221" t="s">
        <v>230</v>
      </c>
      <c r="B66" s="156" t="s">
        <v>818</v>
      </c>
      <c r="C66" s="244" t="s">
        <v>334</v>
      </c>
      <c r="D66" s="149" t="s">
        <v>262</v>
      </c>
      <c r="E66" s="147" t="s">
        <v>454</v>
      </c>
      <c r="F66" s="147" t="s">
        <v>454</v>
      </c>
      <c r="G66" s="147" t="s">
        <v>454</v>
      </c>
      <c r="H66" s="147" t="s">
        <v>454</v>
      </c>
      <c r="I66" s="147" t="s">
        <v>454</v>
      </c>
      <c r="J66" s="147" t="s">
        <v>454</v>
      </c>
      <c r="K66" s="148" t="s">
        <v>768</v>
      </c>
      <c r="L66" s="178" t="s">
        <v>1684</v>
      </c>
      <c r="M66" s="251"/>
      <c r="N66" s="189" t="s">
        <v>10</v>
      </c>
      <c r="O66" s="252">
        <v>360.57</v>
      </c>
      <c r="P66" s="252">
        <v>600.95000000000005</v>
      </c>
      <c r="Q66" s="179">
        <v>0</v>
      </c>
      <c r="R66" s="252">
        <f t="shared" si="0"/>
        <v>125</v>
      </c>
      <c r="S66" s="253">
        <f t="shared" si="2"/>
        <v>600.95000000000005</v>
      </c>
    </row>
    <row r="67" spans="1:20" ht="14.25">
      <c r="A67" s="221" t="s">
        <v>231</v>
      </c>
      <c r="B67" s="156" t="s">
        <v>819</v>
      </c>
      <c r="C67" s="244" t="s">
        <v>335</v>
      </c>
      <c r="D67" s="149" t="s">
        <v>262</v>
      </c>
      <c r="E67" s="147" t="s">
        <v>454</v>
      </c>
      <c r="F67" s="147" t="s">
        <v>454</v>
      </c>
      <c r="G67" s="147" t="s">
        <v>454</v>
      </c>
      <c r="H67" s="147" t="s">
        <v>454</v>
      </c>
      <c r="I67" s="147" t="s">
        <v>454</v>
      </c>
      <c r="J67" s="147" t="s">
        <v>454</v>
      </c>
      <c r="K67" s="148" t="s">
        <v>768</v>
      </c>
      <c r="L67" s="178" t="s">
        <v>1684</v>
      </c>
      <c r="M67" s="251"/>
      <c r="N67" s="189" t="s">
        <v>10</v>
      </c>
      <c r="O67" s="252">
        <v>402.57</v>
      </c>
      <c r="P67" s="252">
        <v>670.95</v>
      </c>
      <c r="Q67" s="179">
        <v>0</v>
      </c>
      <c r="R67" s="252">
        <f t="shared" ref="R67:R115" si="3">$N$1</f>
        <v>125</v>
      </c>
      <c r="S67" s="253">
        <f t="shared" si="2"/>
        <v>670.95</v>
      </c>
    </row>
    <row r="68" spans="1:20" ht="14.25">
      <c r="A68" s="221" t="s">
        <v>71</v>
      </c>
      <c r="B68" s="156" t="s">
        <v>28</v>
      </c>
      <c r="C68" s="244" t="s">
        <v>14</v>
      </c>
      <c r="D68" s="149"/>
      <c r="E68" s="147" t="s">
        <v>454</v>
      </c>
      <c r="F68" s="147" t="s">
        <v>454</v>
      </c>
      <c r="G68" s="147" t="s">
        <v>454</v>
      </c>
      <c r="H68" s="147" t="s">
        <v>454</v>
      </c>
      <c r="I68" s="147" t="s">
        <v>454</v>
      </c>
      <c r="J68" s="147" t="s">
        <v>454</v>
      </c>
      <c r="K68" s="148" t="s">
        <v>768</v>
      </c>
      <c r="L68" s="178" t="s">
        <v>1684</v>
      </c>
      <c r="M68" s="251"/>
      <c r="N68" s="189" t="s">
        <v>10</v>
      </c>
      <c r="O68" s="252">
        <v>80.97</v>
      </c>
      <c r="P68" s="252">
        <v>134.94999999999999</v>
      </c>
      <c r="Q68" s="179">
        <v>0.2</v>
      </c>
      <c r="R68" s="252">
        <f t="shared" si="3"/>
        <v>125</v>
      </c>
      <c r="S68" s="253">
        <f t="shared" si="2"/>
        <v>159.94999999999999</v>
      </c>
    </row>
    <row r="69" spans="1:20" ht="14.25">
      <c r="A69" s="221" t="s">
        <v>72</v>
      </c>
      <c r="B69" s="156" t="s">
        <v>243</v>
      </c>
      <c r="C69" s="244" t="s">
        <v>340</v>
      </c>
      <c r="D69" s="149" t="s">
        <v>404</v>
      </c>
      <c r="E69" s="147" t="s">
        <v>454</v>
      </c>
      <c r="F69" s="147" t="s">
        <v>454</v>
      </c>
      <c r="G69" s="147" t="s">
        <v>454</v>
      </c>
      <c r="H69" s="147" t="s">
        <v>454</v>
      </c>
      <c r="I69" s="147" t="s">
        <v>454</v>
      </c>
      <c r="J69" s="147" t="s">
        <v>454</v>
      </c>
      <c r="K69" s="148" t="s">
        <v>768</v>
      </c>
      <c r="L69" s="178" t="s">
        <v>1684</v>
      </c>
      <c r="M69" s="251"/>
      <c r="N69" s="189" t="s">
        <v>10</v>
      </c>
      <c r="O69" s="252">
        <v>317.97000000000003</v>
      </c>
      <c r="P69" s="252">
        <v>529.95000000000005</v>
      </c>
      <c r="Q69" s="179">
        <v>0</v>
      </c>
      <c r="R69" s="252">
        <f t="shared" si="3"/>
        <v>125</v>
      </c>
      <c r="S69" s="253">
        <f t="shared" si="2"/>
        <v>529.95000000000005</v>
      </c>
    </row>
    <row r="70" spans="1:20" ht="14.25">
      <c r="A70" s="221" t="s">
        <v>229</v>
      </c>
      <c r="B70" s="156" t="s">
        <v>913</v>
      </c>
      <c r="C70" s="244" t="s">
        <v>1625</v>
      </c>
      <c r="D70" s="149" t="s">
        <v>398</v>
      </c>
      <c r="E70" s="147" t="s">
        <v>410</v>
      </c>
      <c r="F70" s="147" t="s">
        <v>410</v>
      </c>
      <c r="G70" s="147" t="s">
        <v>454</v>
      </c>
      <c r="H70" s="147" t="s">
        <v>454</v>
      </c>
      <c r="I70" s="147" t="s">
        <v>410</v>
      </c>
      <c r="J70" s="147" t="s">
        <v>454</v>
      </c>
      <c r="K70" s="148" t="s">
        <v>768</v>
      </c>
      <c r="L70" s="178" t="s">
        <v>1684</v>
      </c>
      <c r="M70" s="251"/>
      <c r="N70" s="189" t="s">
        <v>10</v>
      </c>
      <c r="O70" s="252">
        <v>439.66</v>
      </c>
      <c r="P70" s="252">
        <v>732.95</v>
      </c>
      <c r="Q70" s="179">
        <v>0</v>
      </c>
      <c r="R70" s="252">
        <f t="shared" si="3"/>
        <v>125</v>
      </c>
      <c r="S70" s="253">
        <f t="shared" si="2"/>
        <v>732.95</v>
      </c>
    </row>
    <row r="71" spans="1:20" s="8" customFormat="1" ht="14.25">
      <c r="A71" s="221" t="s">
        <v>73</v>
      </c>
      <c r="B71" s="156" t="s">
        <v>244</v>
      </c>
      <c r="C71" s="244" t="s">
        <v>341</v>
      </c>
      <c r="D71" s="149" t="s">
        <v>405</v>
      </c>
      <c r="E71" s="147" t="s">
        <v>454</v>
      </c>
      <c r="F71" s="147" t="s">
        <v>454</v>
      </c>
      <c r="G71" s="147" t="s">
        <v>454</v>
      </c>
      <c r="H71" s="147" t="s">
        <v>454</v>
      </c>
      <c r="I71" s="147" t="s">
        <v>410</v>
      </c>
      <c r="J71" s="147" t="s">
        <v>454</v>
      </c>
      <c r="K71" s="148" t="s">
        <v>768</v>
      </c>
      <c r="L71" s="178" t="s">
        <v>1684</v>
      </c>
      <c r="M71" s="251"/>
      <c r="N71" s="189" t="s">
        <v>10</v>
      </c>
      <c r="O71" s="252">
        <v>361.77</v>
      </c>
      <c r="P71" s="252">
        <v>602.95000000000005</v>
      </c>
      <c r="Q71" s="179">
        <v>0</v>
      </c>
      <c r="R71" s="252">
        <f t="shared" si="3"/>
        <v>125</v>
      </c>
      <c r="S71" s="253">
        <f t="shared" si="2"/>
        <v>602.95000000000005</v>
      </c>
      <c r="T71" s="2"/>
    </row>
    <row r="72" spans="1:20" s="8" customFormat="1" ht="14.25">
      <c r="A72" s="221" t="s">
        <v>228</v>
      </c>
      <c r="B72" s="156" t="s">
        <v>246</v>
      </c>
      <c r="C72" s="244" t="s">
        <v>839</v>
      </c>
      <c r="D72" s="149" t="s">
        <v>393</v>
      </c>
      <c r="E72" s="147" t="s">
        <v>454</v>
      </c>
      <c r="F72" s="147" t="s">
        <v>454</v>
      </c>
      <c r="G72" s="147" t="s">
        <v>454</v>
      </c>
      <c r="H72" s="147" t="s">
        <v>454</v>
      </c>
      <c r="I72" s="147" t="s">
        <v>454</v>
      </c>
      <c r="J72" s="147" t="s">
        <v>454</v>
      </c>
      <c r="K72" s="148" t="s">
        <v>768</v>
      </c>
      <c r="L72" s="178" t="s">
        <v>1684</v>
      </c>
      <c r="M72" s="251"/>
      <c r="N72" s="189" t="s">
        <v>10</v>
      </c>
      <c r="O72" s="252">
        <v>436.77</v>
      </c>
      <c r="P72" s="252">
        <v>727.95</v>
      </c>
      <c r="Q72" s="179">
        <v>0</v>
      </c>
      <c r="R72" s="252">
        <f t="shared" si="3"/>
        <v>125</v>
      </c>
      <c r="S72" s="253">
        <f t="shared" si="2"/>
        <v>727.95</v>
      </c>
      <c r="T72" s="2"/>
    </row>
    <row r="73" spans="1:20" ht="14.25">
      <c r="A73" s="221" t="s">
        <v>195</v>
      </c>
      <c r="B73" s="156" t="s">
        <v>247</v>
      </c>
      <c r="C73" s="244" t="s">
        <v>344</v>
      </c>
      <c r="D73" s="149" t="s">
        <v>323</v>
      </c>
      <c r="E73" s="147" t="s">
        <v>454</v>
      </c>
      <c r="F73" s="147" t="s">
        <v>454</v>
      </c>
      <c r="G73" s="147" t="s">
        <v>454</v>
      </c>
      <c r="H73" s="147" t="s">
        <v>454</v>
      </c>
      <c r="I73" s="147" t="s">
        <v>410</v>
      </c>
      <c r="J73" s="147" t="s">
        <v>454</v>
      </c>
      <c r="K73" s="148" t="s">
        <v>768</v>
      </c>
      <c r="L73" s="178" t="s">
        <v>1684</v>
      </c>
      <c r="M73" s="251"/>
      <c r="N73" s="189" t="s">
        <v>10</v>
      </c>
      <c r="O73" s="252">
        <v>317.97000000000003</v>
      </c>
      <c r="P73" s="252">
        <v>529.95000000000005</v>
      </c>
      <c r="Q73" s="179">
        <v>0</v>
      </c>
      <c r="R73" s="252">
        <f t="shared" si="3"/>
        <v>125</v>
      </c>
      <c r="S73" s="253">
        <f t="shared" si="2"/>
        <v>529.95000000000005</v>
      </c>
    </row>
    <row r="74" spans="1:20" s="8" customFormat="1" ht="14.25">
      <c r="A74" s="221" t="s">
        <v>227</v>
      </c>
      <c r="B74" s="156" t="s">
        <v>1633</v>
      </c>
      <c r="C74" s="244" t="s">
        <v>354</v>
      </c>
      <c r="D74" s="149" t="s">
        <v>406</v>
      </c>
      <c r="E74" s="147" t="s">
        <v>410</v>
      </c>
      <c r="F74" s="147" t="s">
        <v>454</v>
      </c>
      <c r="G74" s="147" t="s">
        <v>454</v>
      </c>
      <c r="H74" s="147" t="s">
        <v>454</v>
      </c>
      <c r="I74" s="147" t="s">
        <v>410</v>
      </c>
      <c r="J74" s="147" t="s">
        <v>454</v>
      </c>
      <c r="K74" s="148" t="s">
        <v>768</v>
      </c>
      <c r="L74" s="178" t="s">
        <v>1684</v>
      </c>
      <c r="M74" s="251"/>
      <c r="N74" s="189" t="s">
        <v>10</v>
      </c>
      <c r="O74" s="252">
        <v>463.17</v>
      </c>
      <c r="P74" s="252">
        <v>771.95</v>
      </c>
      <c r="Q74" s="179">
        <v>0</v>
      </c>
      <c r="R74" s="252">
        <f t="shared" si="3"/>
        <v>125</v>
      </c>
      <c r="S74" s="253">
        <f t="shared" si="2"/>
        <v>771.95</v>
      </c>
      <c r="T74" s="2"/>
    </row>
    <row r="75" spans="1:20" ht="14.25">
      <c r="A75" s="221" t="s">
        <v>74</v>
      </c>
      <c r="B75" s="156" t="s">
        <v>245</v>
      </c>
      <c r="C75" s="244" t="s">
        <v>343</v>
      </c>
      <c r="D75" s="149" t="s">
        <v>392</v>
      </c>
      <c r="E75" s="147" t="s">
        <v>454</v>
      </c>
      <c r="F75" s="147" t="s">
        <v>454</v>
      </c>
      <c r="G75" s="147" t="s">
        <v>454</v>
      </c>
      <c r="H75" s="147" t="s">
        <v>454</v>
      </c>
      <c r="I75" s="147" t="s">
        <v>454</v>
      </c>
      <c r="J75" s="147" t="s">
        <v>454</v>
      </c>
      <c r="K75" s="148" t="s">
        <v>768</v>
      </c>
      <c r="L75" s="178" t="s">
        <v>1684</v>
      </c>
      <c r="M75" s="251"/>
      <c r="N75" s="189" t="s">
        <v>10</v>
      </c>
      <c r="O75" s="252">
        <v>317.97000000000003</v>
      </c>
      <c r="P75" s="252">
        <v>529.95000000000005</v>
      </c>
      <c r="Q75" s="179">
        <v>0</v>
      </c>
      <c r="R75" s="252">
        <f t="shared" si="3"/>
        <v>125</v>
      </c>
      <c r="S75" s="253">
        <f t="shared" si="2"/>
        <v>529.95000000000005</v>
      </c>
    </row>
    <row r="76" spans="1:20" ht="14.25">
      <c r="A76" s="221" t="s">
        <v>1058</v>
      </c>
      <c r="B76" s="156" t="s">
        <v>1056</v>
      </c>
      <c r="C76" s="244" t="s">
        <v>1057</v>
      </c>
      <c r="D76" s="149" t="s">
        <v>632</v>
      </c>
      <c r="E76" s="147" t="s">
        <v>454</v>
      </c>
      <c r="F76" s="147" t="s">
        <v>454</v>
      </c>
      <c r="G76" s="147" t="s">
        <v>454</v>
      </c>
      <c r="H76" s="147" t="s">
        <v>454</v>
      </c>
      <c r="I76" s="147" t="s">
        <v>454</v>
      </c>
      <c r="J76" s="147" t="s">
        <v>454</v>
      </c>
      <c r="K76" s="148" t="s">
        <v>768</v>
      </c>
      <c r="L76" s="178" t="s">
        <v>1684</v>
      </c>
      <c r="M76" s="251"/>
      <c r="N76" s="189" t="s">
        <v>10</v>
      </c>
      <c r="O76" s="252">
        <v>413.37</v>
      </c>
      <c r="P76" s="252">
        <v>688.95</v>
      </c>
      <c r="Q76" s="179">
        <v>0</v>
      </c>
      <c r="R76" s="252">
        <f t="shared" si="3"/>
        <v>125</v>
      </c>
      <c r="S76" s="253">
        <f t="shared" si="2"/>
        <v>688.95</v>
      </c>
    </row>
    <row r="77" spans="1:20" ht="14.25">
      <c r="A77" s="164" t="s">
        <v>2103</v>
      </c>
      <c r="B77" s="165" t="s">
        <v>2104</v>
      </c>
      <c r="C77" s="165" t="s">
        <v>2112</v>
      </c>
      <c r="D77" s="184" t="s">
        <v>2204</v>
      </c>
      <c r="E77" s="204" t="s">
        <v>454</v>
      </c>
      <c r="F77" s="205" t="s">
        <v>454</v>
      </c>
      <c r="G77" s="205" t="s">
        <v>454</v>
      </c>
      <c r="H77" s="205" t="s">
        <v>454</v>
      </c>
      <c r="I77" s="205" t="s">
        <v>454</v>
      </c>
      <c r="J77" s="205" t="s">
        <v>454</v>
      </c>
      <c r="K77" s="181" t="s">
        <v>768</v>
      </c>
      <c r="L77" s="181"/>
      <c r="M77" s="257"/>
      <c r="N77" s="210" t="s">
        <v>16</v>
      </c>
      <c r="O77" s="211">
        <v>498.7</v>
      </c>
      <c r="P77" s="211">
        <v>599.95000000000005</v>
      </c>
      <c r="Q77" s="212">
        <v>0</v>
      </c>
      <c r="R77" s="211">
        <f t="shared" si="3"/>
        <v>125</v>
      </c>
      <c r="S77" s="213">
        <f t="shared" si="2"/>
        <v>599.95000000000005</v>
      </c>
    </row>
    <row r="78" spans="1:20" ht="14.25">
      <c r="A78" s="221" t="s">
        <v>121</v>
      </c>
      <c r="B78" s="156" t="s">
        <v>640</v>
      </c>
      <c r="C78" s="244" t="s">
        <v>1704</v>
      </c>
      <c r="D78" s="149" t="s">
        <v>447</v>
      </c>
      <c r="E78" s="147" t="s">
        <v>454</v>
      </c>
      <c r="F78" s="147" t="s">
        <v>454</v>
      </c>
      <c r="G78" s="147" t="s">
        <v>454</v>
      </c>
      <c r="H78" s="147" t="s">
        <v>454</v>
      </c>
      <c r="I78" s="147" t="s">
        <v>454</v>
      </c>
      <c r="J78" s="147" t="s">
        <v>454</v>
      </c>
      <c r="K78" s="148" t="s">
        <v>768</v>
      </c>
      <c r="L78" s="178"/>
      <c r="M78" s="251"/>
      <c r="N78" s="189" t="s">
        <v>16</v>
      </c>
      <c r="O78" s="252">
        <v>62.25</v>
      </c>
      <c r="P78" s="252">
        <v>69.95</v>
      </c>
      <c r="Q78" s="179">
        <v>0</v>
      </c>
      <c r="R78" s="252">
        <f t="shared" si="3"/>
        <v>125</v>
      </c>
      <c r="S78" s="253">
        <f t="shared" si="2"/>
        <v>69.95</v>
      </c>
    </row>
    <row r="79" spans="1:20" ht="14.25">
      <c r="A79" s="221" t="s">
        <v>427</v>
      </c>
      <c r="B79" s="156" t="s">
        <v>1634</v>
      </c>
      <c r="C79" s="244" t="s">
        <v>1078</v>
      </c>
      <c r="D79" s="149" t="s">
        <v>429</v>
      </c>
      <c r="E79" s="147" t="s">
        <v>454</v>
      </c>
      <c r="F79" s="147" t="s">
        <v>454</v>
      </c>
      <c r="G79" s="147" t="s">
        <v>454</v>
      </c>
      <c r="H79" s="147" t="s">
        <v>454</v>
      </c>
      <c r="I79" s="147" t="s">
        <v>454</v>
      </c>
      <c r="J79" s="147" t="s">
        <v>454</v>
      </c>
      <c r="K79" s="148" t="s">
        <v>768</v>
      </c>
      <c r="L79" s="178"/>
      <c r="M79" s="251"/>
      <c r="N79" s="189" t="s">
        <v>16</v>
      </c>
      <c r="O79" s="252">
        <v>45.12</v>
      </c>
      <c r="P79" s="252">
        <v>59.95</v>
      </c>
      <c r="Q79" s="179">
        <v>0</v>
      </c>
      <c r="R79" s="252">
        <f t="shared" si="3"/>
        <v>125</v>
      </c>
      <c r="S79" s="253">
        <f t="shared" si="2"/>
        <v>59.95</v>
      </c>
    </row>
    <row r="80" spans="1:20" s="7" customFormat="1" ht="12.6" customHeight="1">
      <c r="A80" s="221" t="s">
        <v>424</v>
      </c>
      <c r="B80" s="156" t="s">
        <v>772</v>
      </c>
      <c r="C80" s="244" t="s">
        <v>425</v>
      </c>
      <c r="D80" s="149"/>
      <c r="E80" s="147" t="s">
        <v>454</v>
      </c>
      <c r="F80" s="147" t="s">
        <v>454</v>
      </c>
      <c r="G80" s="147" t="s">
        <v>454</v>
      </c>
      <c r="H80" s="147" t="s">
        <v>454</v>
      </c>
      <c r="I80" s="147" t="s">
        <v>454</v>
      </c>
      <c r="J80" s="147" t="s">
        <v>454</v>
      </c>
      <c r="K80" s="148" t="s">
        <v>768</v>
      </c>
      <c r="L80" s="178" t="s">
        <v>1684</v>
      </c>
      <c r="M80" s="178"/>
      <c r="N80" s="149" t="s">
        <v>16</v>
      </c>
      <c r="O80" s="252">
        <v>349.95</v>
      </c>
      <c r="P80" s="252">
        <v>449.95</v>
      </c>
      <c r="Q80" s="179">
        <v>0.8</v>
      </c>
      <c r="R80" s="252">
        <f t="shared" si="3"/>
        <v>125</v>
      </c>
      <c r="S80" s="253">
        <f t="shared" si="2"/>
        <v>549.95000000000005</v>
      </c>
      <c r="T80" s="14"/>
    </row>
    <row r="81" spans="1:20" ht="14.25">
      <c r="A81" s="221" t="s">
        <v>212</v>
      </c>
      <c r="B81" s="156" t="s">
        <v>774</v>
      </c>
      <c r="C81" s="244" t="s">
        <v>931</v>
      </c>
      <c r="D81" s="149" t="s">
        <v>440</v>
      </c>
      <c r="E81" s="147" t="s">
        <v>454</v>
      </c>
      <c r="F81" s="147" t="s">
        <v>454</v>
      </c>
      <c r="G81" s="147" t="s">
        <v>454</v>
      </c>
      <c r="H81" s="147" t="s">
        <v>454</v>
      </c>
      <c r="I81" s="147" t="s">
        <v>454</v>
      </c>
      <c r="J81" s="147" t="s">
        <v>454</v>
      </c>
      <c r="K81" s="148" t="s">
        <v>768</v>
      </c>
      <c r="L81" s="178" t="s">
        <v>1684</v>
      </c>
      <c r="M81" s="251"/>
      <c r="N81" s="189" t="s">
        <v>16</v>
      </c>
      <c r="O81" s="252">
        <v>442.48</v>
      </c>
      <c r="P81" s="252">
        <v>599.95000000000005</v>
      </c>
      <c r="Q81" s="179">
        <v>0.8</v>
      </c>
      <c r="R81" s="252">
        <f t="shared" si="3"/>
        <v>125</v>
      </c>
      <c r="S81" s="253">
        <f t="shared" si="2"/>
        <v>699.95</v>
      </c>
    </row>
    <row r="82" spans="1:20" ht="14.25">
      <c r="A82" s="221" t="s">
        <v>420</v>
      </c>
      <c r="B82" s="156" t="s">
        <v>421</v>
      </c>
      <c r="C82" s="144" t="s">
        <v>1984</v>
      </c>
      <c r="D82" s="149" t="s">
        <v>436</v>
      </c>
      <c r="E82" s="147" t="s">
        <v>454</v>
      </c>
      <c r="F82" s="147" t="s">
        <v>454</v>
      </c>
      <c r="G82" s="147" t="s">
        <v>454</v>
      </c>
      <c r="H82" s="147" t="s">
        <v>454</v>
      </c>
      <c r="I82" s="147" t="s">
        <v>454</v>
      </c>
      <c r="J82" s="147" t="s">
        <v>454</v>
      </c>
      <c r="K82" s="148" t="s">
        <v>768</v>
      </c>
      <c r="L82" s="178" t="s">
        <v>1684</v>
      </c>
      <c r="M82" s="251"/>
      <c r="N82" s="189" t="s">
        <v>16</v>
      </c>
      <c r="O82" s="252">
        <v>381.6</v>
      </c>
      <c r="P82" s="252">
        <v>479.95</v>
      </c>
      <c r="Q82" s="179">
        <v>0.7</v>
      </c>
      <c r="R82" s="252">
        <f t="shared" si="3"/>
        <v>125</v>
      </c>
      <c r="S82" s="253">
        <f t="shared" si="2"/>
        <v>567.45000000000005</v>
      </c>
    </row>
    <row r="83" spans="1:20" ht="14.25">
      <c r="A83" s="221" t="s">
        <v>416</v>
      </c>
      <c r="B83" s="156" t="s">
        <v>911</v>
      </c>
      <c r="C83" s="244" t="s">
        <v>914</v>
      </c>
      <c r="D83" s="149" t="s">
        <v>449</v>
      </c>
      <c r="E83" s="147" t="s">
        <v>454</v>
      </c>
      <c r="F83" s="147" t="s">
        <v>454</v>
      </c>
      <c r="G83" s="147" t="s">
        <v>454</v>
      </c>
      <c r="H83" s="147" t="s">
        <v>454</v>
      </c>
      <c r="I83" s="147" t="s">
        <v>454</v>
      </c>
      <c r="J83" s="147" t="s">
        <v>454</v>
      </c>
      <c r="K83" s="148" t="s">
        <v>768</v>
      </c>
      <c r="L83" s="178" t="s">
        <v>1684</v>
      </c>
      <c r="M83" s="251"/>
      <c r="N83" s="189" t="s">
        <v>16</v>
      </c>
      <c r="O83" s="252">
        <v>264.18</v>
      </c>
      <c r="P83" s="252">
        <v>349.95</v>
      </c>
      <c r="Q83" s="179">
        <v>0.8</v>
      </c>
      <c r="R83" s="252">
        <f t="shared" si="3"/>
        <v>125</v>
      </c>
      <c r="S83" s="253">
        <f t="shared" si="2"/>
        <v>449.95</v>
      </c>
    </row>
    <row r="84" spans="1:20" ht="14.25">
      <c r="A84" s="221" t="s">
        <v>415</v>
      </c>
      <c r="B84" s="156" t="s">
        <v>775</v>
      </c>
      <c r="C84" s="244" t="s">
        <v>932</v>
      </c>
      <c r="D84" s="149" t="s">
        <v>433</v>
      </c>
      <c r="E84" s="147" t="s">
        <v>454</v>
      </c>
      <c r="F84" s="147" t="s">
        <v>454</v>
      </c>
      <c r="G84" s="147" t="s">
        <v>454</v>
      </c>
      <c r="H84" s="147" t="s">
        <v>454</v>
      </c>
      <c r="I84" s="147" t="s">
        <v>454</v>
      </c>
      <c r="J84" s="147" t="s">
        <v>454</v>
      </c>
      <c r="K84" s="148" t="s">
        <v>768</v>
      </c>
      <c r="L84" s="178" t="s">
        <v>1684</v>
      </c>
      <c r="M84" s="251"/>
      <c r="N84" s="189" t="s">
        <v>16</v>
      </c>
      <c r="O84" s="252">
        <v>776.98</v>
      </c>
      <c r="P84" s="252">
        <v>1049.95</v>
      </c>
      <c r="Q84" s="179">
        <v>0.3</v>
      </c>
      <c r="R84" s="252">
        <f t="shared" si="3"/>
        <v>125</v>
      </c>
      <c r="S84" s="253">
        <f t="shared" si="2"/>
        <v>1087.45</v>
      </c>
    </row>
    <row r="85" spans="1:20" ht="14.25">
      <c r="A85" s="221" t="s">
        <v>414</v>
      </c>
      <c r="B85" s="156" t="s">
        <v>776</v>
      </c>
      <c r="C85" s="244" t="s">
        <v>933</v>
      </c>
      <c r="D85" s="149" t="s">
        <v>434</v>
      </c>
      <c r="E85" s="147" t="s">
        <v>454</v>
      </c>
      <c r="F85" s="147" t="s">
        <v>454</v>
      </c>
      <c r="G85" s="147" t="s">
        <v>454</v>
      </c>
      <c r="H85" s="147" t="s">
        <v>454</v>
      </c>
      <c r="I85" s="147" t="s">
        <v>454</v>
      </c>
      <c r="J85" s="147" t="s">
        <v>454</v>
      </c>
      <c r="K85" s="148" t="s">
        <v>768</v>
      </c>
      <c r="L85" s="178" t="s">
        <v>1684</v>
      </c>
      <c r="M85" s="251"/>
      <c r="N85" s="189" t="s">
        <v>16</v>
      </c>
      <c r="O85" s="252">
        <v>737.59</v>
      </c>
      <c r="P85" s="252">
        <v>979.95</v>
      </c>
      <c r="Q85" s="179">
        <v>0.3</v>
      </c>
      <c r="R85" s="252">
        <f t="shared" si="3"/>
        <v>125</v>
      </c>
      <c r="S85" s="253">
        <f t="shared" si="2"/>
        <v>1017.45</v>
      </c>
    </row>
    <row r="86" spans="1:20" ht="14.25">
      <c r="A86" s="221" t="s">
        <v>119</v>
      </c>
      <c r="B86" s="156" t="s">
        <v>430</v>
      </c>
      <c r="C86" s="244" t="s">
        <v>125</v>
      </c>
      <c r="D86" s="149" t="s">
        <v>128</v>
      </c>
      <c r="E86" s="147" t="s">
        <v>454</v>
      </c>
      <c r="F86" s="147" t="s">
        <v>454</v>
      </c>
      <c r="G86" s="147" t="s">
        <v>454</v>
      </c>
      <c r="H86" s="147" t="s">
        <v>454</v>
      </c>
      <c r="I86" s="147" t="s">
        <v>454</v>
      </c>
      <c r="J86" s="147" t="s">
        <v>454</v>
      </c>
      <c r="K86" s="148" t="s">
        <v>768</v>
      </c>
      <c r="L86" s="178"/>
      <c r="M86" s="251"/>
      <c r="N86" s="189" t="s">
        <v>16</v>
      </c>
      <c r="O86" s="252">
        <v>170.46</v>
      </c>
      <c r="P86" s="252">
        <v>219.95</v>
      </c>
      <c r="Q86" s="179">
        <v>0.3</v>
      </c>
      <c r="R86" s="252">
        <f t="shared" si="3"/>
        <v>125</v>
      </c>
      <c r="S86" s="253">
        <f t="shared" si="2"/>
        <v>257.45</v>
      </c>
    </row>
    <row r="87" spans="1:20" ht="14.25">
      <c r="A87" s="221" t="s">
        <v>411</v>
      </c>
      <c r="B87" s="156" t="s">
        <v>641</v>
      </c>
      <c r="C87" s="244" t="s">
        <v>412</v>
      </c>
      <c r="D87" s="149" t="s">
        <v>446</v>
      </c>
      <c r="E87" s="147" t="s">
        <v>454</v>
      </c>
      <c r="F87" s="147" t="s">
        <v>454</v>
      </c>
      <c r="G87" s="147" t="s">
        <v>454</v>
      </c>
      <c r="H87" s="147" t="s">
        <v>454</v>
      </c>
      <c r="I87" s="147" t="s">
        <v>454</v>
      </c>
      <c r="J87" s="147" t="s">
        <v>454</v>
      </c>
      <c r="K87" s="148" t="s">
        <v>768</v>
      </c>
      <c r="L87" s="178" t="s">
        <v>1684</v>
      </c>
      <c r="M87" s="251"/>
      <c r="N87" s="189" t="s">
        <v>16</v>
      </c>
      <c r="O87" s="252">
        <v>297.82</v>
      </c>
      <c r="P87" s="252">
        <v>379.95</v>
      </c>
      <c r="Q87" s="179">
        <v>0.3</v>
      </c>
      <c r="R87" s="252">
        <f t="shared" si="3"/>
        <v>125</v>
      </c>
      <c r="S87" s="253">
        <f t="shared" si="2"/>
        <v>417.45</v>
      </c>
    </row>
    <row r="88" spans="1:20" ht="14.25">
      <c r="A88" s="221" t="s">
        <v>77</v>
      </c>
      <c r="B88" s="156" t="s">
        <v>791</v>
      </c>
      <c r="C88" s="244" t="s">
        <v>2181</v>
      </c>
      <c r="D88" s="149" t="s">
        <v>82</v>
      </c>
      <c r="E88" s="147" t="s">
        <v>454</v>
      </c>
      <c r="F88" s="147" t="s">
        <v>454</v>
      </c>
      <c r="G88" s="147" t="s">
        <v>454</v>
      </c>
      <c r="H88" s="147"/>
      <c r="I88" s="147"/>
      <c r="J88" s="147"/>
      <c r="K88" s="148"/>
      <c r="L88" s="178"/>
      <c r="M88" s="251"/>
      <c r="N88" s="189" t="s">
        <v>16</v>
      </c>
      <c r="O88" s="252">
        <v>109.95</v>
      </c>
      <c r="P88" s="252">
        <v>184.95</v>
      </c>
      <c r="Q88" s="179">
        <v>0.8</v>
      </c>
      <c r="R88" s="252">
        <f t="shared" si="3"/>
        <v>125</v>
      </c>
      <c r="S88" s="253">
        <f t="shared" si="2"/>
        <v>284.95</v>
      </c>
    </row>
    <row r="89" spans="1:20" ht="14.25">
      <c r="A89" s="221" t="s">
        <v>78</v>
      </c>
      <c r="B89" s="156" t="s">
        <v>789</v>
      </c>
      <c r="C89" s="244" t="s">
        <v>394</v>
      </c>
      <c r="D89" s="149" t="s">
        <v>83</v>
      </c>
      <c r="E89" s="147"/>
      <c r="F89" s="147"/>
      <c r="G89" s="147"/>
      <c r="H89" s="147" t="s">
        <v>454</v>
      </c>
      <c r="I89" s="147" t="s">
        <v>454</v>
      </c>
      <c r="J89" s="147" t="s">
        <v>454</v>
      </c>
      <c r="K89" s="148" t="s">
        <v>768</v>
      </c>
      <c r="L89" s="178"/>
      <c r="M89" s="251"/>
      <c r="N89" s="189" t="s">
        <v>16</v>
      </c>
      <c r="O89" s="252">
        <v>556.79999999999995</v>
      </c>
      <c r="P89" s="252">
        <v>969.8</v>
      </c>
      <c r="Q89" s="179">
        <v>0.8</v>
      </c>
      <c r="R89" s="252">
        <f t="shared" si="3"/>
        <v>125</v>
      </c>
      <c r="S89" s="253">
        <f t="shared" si="2"/>
        <v>1069.8</v>
      </c>
    </row>
    <row r="90" spans="1:20" ht="14.25">
      <c r="A90" s="221" t="s">
        <v>79</v>
      </c>
      <c r="B90" s="156" t="s">
        <v>789</v>
      </c>
      <c r="C90" s="244" t="s">
        <v>395</v>
      </c>
      <c r="D90" s="149" t="s">
        <v>84</v>
      </c>
      <c r="E90" s="147" t="s">
        <v>454</v>
      </c>
      <c r="F90" s="147" t="s">
        <v>454</v>
      </c>
      <c r="G90" s="147" t="s">
        <v>454</v>
      </c>
      <c r="H90" s="147"/>
      <c r="I90" s="147"/>
      <c r="J90" s="147"/>
      <c r="K90" s="148"/>
      <c r="L90" s="178"/>
      <c r="M90" s="251"/>
      <c r="N90" s="189" t="s">
        <v>16</v>
      </c>
      <c r="O90" s="252">
        <v>556.79999999999995</v>
      </c>
      <c r="P90" s="252">
        <v>969.8</v>
      </c>
      <c r="Q90" s="179">
        <v>0.8</v>
      </c>
      <c r="R90" s="252">
        <f t="shared" si="3"/>
        <v>125</v>
      </c>
      <c r="S90" s="253">
        <f t="shared" si="2"/>
        <v>1069.8</v>
      </c>
    </row>
    <row r="91" spans="1:20" ht="14.25">
      <c r="A91" s="221" t="s">
        <v>298</v>
      </c>
      <c r="B91" s="156" t="s">
        <v>789</v>
      </c>
      <c r="C91" s="244" t="s">
        <v>395</v>
      </c>
      <c r="D91" s="149" t="s">
        <v>2052</v>
      </c>
      <c r="E91" s="147" t="s">
        <v>454</v>
      </c>
      <c r="F91" s="147" t="s">
        <v>454</v>
      </c>
      <c r="G91" s="147" t="s">
        <v>454</v>
      </c>
      <c r="H91" s="147"/>
      <c r="I91" s="147"/>
      <c r="J91" s="147"/>
      <c r="K91" s="148"/>
      <c r="L91" s="178"/>
      <c r="M91" s="251"/>
      <c r="N91" s="189" t="s">
        <v>16</v>
      </c>
      <c r="O91" s="252">
        <v>578.41999999999996</v>
      </c>
      <c r="P91" s="252">
        <v>969.8</v>
      </c>
      <c r="Q91" s="179">
        <v>0.8</v>
      </c>
      <c r="R91" s="252">
        <f t="shared" si="3"/>
        <v>125</v>
      </c>
      <c r="S91" s="253">
        <f t="shared" si="2"/>
        <v>1069.8</v>
      </c>
    </row>
    <row r="92" spans="1:20" ht="14.25">
      <c r="A92" s="221" t="s">
        <v>266</v>
      </c>
      <c r="B92" s="156" t="s">
        <v>790</v>
      </c>
      <c r="C92" s="244" t="s">
        <v>396</v>
      </c>
      <c r="D92" s="149" t="s">
        <v>2053</v>
      </c>
      <c r="E92" s="147"/>
      <c r="F92" s="147"/>
      <c r="G92" s="147"/>
      <c r="H92" s="147" t="s">
        <v>454</v>
      </c>
      <c r="I92" s="147" t="s">
        <v>454</v>
      </c>
      <c r="J92" s="147" t="s">
        <v>454</v>
      </c>
      <c r="K92" s="148"/>
      <c r="L92" s="178"/>
      <c r="M92" s="251"/>
      <c r="N92" s="189" t="s">
        <v>16</v>
      </c>
      <c r="O92" s="252">
        <v>582.21</v>
      </c>
      <c r="P92" s="252">
        <v>969.8</v>
      </c>
      <c r="Q92" s="179">
        <v>0.8</v>
      </c>
      <c r="R92" s="252">
        <f t="shared" si="3"/>
        <v>125</v>
      </c>
      <c r="S92" s="253">
        <f t="shared" si="2"/>
        <v>1069.8</v>
      </c>
    </row>
    <row r="93" spans="1:20" ht="14.25">
      <c r="A93" s="221" t="s">
        <v>418</v>
      </c>
      <c r="B93" s="156" t="s">
        <v>1635</v>
      </c>
      <c r="C93" s="244" t="s">
        <v>1636</v>
      </c>
      <c r="D93" s="149" t="s">
        <v>438</v>
      </c>
      <c r="E93" s="147" t="s">
        <v>454</v>
      </c>
      <c r="F93" s="147" t="s">
        <v>454</v>
      </c>
      <c r="G93" s="147" t="s">
        <v>454</v>
      </c>
      <c r="H93" s="147" t="s">
        <v>454</v>
      </c>
      <c r="I93" s="147" t="s">
        <v>454</v>
      </c>
      <c r="J93" s="147" t="s">
        <v>454</v>
      </c>
      <c r="K93" s="148" t="s">
        <v>768</v>
      </c>
      <c r="L93" s="178" t="s">
        <v>1684</v>
      </c>
      <c r="M93" s="251"/>
      <c r="N93" s="189" t="s">
        <v>16</v>
      </c>
      <c r="O93" s="252">
        <v>453.5</v>
      </c>
      <c r="P93" s="252">
        <v>549.95000000000005</v>
      </c>
      <c r="Q93" s="179">
        <v>0.3</v>
      </c>
      <c r="R93" s="252">
        <f t="shared" si="3"/>
        <v>125</v>
      </c>
      <c r="S93" s="253">
        <f t="shared" si="2"/>
        <v>587.45000000000005</v>
      </c>
      <c r="T93" s="45"/>
    </row>
    <row r="94" spans="1:20" ht="14.25">
      <c r="A94" s="221" t="s">
        <v>426</v>
      </c>
      <c r="B94" s="156" t="s">
        <v>896</v>
      </c>
      <c r="C94" s="244" t="s">
        <v>930</v>
      </c>
      <c r="D94" s="149"/>
      <c r="E94" s="147" t="s">
        <v>454</v>
      </c>
      <c r="F94" s="147" t="s">
        <v>454</v>
      </c>
      <c r="G94" s="147" t="s">
        <v>454</v>
      </c>
      <c r="H94" s="147" t="s">
        <v>454</v>
      </c>
      <c r="I94" s="147" t="s">
        <v>454</v>
      </c>
      <c r="J94" s="147" t="s">
        <v>454</v>
      </c>
      <c r="K94" s="148" t="s">
        <v>768</v>
      </c>
      <c r="L94" s="175" t="s">
        <v>1684</v>
      </c>
      <c r="M94" s="258"/>
      <c r="N94" s="189" t="s">
        <v>16</v>
      </c>
      <c r="O94" s="252">
        <v>60.62</v>
      </c>
      <c r="P94" s="252">
        <v>94.95</v>
      </c>
      <c r="Q94" s="179">
        <v>0.2</v>
      </c>
      <c r="R94" s="252">
        <f t="shared" si="3"/>
        <v>125</v>
      </c>
      <c r="S94" s="253">
        <f t="shared" si="2"/>
        <v>119.95</v>
      </c>
    </row>
    <row r="95" spans="1:20" ht="14.25">
      <c r="A95" s="221" t="s">
        <v>211</v>
      </c>
      <c r="B95" s="156" t="s">
        <v>778</v>
      </c>
      <c r="C95" s="244" t="s">
        <v>937</v>
      </c>
      <c r="D95" s="149" t="s">
        <v>448</v>
      </c>
      <c r="E95" s="147" t="s">
        <v>454</v>
      </c>
      <c r="F95" s="147" t="s">
        <v>454</v>
      </c>
      <c r="G95" s="147" t="s">
        <v>454</v>
      </c>
      <c r="H95" s="147" t="s">
        <v>454</v>
      </c>
      <c r="I95" s="147" t="s">
        <v>454</v>
      </c>
      <c r="J95" s="147" t="s">
        <v>454</v>
      </c>
      <c r="K95" s="148" t="s">
        <v>768</v>
      </c>
      <c r="L95" s="178"/>
      <c r="M95" s="251"/>
      <c r="N95" s="189" t="s">
        <v>16</v>
      </c>
      <c r="O95" s="252">
        <v>84.65</v>
      </c>
      <c r="P95" s="252">
        <v>119.95</v>
      </c>
      <c r="Q95" s="179">
        <v>0.1</v>
      </c>
      <c r="R95" s="252">
        <f t="shared" si="3"/>
        <v>125</v>
      </c>
      <c r="S95" s="253">
        <f t="shared" si="2"/>
        <v>132.44999999999999</v>
      </c>
    </row>
    <row r="96" spans="1:20" ht="14.25">
      <c r="A96" s="221" t="s">
        <v>66</v>
      </c>
      <c r="B96" s="156" t="s">
        <v>67</v>
      </c>
      <c r="C96" s="244" t="s">
        <v>104</v>
      </c>
      <c r="D96" s="149"/>
      <c r="E96" s="147" t="s">
        <v>454</v>
      </c>
      <c r="F96" s="147" t="s">
        <v>454</v>
      </c>
      <c r="G96" s="147" t="s">
        <v>454</v>
      </c>
      <c r="H96" s="147" t="s">
        <v>454</v>
      </c>
      <c r="I96" s="147" t="s">
        <v>454</v>
      </c>
      <c r="J96" s="147" t="s">
        <v>454</v>
      </c>
      <c r="K96" s="148" t="s">
        <v>768</v>
      </c>
      <c r="L96" s="178" t="s">
        <v>1684</v>
      </c>
      <c r="M96" s="251"/>
      <c r="N96" s="189" t="s">
        <v>16</v>
      </c>
      <c r="O96" s="252">
        <v>140.37</v>
      </c>
      <c r="P96" s="252">
        <v>233.95</v>
      </c>
      <c r="Q96" s="179">
        <v>0.2</v>
      </c>
      <c r="R96" s="252">
        <f t="shared" si="3"/>
        <v>125</v>
      </c>
      <c r="S96" s="253">
        <f t="shared" si="2"/>
        <v>258.95</v>
      </c>
      <c r="T96" s="45"/>
    </row>
    <row r="97" spans="1:19" ht="14.25">
      <c r="A97" s="221" t="s">
        <v>206</v>
      </c>
      <c r="B97" s="156" t="s">
        <v>924</v>
      </c>
      <c r="C97" s="244" t="s">
        <v>1662</v>
      </c>
      <c r="D97" s="149" t="s">
        <v>269</v>
      </c>
      <c r="E97" s="147" t="s">
        <v>454</v>
      </c>
      <c r="F97" s="147" t="s">
        <v>454</v>
      </c>
      <c r="G97" s="147" t="s">
        <v>454</v>
      </c>
      <c r="H97" s="147" t="s">
        <v>454</v>
      </c>
      <c r="I97" s="147" t="s">
        <v>410</v>
      </c>
      <c r="J97" s="147" t="s">
        <v>454</v>
      </c>
      <c r="K97" s="148" t="s">
        <v>768</v>
      </c>
      <c r="L97" s="178"/>
      <c r="M97" s="251"/>
      <c r="N97" s="189" t="s">
        <v>4</v>
      </c>
      <c r="O97" s="252">
        <v>15.57</v>
      </c>
      <c r="P97" s="252">
        <v>23.95</v>
      </c>
      <c r="Q97" s="179">
        <v>0</v>
      </c>
      <c r="R97" s="252">
        <f t="shared" si="3"/>
        <v>125</v>
      </c>
      <c r="S97" s="253">
        <f t="shared" si="2"/>
        <v>23.95</v>
      </c>
    </row>
    <row r="98" spans="1:19" ht="14.25">
      <c r="A98" s="221" t="s">
        <v>3</v>
      </c>
      <c r="B98" s="156" t="s">
        <v>383</v>
      </c>
      <c r="C98" s="244" t="s">
        <v>1663</v>
      </c>
      <c r="D98" s="149" t="s">
        <v>386</v>
      </c>
      <c r="E98" s="147" t="s">
        <v>454</v>
      </c>
      <c r="F98" s="147" t="s">
        <v>454</v>
      </c>
      <c r="G98" s="147" t="s">
        <v>454</v>
      </c>
      <c r="H98" s="147" t="s">
        <v>454</v>
      </c>
      <c r="I98" s="147" t="s">
        <v>454</v>
      </c>
      <c r="J98" s="147" t="s">
        <v>454</v>
      </c>
      <c r="K98" s="148" t="s">
        <v>768</v>
      </c>
      <c r="L98" s="178"/>
      <c r="M98" s="251"/>
      <c r="N98" s="189" t="s">
        <v>4</v>
      </c>
      <c r="O98" s="252">
        <v>15.57</v>
      </c>
      <c r="P98" s="252">
        <v>23.95</v>
      </c>
      <c r="Q98" s="179">
        <v>0</v>
      </c>
      <c r="R98" s="252">
        <f t="shared" si="3"/>
        <v>125</v>
      </c>
      <c r="S98" s="253">
        <f t="shared" si="2"/>
        <v>23.95</v>
      </c>
    </row>
    <row r="99" spans="1:19" ht="14.25">
      <c r="A99" s="221" t="s">
        <v>225</v>
      </c>
      <c r="B99" s="156" t="s">
        <v>925</v>
      </c>
      <c r="C99" s="244" t="s">
        <v>1664</v>
      </c>
      <c r="D99" s="149" t="s">
        <v>398</v>
      </c>
      <c r="E99" s="147" t="s">
        <v>410</v>
      </c>
      <c r="F99" s="147" t="s">
        <v>410</v>
      </c>
      <c r="G99" s="147" t="s">
        <v>454</v>
      </c>
      <c r="H99" s="147" t="s">
        <v>454</v>
      </c>
      <c r="I99" s="147" t="s">
        <v>410</v>
      </c>
      <c r="J99" s="147" t="s">
        <v>454</v>
      </c>
      <c r="K99" s="148" t="s">
        <v>768</v>
      </c>
      <c r="L99" s="178"/>
      <c r="M99" s="251"/>
      <c r="N99" s="189" t="s">
        <v>4</v>
      </c>
      <c r="O99" s="252">
        <v>25.77</v>
      </c>
      <c r="P99" s="252">
        <v>42.95</v>
      </c>
      <c r="Q99" s="179">
        <v>0</v>
      </c>
      <c r="R99" s="252">
        <f t="shared" si="3"/>
        <v>125</v>
      </c>
      <c r="S99" s="253">
        <f t="shared" si="2"/>
        <v>42.95</v>
      </c>
    </row>
    <row r="100" spans="1:19" ht="14.25">
      <c r="A100" s="221" t="s">
        <v>22</v>
      </c>
      <c r="B100" s="156" t="s">
        <v>926</v>
      </c>
      <c r="C100" s="244" t="s">
        <v>1665</v>
      </c>
      <c r="D100" s="149" t="s">
        <v>405</v>
      </c>
      <c r="E100" s="147" t="s">
        <v>454</v>
      </c>
      <c r="F100" s="147" t="s">
        <v>454</v>
      </c>
      <c r="G100" s="147" t="s">
        <v>454</v>
      </c>
      <c r="H100" s="147" t="s">
        <v>454</v>
      </c>
      <c r="I100" s="147" t="s">
        <v>410</v>
      </c>
      <c r="J100" s="147" t="s">
        <v>454</v>
      </c>
      <c r="K100" s="148" t="s">
        <v>768</v>
      </c>
      <c r="L100" s="178"/>
      <c r="M100" s="251"/>
      <c r="N100" s="189" t="s">
        <v>4</v>
      </c>
      <c r="O100" s="252">
        <v>15.57</v>
      </c>
      <c r="P100" s="252">
        <v>23.95</v>
      </c>
      <c r="Q100" s="179">
        <v>0</v>
      </c>
      <c r="R100" s="252">
        <f t="shared" si="3"/>
        <v>125</v>
      </c>
      <c r="S100" s="253">
        <f t="shared" si="2"/>
        <v>23.95</v>
      </c>
    </row>
    <row r="101" spans="1:19" ht="14.25">
      <c r="A101" s="221" t="s">
        <v>116</v>
      </c>
      <c r="B101" s="156" t="s">
        <v>384</v>
      </c>
      <c r="C101" s="244" t="s">
        <v>1666</v>
      </c>
      <c r="D101" s="149" t="s">
        <v>323</v>
      </c>
      <c r="E101" s="147" t="s">
        <v>454</v>
      </c>
      <c r="F101" s="147" t="s">
        <v>454</v>
      </c>
      <c r="G101" s="147" t="s">
        <v>454</v>
      </c>
      <c r="H101" s="147" t="s">
        <v>454</v>
      </c>
      <c r="I101" s="147" t="s">
        <v>410</v>
      </c>
      <c r="J101" s="147" t="s">
        <v>454</v>
      </c>
      <c r="K101" s="148" t="s">
        <v>768</v>
      </c>
      <c r="L101" s="178"/>
      <c r="M101" s="251"/>
      <c r="N101" s="189" t="s">
        <v>4</v>
      </c>
      <c r="O101" s="252">
        <v>15.54</v>
      </c>
      <c r="P101" s="252">
        <v>23.95</v>
      </c>
      <c r="Q101" s="179">
        <v>0</v>
      </c>
      <c r="R101" s="252">
        <f t="shared" si="3"/>
        <v>125</v>
      </c>
      <c r="S101" s="253">
        <f t="shared" si="2"/>
        <v>23.95</v>
      </c>
    </row>
    <row r="102" spans="1:19" ht="14.25">
      <c r="A102" s="221" t="s">
        <v>220</v>
      </c>
      <c r="B102" s="156" t="s">
        <v>928</v>
      </c>
      <c r="C102" s="244" t="s">
        <v>1667</v>
      </c>
      <c r="D102" s="149" t="s">
        <v>406</v>
      </c>
      <c r="E102" s="147" t="s">
        <v>410</v>
      </c>
      <c r="F102" s="147" t="s">
        <v>454</v>
      </c>
      <c r="G102" s="147" t="s">
        <v>454</v>
      </c>
      <c r="H102" s="147" t="s">
        <v>454</v>
      </c>
      <c r="I102" s="147" t="s">
        <v>410</v>
      </c>
      <c r="J102" s="147" t="s">
        <v>454</v>
      </c>
      <c r="K102" s="148" t="s">
        <v>768</v>
      </c>
      <c r="L102" s="178"/>
      <c r="M102" s="251"/>
      <c r="N102" s="189" t="s">
        <v>4</v>
      </c>
      <c r="O102" s="252">
        <v>27.57</v>
      </c>
      <c r="P102" s="252">
        <v>45.95</v>
      </c>
      <c r="Q102" s="179">
        <v>0</v>
      </c>
      <c r="R102" s="252">
        <f t="shared" si="3"/>
        <v>125</v>
      </c>
      <c r="S102" s="253">
        <f t="shared" ref="S102:S115" si="4">Q102*R102+P102</f>
        <v>45.95</v>
      </c>
    </row>
    <row r="103" spans="1:19" ht="14.25">
      <c r="A103" s="221" t="s">
        <v>6</v>
      </c>
      <c r="B103" s="156" t="s">
        <v>929</v>
      </c>
      <c r="C103" s="244" t="s">
        <v>1668</v>
      </c>
      <c r="D103" s="149" t="s">
        <v>392</v>
      </c>
      <c r="E103" s="147" t="s">
        <v>454</v>
      </c>
      <c r="F103" s="147" t="s">
        <v>454</v>
      </c>
      <c r="G103" s="147" t="s">
        <v>454</v>
      </c>
      <c r="H103" s="147" t="s">
        <v>454</v>
      </c>
      <c r="I103" s="147" t="s">
        <v>454</v>
      </c>
      <c r="J103" s="147" t="s">
        <v>454</v>
      </c>
      <c r="K103" s="148" t="s">
        <v>768</v>
      </c>
      <c r="L103" s="178"/>
      <c r="M103" s="251"/>
      <c r="N103" s="189" t="s">
        <v>4</v>
      </c>
      <c r="O103" s="252">
        <v>15.57</v>
      </c>
      <c r="P103" s="252">
        <v>23.95</v>
      </c>
      <c r="Q103" s="179">
        <v>0</v>
      </c>
      <c r="R103" s="252">
        <f t="shared" si="3"/>
        <v>125</v>
      </c>
      <c r="S103" s="253">
        <f t="shared" si="4"/>
        <v>23.95</v>
      </c>
    </row>
    <row r="104" spans="1:19" ht="14.25">
      <c r="A104" s="221" t="s">
        <v>635</v>
      </c>
      <c r="B104" s="156" t="s">
        <v>962</v>
      </c>
      <c r="C104" s="244" t="s">
        <v>1669</v>
      </c>
      <c r="D104" s="149" t="s">
        <v>788</v>
      </c>
      <c r="E104" s="147" t="s">
        <v>454</v>
      </c>
      <c r="F104" s="147" t="s">
        <v>454</v>
      </c>
      <c r="G104" s="147" t="s">
        <v>454</v>
      </c>
      <c r="H104" s="147" t="s">
        <v>454</v>
      </c>
      <c r="I104" s="147" t="s">
        <v>410</v>
      </c>
      <c r="J104" s="147" t="s">
        <v>454</v>
      </c>
      <c r="K104" s="148" t="s">
        <v>768</v>
      </c>
      <c r="L104" s="178"/>
      <c r="M104" s="251"/>
      <c r="N104" s="189" t="s">
        <v>4</v>
      </c>
      <c r="O104" s="252">
        <v>15.57</v>
      </c>
      <c r="P104" s="252">
        <v>23.95</v>
      </c>
      <c r="Q104" s="179">
        <v>0</v>
      </c>
      <c r="R104" s="252">
        <f t="shared" si="3"/>
        <v>125</v>
      </c>
      <c r="S104" s="253">
        <f t="shared" si="4"/>
        <v>23.95</v>
      </c>
    </row>
    <row r="105" spans="1:19" ht="14.25">
      <c r="A105" s="170" t="s">
        <v>80</v>
      </c>
      <c r="B105" s="171" t="s">
        <v>214</v>
      </c>
      <c r="C105" s="209" t="s">
        <v>1814</v>
      </c>
      <c r="D105" s="182" t="s">
        <v>1673</v>
      </c>
      <c r="E105" s="180" t="s">
        <v>454</v>
      </c>
      <c r="F105" s="180" t="s">
        <v>454</v>
      </c>
      <c r="G105" s="180" t="s">
        <v>454</v>
      </c>
      <c r="H105" s="180" t="s">
        <v>454</v>
      </c>
      <c r="I105" s="180" t="s">
        <v>454</v>
      </c>
      <c r="J105" s="180" t="s">
        <v>454</v>
      </c>
      <c r="K105" s="181" t="s">
        <v>768</v>
      </c>
      <c r="L105" s="254" t="s">
        <v>1684</v>
      </c>
      <c r="M105" s="255"/>
      <c r="N105" s="210" t="s">
        <v>16</v>
      </c>
      <c r="O105" s="211">
        <v>112</v>
      </c>
      <c r="P105" s="211">
        <v>159.94999999999999</v>
      </c>
      <c r="Q105" s="212">
        <v>0</v>
      </c>
      <c r="R105" s="211">
        <f t="shared" si="3"/>
        <v>125</v>
      </c>
      <c r="S105" s="213">
        <f t="shared" ref="S105" si="5">Q105*R105+P105</f>
        <v>159.94999999999999</v>
      </c>
    </row>
    <row r="106" spans="1:19" ht="14.25">
      <c r="A106" s="221" t="s">
        <v>17</v>
      </c>
      <c r="B106" s="156" t="s">
        <v>644</v>
      </c>
      <c r="C106" s="244" t="s">
        <v>1807</v>
      </c>
      <c r="D106" s="149" t="s">
        <v>1752</v>
      </c>
      <c r="E106" s="147" t="s">
        <v>454</v>
      </c>
      <c r="F106" s="147" t="s">
        <v>454</v>
      </c>
      <c r="G106" s="147" t="s">
        <v>454</v>
      </c>
      <c r="H106" s="147" t="s">
        <v>454</v>
      </c>
      <c r="I106" s="147" t="s">
        <v>454</v>
      </c>
      <c r="J106" s="147" t="s">
        <v>454</v>
      </c>
      <c r="K106" s="148" t="s">
        <v>768</v>
      </c>
      <c r="L106" s="178"/>
      <c r="M106" s="251"/>
      <c r="N106" s="189" t="s">
        <v>16</v>
      </c>
      <c r="O106" s="252">
        <v>39.99</v>
      </c>
      <c r="P106" s="252">
        <v>59.95</v>
      </c>
      <c r="Q106" s="179">
        <v>0</v>
      </c>
      <c r="R106" s="252">
        <f t="shared" si="3"/>
        <v>125</v>
      </c>
      <c r="S106" s="253">
        <f t="shared" si="4"/>
        <v>59.95</v>
      </c>
    </row>
    <row r="107" spans="1:19" ht="14.25">
      <c r="A107" s="221" t="s">
        <v>1487</v>
      </c>
      <c r="B107" s="156" t="s">
        <v>1485</v>
      </c>
      <c r="C107" s="244" t="s">
        <v>1486</v>
      </c>
      <c r="D107" s="149" t="s">
        <v>1709</v>
      </c>
      <c r="E107" s="147" t="s">
        <v>454</v>
      </c>
      <c r="F107" s="147" t="s">
        <v>454</v>
      </c>
      <c r="G107" s="147" t="s">
        <v>454</v>
      </c>
      <c r="H107" s="147" t="s">
        <v>454</v>
      </c>
      <c r="I107" s="147" t="s">
        <v>454</v>
      </c>
      <c r="J107" s="147" t="s">
        <v>454</v>
      </c>
      <c r="K107" s="148" t="s">
        <v>768</v>
      </c>
      <c r="L107" s="178"/>
      <c r="M107" s="251"/>
      <c r="N107" s="189" t="s">
        <v>0</v>
      </c>
      <c r="O107" s="252">
        <v>47</v>
      </c>
      <c r="P107" s="252">
        <v>64.95</v>
      </c>
      <c r="Q107" s="179">
        <v>0</v>
      </c>
      <c r="R107" s="252">
        <f t="shared" si="3"/>
        <v>125</v>
      </c>
      <c r="S107" s="253">
        <f t="shared" si="4"/>
        <v>64.95</v>
      </c>
    </row>
    <row r="108" spans="1:19" ht="14.25">
      <c r="A108" s="221" t="s">
        <v>294</v>
      </c>
      <c r="B108" s="156" t="s">
        <v>295</v>
      </c>
      <c r="C108" s="244" t="s">
        <v>296</v>
      </c>
      <c r="D108" s="149" t="s">
        <v>1708</v>
      </c>
      <c r="E108" s="147" t="s">
        <v>454</v>
      </c>
      <c r="F108" s="147" t="s">
        <v>454</v>
      </c>
      <c r="G108" s="147" t="s">
        <v>454</v>
      </c>
      <c r="H108" s="147" t="s">
        <v>454</v>
      </c>
      <c r="I108" s="147" t="s">
        <v>454</v>
      </c>
      <c r="J108" s="147" t="s">
        <v>454</v>
      </c>
      <c r="K108" s="148" t="s">
        <v>768</v>
      </c>
      <c r="L108" s="178"/>
      <c r="M108" s="251"/>
      <c r="N108" s="189" t="s">
        <v>0</v>
      </c>
      <c r="O108" s="252">
        <v>60</v>
      </c>
      <c r="P108" s="252">
        <v>79.95</v>
      </c>
      <c r="Q108" s="179">
        <v>0</v>
      </c>
      <c r="R108" s="252">
        <f t="shared" si="3"/>
        <v>125</v>
      </c>
      <c r="S108" s="253">
        <f t="shared" si="4"/>
        <v>79.95</v>
      </c>
    </row>
    <row r="109" spans="1:19" ht="14.25">
      <c r="A109" s="221" t="s">
        <v>9</v>
      </c>
      <c r="B109" s="156" t="s">
        <v>919</v>
      </c>
      <c r="C109" s="244" t="s">
        <v>920</v>
      </c>
      <c r="D109" s="149" t="s">
        <v>2054</v>
      </c>
      <c r="E109" s="147" t="s">
        <v>454</v>
      </c>
      <c r="F109" s="147" t="s">
        <v>454</v>
      </c>
      <c r="G109" s="147" t="s">
        <v>454</v>
      </c>
      <c r="H109" s="147" t="s">
        <v>454</v>
      </c>
      <c r="I109" s="147" t="s">
        <v>454</v>
      </c>
      <c r="J109" s="147" t="s">
        <v>454</v>
      </c>
      <c r="K109" s="148" t="s">
        <v>768</v>
      </c>
      <c r="L109" s="178" t="s">
        <v>1684</v>
      </c>
      <c r="M109" s="251"/>
      <c r="N109" s="189" t="s">
        <v>10</v>
      </c>
      <c r="O109" s="252">
        <v>53</v>
      </c>
      <c r="P109" s="252">
        <v>88.95</v>
      </c>
      <c r="Q109" s="179">
        <v>0.2</v>
      </c>
      <c r="R109" s="252">
        <f t="shared" si="3"/>
        <v>125</v>
      </c>
      <c r="S109" s="253">
        <f t="shared" si="4"/>
        <v>113.95</v>
      </c>
    </row>
    <row r="110" spans="1:19" ht="14.25">
      <c r="A110" s="221" t="s">
        <v>1059</v>
      </c>
      <c r="B110" s="156" t="s">
        <v>1060</v>
      </c>
      <c r="C110" s="244" t="s">
        <v>1068</v>
      </c>
      <c r="D110" s="149" t="s">
        <v>1856</v>
      </c>
      <c r="E110" s="147" t="s">
        <v>454</v>
      </c>
      <c r="F110" s="147" t="s">
        <v>454</v>
      </c>
      <c r="G110" s="147" t="s">
        <v>454</v>
      </c>
      <c r="H110" s="147" t="s">
        <v>454</v>
      </c>
      <c r="I110" s="147" t="s">
        <v>454</v>
      </c>
      <c r="J110" s="147" t="s">
        <v>454</v>
      </c>
      <c r="K110" s="148" t="s">
        <v>768</v>
      </c>
      <c r="L110" s="178"/>
      <c r="M110" s="251"/>
      <c r="N110" s="189" t="s">
        <v>4</v>
      </c>
      <c r="O110" s="252">
        <v>2.5</v>
      </c>
      <c r="P110" s="252">
        <v>4.95</v>
      </c>
      <c r="Q110" s="179">
        <v>0</v>
      </c>
      <c r="R110" s="252">
        <f t="shared" si="3"/>
        <v>125</v>
      </c>
      <c r="S110" s="253">
        <f t="shared" si="4"/>
        <v>4.95</v>
      </c>
    </row>
    <row r="111" spans="1:19" ht="14.25">
      <c r="A111" s="221" t="s">
        <v>1061</v>
      </c>
      <c r="B111" s="156" t="s">
        <v>1646</v>
      </c>
      <c r="C111" s="244" t="s">
        <v>1069</v>
      </c>
      <c r="D111" s="149" t="s">
        <v>1857</v>
      </c>
      <c r="E111" s="147" t="s">
        <v>454</v>
      </c>
      <c r="F111" s="147" t="s">
        <v>454</v>
      </c>
      <c r="G111" s="147" t="s">
        <v>454</v>
      </c>
      <c r="H111" s="147" t="s">
        <v>454</v>
      </c>
      <c r="I111" s="147" t="s">
        <v>454</v>
      </c>
      <c r="J111" s="147" t="s">
        <v>454</v>
      </c>
      <c r="K111" s="148" t="s">
        <v>768</v>
      </c>
      <c r="L111" s="178"/>
      <c r="M111" s="251"/>
      <c r="N111" s="189" t="s">
        <v>4</v>
      </c>
      <c r="O111" s="252">
        <v>2.5</v>
      </c>
      <c r="P111" s="252">
        <v>4.95</v>
      </c>
      <c r="Q111" s="179">
        <v>0</v>
      </c>
      <c r="R111" s="252">
        <f t="shared" si="3"/>
        <v>125</v>
      </c>
      <c r="S111" s="253">
        <f t="shared" si="4"/>
        <v>4.95</v>
      </c>
    </row>
    <row r="112" spans="1:19" ht="14.25">
      <c r="A112" s="221" t="s">
        <v>1070</v>
      </c>
      <c r="B112" s="156" t="s">
        <v>1064</v>
      </c>
      <c r="C112" s="244" t="s">
        <v>1066</v>
      </c>
      <c r="D112" s="149" t="s">
        <v>1858</v>
      </c>
      <c r="E112" s="147" t="s">
        <v>454</v>
      </c>
      <c r="F112" s="147" t="s">
        <v>454</v>
      </c>
      <c r="G112" s="147" t="s">
        <v>454</v>
      </c>
      <c r="H112" s="147" t="s">
        <v>454</v>
      </c>
      <c r="I112" s="147" t="s">
        <v>454</v>
      </c>
      <c r="J112" s="147" t="s">
        <v>454</v>
      </c>
      <c r="K112" s="148" t="s">
        <v>768</v>
      </c>
      <c r="L112" s="178"/>
      <c r="M112" s="251"/>
      <c r="N112" s="189" t="s">
        <v>4</v>
      </c>
      <c r="O112" s="252">
        <v>2.5</v>
      </c>
      <c r="P112" s="252">
        <v>4.95</v>
      </c>
      <c r="Q112" s="179">
        <v>0</v>
      </c>
      <c r="R112" s="252">
        <f t="shared" si="3"/>
        <v>125</v>
      </c>
      <c r="S112" s="253">
        <f t="shared" si="4"/>
        <v>4.95</v>
      </c>
    </row>
    <row r="113" spans="1:19" ht="14.25">
      <c r="A113" s="221" t="s">
        <v>1071</v>
      </c>
      <c r="B113" s="156" t="s">
        <v>1065</v>
      </c>
      <c r="C113" s="244" t="s">
        <v>1067</v>
      </c>
      <c r="D113" s="149" t="s">
        <v>1858</v>
      </c>
      <c r="E113" s="147" t="s">
        <v>454</v>
      </c>
      <c r="F113" s="147" t="s">
        <v>454</v>
      </c>
      <c r="G113" s="147" t="s">
        <v>454</v>
      </c>
      <c r="H113" s="147" t="s">
        <v>454</v>
      </c>
      <c r="I113" s="147" t="s">
        <v>454</v>
      </c>
      <c r="J113" s="147" t="s">
        <v>454</v>
      </c>
      <c r="K113" s="148" t="s">
        <v>768</v>
      </c>
      <c r="L113" s="178"/>
      <c r="M113" s="251"/>
      <c r="N113" s="189" t="s">
        <v>4</v>
      </c>
      <c r="O113" s="252">
        <v>2.5</v>
      </c>
      <c r="P113" s="252">
        <v>4.95</v>
      </c>
      <c r="Q113" s="179">
        <v>0</v>
      </c>
      <c r="R113" s="252">
        <f t="shared" si="3"/>
        <v>125</v>
      </c>
      <c r="S113" s="253">
        <f t="shared" si="4"/>
        <v>4.95</v>
      </c>
    </row>
    <row r="114" spans="1:19" ht="14.25">
      <c r="A114" s="221" t="s">
        <v>1771</v>
      </c>
      <c r="B114" s="156" t="s">
        <v>1773</v>
      </c>
      <c r="C114" s="244" t="s">
        <v>1775</v>
      </c>
      <c r="D114" s="149"/>
      <c r="E114" s="147" t="s">
        <v>454</v>
      </c>
      <c r="F114" s="147" t="s">
        <v>454</v>
      </c>
      <c r="G114" s="147" t="s">
        <v>454</v>
      </c>
      <c r="H114" s="147" t="s">
        <v>454</v>
      </c>
      <c r="I114" s="147" t="s">
        <v>454</v>
      </c>
      <c r="J114" s="147" t="s">
        <v>454</v>
      </c>
      <c r="K114" s="148"/>
      <c r="L114" s="178"/>
      <c r="M114" s="251"/>
      <c r="N114" s="189" t="s">
        <v>4</v>
      </c>
      <c r="O114" s="252" t="e">
        <v>#N/A</v>
      </c>
      <c r="P114" s="252" t="e">
        <v>#N/A</v>
      </c>
      <c r="Q114" s="179">
        <v>0</v>
      </c>
      <c r="R114" s="252">
        <f t="shared" si="3"/>
        <v>125</v>
      </c>
      <c r="S114" s="253" t="e">
        <f t="shared" si="4"/>
        <v>#N/A</v>
      </c>
    </row>
    <row r="115" spans="1:19" ht="14.25">
      <c r="A115" s="221" t="s">
        <v>1772</v>
      </c>
      <c r="B115" s="156" t="s">
        <v>1774</v>
      </c>
      <c r="C115" s="244" t="s">
        <v>1776</v>
      </c>
      <c r="D115" s="149"/>
      <c r="E115" s="147" t="s">
        <v>454</v>
      </c>
      <c r="F115" s="147" t="s">
        <v>454</v>
      </c>
      <c r="G115" s="147" t="s">
        <v>454</v>
      </c>
      <c r="H115" s="147" t="s">
        <v>454</v>
      </c>
      <c r="I115" s="147" t="s">
        <v>454</v>
      </c>
      <c r="J115" s="147" t="s">
        <v>454</v>
      </c>
      <c r="K115" s="148"/>
      <c r="L115" s="178"/>
      <c r="M115" s="251"/>
      <c r="N115" s="189" t="s">
        <v>4</v>
      </c>
      <c r="O115" s="252" t="e">
        <v>#N/A</v>
      </c>
      <c r="P115" s="252" t="e">
        <v>#N/A</v>
      </c>
      <c r="Q115" s="179">
        <v>0</v>
      </c>
      <c r="R115" s="252">
        <f t="shared" si="3"/>
        <v>125</v>
      </c>
      <c r="S115" s="253" t="e">
        <f t="shared" si="4"/>
        <v>#N/A</v>
      </c>
    </row>
  </sheetData>
  <sortState xmlns:xlrd2="http://schemas.microsoft.com/office/spreadsheetml/2017/richdata2" ref="A3:R113">
    <sortCondition ref="B3:B113"/>
  </sortState>
  <mergeCells count="4">
    <mergeCell ref="L2:M2"/>
    <mergeCell ref="A1:C1"/>
    <mergeCell ref="D1:M1"/>
    <mergeCell ref="R1:S1"/>
  </mergeCells>
  <hyperlinks>
    <hyperlink ref="K79" r:id="rId1" xr:uid="{5297B330-8A45-4405-9575-123D476BCDF2}"/>
    <hyperlink ref="K108" r:id="rId2" xr:uid="{819A32D9-E492-4E31-8FC0-3B1D17106156}"/>
    <hyperlink ref="K109" r:id="rId3" xr:uid="{C86B344A-F289-4538-82E6-C5FDB4F8E5CB}"/>
    <hyperlink ref="K97" r:id="rId4" xr:uid="{FE70B593-57A0-4F14-8122-4B26FFD6C6B3}"/>
    <hyperlink ref="K86:K92" r:id="rId5" display="PHOTO" xr:uid="{33E0606E-F20A-4C02-A908-60385A38DC15}"/>
    <hyperlink ref="K81" r:id="rId6" xr:uid="{C34AAD5A-F871-40CD-A9C8-5277B78D2FAD}"/>
    <hyperlink ref="K85" r:id="rId7" xr:uid="{DEEA0691-277A-45D7-8C41-EC19AC614E4D}"/>
    <hyperlink ref="K82" r:id="rId8" xr:uid="{6459FD95-0FFC-4686-885C-DDA26B5A9B77}"/>
    <hyperlink ref="K95" r:id="rId9" xr:uid="{A58F6D53-F1CA-4AA1-B210-7EFAAA413F6C}"/>
    <hyperlink ref="K94" r:id="rId10" xr:uid="{109CC642-C395-452E-B0B5-D63E710ED075}"/>
    <hyperlink ref="K93" r:id="rId11" xr:uid="{9CE01F31-AA97-4704-9143-836349B25C4A}"/>
    <hyperlink ref="K84" r:id="rId12" xr:uid="{551F28D5-E325-4244-9FB8-934C0AE2F5CD}"/>
    <hyperlink ref="K78" r:id="rId13" xr:uid="{705DB262-4089-44CF-99D5-30145C006F50}"/>
    <hyperlink ref="K87" r:id="rId14" xr:uid="{03845875-2F3D-4B1A-BB3C-678D545E25CD}"/>
    <hyperlink ref="K86" r:id="rId15" xr:uid="{3C3888D8-56BF-4A99-B5C8-5AE41558F3AB}"/>
    <hyperlink ref="K17" r:id="rId16" xr:uid="{098BE517-51CE-465D-9D8B-D2B7E2B7DD30}"/>
    <hyperlink ref="K15" r:id="rId17" xr:uid="{8A4EA5B6-4035-4676-AE95-1BF20907EE68}"/>
    <hyperlink ref="K16" r:id="rId18" xr:uid="{B274910F-6ADF-4B55-AB15-225E4B558809}"/>
    <hyperlink ref="K6" r:id="rId19" xr:uid="{DCF0AA6E-1BA8-4A14-9E7B-F3076F48BA84}"/>
    <hyperlink ref="K9" r:id="rId20" xr:uid="{1E3ADE02-0665-4ABD-B5D2-53DDC5F98D5E}"/>
    <hyperlink ref="K96" r:id="rId21" xr:uid="{455823FD-1A1B-47B5-9A27-CD495D8CE849}"/>
    <hyperlink ref="K13" r:id="rId22" xr:uid="{904AC657-62FA-41CA-B254-DB3DD872074C}"/>
    <hyperlink ref="K31" r:id="rId23" xr:uid="{481F4411-824C-4B02-AD17-289817FBE56E}"/>
    <hyperlink ref="K42" r:id="rId24" xr:uid="{6E513980-A477-4DBA-B2F8-BB84F45C236E}"/>
    <hyperlink ref="K45" r:id="rId25" xr:uid="{D5DF7995-A1EC-48BC-9BE4-0D8C532B50D7}"/>
    <hyperlink ref="K46" r:id="rId26" xr:uid="{E351D2C3-33F9-498D-BC7B-D94639EDFDF4}"/>
    <hyperlink ref="K43" r:id="rId27" xr:uid="{DAFC72B7-F918-4B82-AA26-963D540D33F6}"/>
    <hyperlink ref="K65" r:id="rId28" xr:uid="{E611D8EC-7151-403F-9AA8-377EC88A49DD}"/>
    <hyperlink ref="K64" r:id="rId29" xr:uid="{50D611C1-ACD0-468E-918E-81B6050BFE97}"/>
    <hyperlink ref="K68" r:id="rId30" xr:uid="{F74CAB52-8000-4513-9E1C-00E576B4E3A2}"/>
    <hyperlink ref="K66" r:id="rId31" xr:uid="{EBE4353B-EDAF-4729-BCF7-1E52AA950D8C}"/>
    <hyperlink ref="K67" r:id="rId32" xr:uid="{CE5E8DA9-85FE-45AD-97DF-6603DA369AAD}"/>
    <hyperlink ref="K36:K38" r:id="rId33" display="PHOTO" xr:uid="{39192726-7328-4299-98A1-A0D5D72F199A}"/>
    <hyperlink ref="K12" r:id="rId34" xr:uid="{9BDCC647-813E-4B79-A166-FC382B866D6F}"/>
    <hyperlink ref="K83" r:id="rId35" xr:uid="{3A979552-601E-4C49-8F7F-4815BD751AD9}"/>
    <hyperlink ref="K55" r:id="rId36" xr:uid="{EF95F4B7-775C-410F-BC32-1DD5155B572C}"/>
    <hyperlink ref="K52" r:id="rId37" xr:uid="{B185E5FA-BD6B-4BFB-BC90-0274A2C10E2E}"/>
    <hyperlink ref="K51" r:id="rId38" xr:uid="{C90EB882-777D-40DB-B332-F1E29B9A462F}"/>
    <hyperlink ref="K56" r:id="rId39" xr:uid="{7210C2CC-D057-43DE-A0DA-4C5B82A0C084}"/>
    <hyperlink ref="K57" r:id="rId40" xr:uid="{8078A404-156C-416E-BB40-B01E89225636}"/>
    <hyperlink ref="K54" r:id="rId41" xr:uid="{CCD4FD9E-6598-4F03-B234-A7D858824A7A}"/>
    <hyperlink ref="K48" r:id="rId42" xr:uid="{316A4A8F-5599-453D-9F48-6ABCFDDB4ACB}"/>
    <hyperlink ref="K69" r:id="rId43" xr:uid="{F531DBD3-97AF-44AF-8ACB-E891A4184313}"/>
    <hyperlink ref="K40" r:id="rId44" xr:uid="{5E28F25F-4AC8-47C3-9F33-5AE1B3604536}"/>
    <hyperlink ref="K29" r:id="rId45" xr:uid="{7A5F1B5E-FE20-4297-BB2A-061A0E693F5E}"/>
    <hyperlink ref="K28" r:id="rId46" xr:uid="{8BCC4ABA-F2E7-4DAE-A296-83F28B200D4F}"/>
    <hyperlink ref="K30" r:id="rId47" xr:uid="{7F6E0792-DB14-4695-B792-ADEC4C87FD9B}"/>
    <hyperlink ref="K41" r:id="rId48" xr:uid="{9BA4F188-B665-4230-A5CB-B1DBDB94086A}"/>
    <hyperlink ref="K19" r:id="rId49" xr:uid="{ED745250-3C4C-4DE7-B5C4-FA393EA0A0D2}"/>
    <hyperlink ref="K18" r:id="rId50" xr:uid="{974566BB-89D2-4241-9BEB-9B8C42650DDC}"/>
    <hyperlink ref="K32" r:id="rId51" xr:uid="{06266AD1-2432-486A-901F-19C892518ADF}"/>
    <hyperlink ref="K35" r:id="rId52" xr:uid="{CE677B36-467F-4CED-BD93-1677145DB4FC}"/>
    <hyperlink ref="K37" r:id="rId53" xr:uid="{FA627219-ED1D-4770-81F9-80AF78CCCEAF}"/>
    <hyperlink ref="K36" r:id="rId54" xr:uid="{F0B8B711-14C5-43EB-91FA-5B2D97DDC2EF}"/>
    <hyperlink ref="K47" r:id="rId55" xr:uid="{B45DD108-8552-4D7F-977A-0CCC007E37D8}"/>
    <hyperlink ref="K63" r:id="rId56" xr:uid="{D633AB73-0E8B-45CC-9EC1-52B5E3706A84}"/>
    <hyperlink ref="K4" r:id="rId57" xr:uid="{82F9AFBD-DB62-4BE1-8771-6EA8362DCCED}"/>
    <hyperlink ref="K60" r:id="rId58" xr:uid="{9F91EDBF-FD03-4F3B-BFCD-0808B106B968}"/>
    <hyperlink ref="K59" r:id="rId59" xr:uid="{C8CB7468-C6BE-4141-8B89-9B7F0D94AF57}"/>
    <hyperlink ref="K3" r:id="rId60" xr:uid="{62311B8A-FA72-479E-931C-379A6D6E0C06}"/>
    <hyperlink ref="K80" r:id="rId61" xr:uid="{773A2DDE-7D94-438D-A917-5FC25B174AF1}"/>
    <hyperlink ref="K33" r:id="rId62" xr:uid="{3A2C89C4-8BD1-4071-A528-E1455C8D5019}"/>
    <hyperlink ref="K34" r:id="rId63" xr:uid="{54919D82-0A08-4C52-B331-19C8D6147B43}"/>
    <hyperlink ref="K50" r:id="rId64" xr:uid="{E71FF65D-22E3-4A7F-86F7-664742C90079}"/>
    <hyperlink ref="K89" r:id="rId65" xr:uid="{C5E994E7-2E1B-488D-862E-B23BD1A53060}"/>
    <hyperlink ref="K112" r:id="rId66" xr:uid="{F718C7F1-02F7-4A8C-8237-77F953AB1E16}"/>
    <hyperlink ref="K113" r:id="rId67" xr:uid="{54C8784A-775B-40ED-A485-0C9831720BDD}"/>
    <hyperlink ref="K110" r:id="rId68" xr:uid="{012CE671-1F0B-48C5-8FB3-CDBA1EAD07F6}"/>
    <hyperlink ref="K111" r:id="rId69" xr:uid="{96674142-EA85-4A7C-A496-4D254C4D0134}"/>
    <hyperlink ref="K107" r:id="rId70" xr:uid="{9317AB5C-0425-43CF-AA45-DB47B1F82DCE}"/>
    <hyperlink ref="K5" r:id="rId71" xr:uid="{27AB9244-344C-4A0F-9C37-ABA391A84024}"/>
    <hyperlink ref="K62" r:id="rId72" xr:uid="{34000AF3-D935-4B9C-A761-6259C53AE161}"/>
    <hyperlink ref="K49" r:id="rId73" xr:uid="{6807F83D-CB14-441C-93A8-2D303B8D2F24}"/>
    <hyperlink ref="L59" r:id="rId74" xr:uid="{57068637-F64C-4521-AA84-603025488C6B}"/>
    <hyperlink ref="L60" r:id="rId75" xr:uid="{E303795B-C2B7-47E9-9757-4395BE25AE9E}"/>
    <hyperlink ref="L6" r:id="rId76" xr:uid="{61113348-815E-4DAF-8D66-46EB527F759D}"/>
    <hyperlink ref="L8" r:id="rId77" xr:uid="{B64E331B-63F4-4330-8029-E02CDCC2B07C}"/>
    <hyperlink ref="L9" r:id="rId78" xr:uid="{BD3DAABF-F9F5-4519-84D5-43420FDCEBB7}"/>
    <hyperlink ref="L12" r:id="rId79" xr:uid="{6958231F-3346-483C-A4AC-D2E530D12943}"/>
    <hyperlink ref="L13" r:id="rId80" xr:uid="{5D31E1B0-B88D-4623-9858-5E196B4E0237}"/>
    <hyperlink ref="L14" r:id="rId81" xr:uid="{78BB9691-CF6E-4E8C-8880-E2D7CBE72A41}"/>
    <hyperlink ref="K14" r:id="rId82" xr:uid="{BD54D389-A3C4-4AA1-8A43-3A0110AF1704}"/>
    <hyperlink ref="L16" r:id="rId83" xr:uid="{77A91C79-FF38-43EC-BF16-D24003A0107E}"/>
    <hyperlink ref="L17" r:id="rId84" xr:uid="{420C48FC-0EA2-4E73-8730-96383B852D81}"/>
    <hyperlink ref="L18" r:id="rId85" xr:uid="{ADF27C81-882E-4867-84BA-C6074D4B8AC3}"/>
    <hyperlink ref="L23" r:id="rId86" xr:uid="{25437CB3-02EF-438A-81AE-48E71E31808B}"/>
    <hyperlink ref="L24" r:id="rId87" xr:uid="{7C048F39-3259-45E4-95A2-AF6A7274FD5A}"/>
    <hyperlink ref="L25" r:id="rId88" xr:uid="{52934CD8-7974-46D8-AD66-C032A1FC7CD5}"/>
    <hyperlink ref="L27" r:id="rId89" xr:uid="{330929A6-D20C-47CE-AAAB-2558E02C46E5}"/>
    <hyperlink ref="L31" r:id="rId90" xr:uid="{1067E857-5C77-4C0A-845B-E14AEC6FFCC1}"/>
    <hyperlink ref="K38" r:id="rId91" xr:uid="{28ED7084-6EDA-4C47-8DB4-3E53EC337788}"/>
    <hyperlink ref="L38" r:id="rId92" xr:uid="{D58A33BD-64A2-4A21-A7FA-732BED39CDE9}"/>
    <hyperlink ref="L39" r:id="rId93" xr:uid="{584103FC-B1A3-4EF7-90A3-FBA7B648626A}"/>
    <hyperlink ref="K39" r:id="rId94" xr:uid="{5EE33BD6-7066-4A56-86D4-30F4D1B4D5C3}"/>
    <hyperlink ref="L40" r:id="rId95" xr:uid="{46C0E5B9-127C-442E-83B6-AB2BC3C67314}"/>
    <hyperlink ref="L42" r:id="rId96" xr:uid="{0239CB54-C718-486E-B0C5-354326C2DB5E}"/>
    <hyperlink ref="L43" r:id="rId97" xr:uid="{38D9E309-DA87-4E7C-BB90-EAB7AC8A33FD}"/>
    <hyperlink ref="L45" r:id="rId98" xr:uid="{695D11F6-59DE-472C-BE25-3373A3AABF83}"/>
    <hyperlink ref="L61" r:id="rId99" xr:uid="{348A9C19-BBB8-40BF-B6E5-77E877D52533}"/>
    <hyperlink ref="L62" r:id="rId100" xr:uid="{B219DC8C-7A9D-4048-A6BB-155575B6B669}"/>
    <hyperlink ref="L64" r:id="rId101" xr:uid="{B67B0E07-3413-4129-BCF5-90EF3EFCA07F}"/>
    <hyperlink ref="L63" r:id="rId102" xr:uid="{E03456D7-6F76-4A09-AB19-8D9BA2FF456A}"/>
    <hyperlink ref="L65" r:id="rId103" xr:uid="{3A20C687-0A21-4616-B90D-9A58619FFDF2}"/>
    <hyperlink ref="L66" r:id="rId104" xr:uid="{4714B50E-A200-4FB6-8E53-B00C2E9464FF}"/>
    <hyperlink ref="L67" r:id="rId105" xr:uid="{1A3F4DC7-5539-4F5A-AB83-D145B8BFF410}"/>
    <hyperlink ref="L68" r:id="rId106" xr:uid="{3F316742-0D2B-4725-B82B-588480B55D73}"/>
    <hyperlink ref="L69" r:id="rId107" xr:uid="{26305273-D128-41DB-B7C8-D0B6A1601B89}"/>
    <hyperlink ref="L69:L75" r:id="rId108" display="SHEET" xr:uid="{A775D22E-7CB6-4420-8CBE-92C37040ECEE}"/>
    <hyperlink ref="L96" r:id="rId109" xr:uid="{BA3521AC-106D-4704-A429-4EEA89DB6468}"/>
    <hyperlink ref="L109" r:id="rId110" xr:uid="{2DACB9E8-1FD0-41BA-96D9-0DC05D19F5C6}"/>
    <hyperlink ref="L82" r:id="rId111" xr:uid="{CA7930EC-45AE-4ACE-B090-5D06E3DF66EB}"/>
    <hyperlink ref="L79:L115" r:id="rId112" display="SHEET" xr:uid="{A37EAD00-FCC0-4EC4-AB8C-B73092691857}"/>
    <hyperlink ref="L81" r:id="rId113" xr:uid="{DCC1EA0E-33A0-4BBA-BC12-553AA224E681}"/>
    <hyperlink ref="L87" r:id="rId114" xr:uid="{972048CA-FC71-43C6-BEFF-25840AF59C2F}"/>
    <hyperlink ref="L93" r:id="rId115" xr:uid="{E5806239-7F4E-49D2-96CD-BC151309EB52}"/>
    <hyperlink ref="L83" r:id="rId116" xr:uid="{FE56E3A8-FFAF-4DDE-A17B-AB583086DD86}"/>
    <hyperlink ref="L51" r:id="rId117" xr:uid="{96FFA900-E856-421D-B770-DB54F90FC0A6}"/>
    <hyperlink ref="K61" r:id="rId118" xr:uid="{7A964F59-DA87-4246-9B64-542A007D4002}"/>
    <hyperlink ref="K106" r:id="rId119" xr:uid="{2D44C8D9-74B8-475D-950D-32817CF433BF}"/>
    <hyperlink ref="K11" r:id="rId120" xr:uid="{96AFE640-4B67-45B4-9B58-69443F87B4CC}"/>
    <hyperlink ref="K20" r:id="rId121" xr:uid="{B73CA6BC-1C2B-4B07-96F5-516C026CB5CB}"/>
    <hyperlink ref="K22" r:id="rId122" xr:uid="{F8EF9DCE-6B37-405F-B1A4-E5FC67C281F5}"/>
    <hyperlink ref="L20" r:id="rId123" xr:uid="{FA7EA213-B2B6-4888-B55D-74593E4C4E6D}"/>
    <hyperlink ref="L22" r:id="rId124" xr:uid="{7EB787D2-B80D-4265-A193-C5C2A0EE3551}"/>
    <hyperlink ref="L3" r:id="rId125" xr:uid="{BDFDF129-CB76-4ADB-A7B7-8B420658C7B1}"/>
    <hyperlink ref="L94" r:id="rId126" xr:uid="{4E11122C-6713-487D-8B7D-666DEED3A5CB}"/>
    <hyperlink ref="K8" r:id="rId127" xr:uid="{C3D5AF3C-291B-4F3A-8B27-443B6DAFD8CF}"/>
    <hyperlink ref="K24" r:id="rId128" xr:uid="{465EB9A2-1A81-4AAE-BAEA-74C5D8DD6E34}"/>
    <hyperlink ref="K25" r:id="rId129" xr:uid="{4092749D-A618-4B02-AD6F-B96D7656CF65}"/>
    <hyperlink ref="L58" r:id="rId130" xr:uid="{7297A52B-80CE-46FE-908D-33D4A9E23B22}"/>
    <hyperlink ref="K77" r:id="rId131" xr:uid="{DA7C4E67-8B80-49D3-B625-D1312BA75A5F}"/>
    <hyperlink ref="J21" r:id="rId132" display="PHOTO" xr:uid="{680AA55F-0D84-4229-9F6A-09FD607BB411}"/>
    <hyperlink ref="K21" r:id="rId133" display="SHEET" xr:uid="{DE77858B-C44F-40B9-B2EE-E14E00754FCD}"/>
    <hyperlink ref="L105" r:id="rId134" xr:uid="{45641A22-4049-4000-AECF-695A010EF45F}"/>
    <hyperlink ref="K105" r:id="rId135" xr:uid="{C2DDA07A-B1E9-4DDC-ABBF-359F72CBF86B}"/>
  </hyperlinks>
  <pageMargins left="0.7" right="0.7" top="0.75" bottom="0.75" header="0.3" footer="0.3"/>
  <pageSetup orientation="portrait" r:id="rId136"/>
  <legacyDrawing r:id="rId13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8D87-B439-40DE-BFFB-A9D357382F9C}">
  <sheetPr published="0">
    <tabColor theme="5" tint="0.59999389629810485"/>
  </sheetPr>
  <dimension ref="A1:AZ134"/>
  <sheetViews>
    <sheetView zoomScale="85" zoomScaleNormal="85" workbookViewId="0">
      <pane xSplit="2" ySplit="2" topLeftCell="C3" activePane="bottomRight" state="frozenSplit"/>
      <selection pane="topRight" activeCell="D1" sqref="D1"/>
      <selection pane="bottomLeft" activeCell="A17" sqref="A17"/>
      <selection pane="bottomRight" activeCell="A2" sqref="A2"/>
    </sheetView>
  </sheetViews>
  <sheetFormatPr defaultColWidth="10.5703125" defaultRowHeight="15"/>
  <cols>
    <col min="1" max="1" width="22.7109375" bestFit="1" customWidth="1"/>
    <col min="2" max="2" width="86.42578125" customWidth="1"/>
    <col min="3" max="3" width="122" style="223" customWidth="1"/>
    <col min="4" max="4" width="112.140625" style="18" bestFit="1" customWidth="1"/>
    <col min="5" max="5" width="8.85546875" style="140" bestFit="1" customWidth="1"/>
    <col min="6" max="6" width="8.85546875" style="140" customWidth="1"/>
    <col min="7" max="9" width="8.85546875" style="140" bestFit="1" customWidth="1"/>
    <col min="10" max="10" width="11" style="140" bestFit="1" customWidth="1"/>
    <col min="11" max="11" width="9" style="11" bestFit="1" customWidth="1"/>
    <col min="12" max="12" width="6.5703125" style="11" bestFit="1" customWidth="1"/>
    <col min="13" max="13" width="5.7109375" style="11" customWidth="1"/>
    <col min="14" max="14" width="12.7109375" style="18" bestFit="1" customWidth="1"/>
    <col min="15" max="15" width="11.85546875" style="20" bestFit="1" customWidth="1"/>
    <col min="16" max="16" width="11.28515625" style="69" bestFit="1" customWidth="1"/>
    <col min="17" max="17" width="8.42578125" style="18" bestFit="1" customWidth="1"/>
    <col min="18" max="18" width="9.5703125" bestFit="1" customWidth="1"/>
    <col min="19" max="19" width="13.28515625" style="142" bestFit="1" customWidth="1"/>
    <col min="20" max="20" width="3.5703125" customWidth="1"/>
    <col min="21" max="21" width="2.28515625" bestFit="1" customWidth="1"/>
    <col min="22" max="22" width="13.85546875" customWidth="1"/>
  </cols>
  <sheetData>
    <row r="1" spans="1:52" s="2" customFormat="1" ht="45">
      <c r="A1" s="177" t="s">
        <v>2026</v>
      </c>
      <c r="B1" s="1"/>
      <c r="C1" s="1"/>
      <c r="D1" s="348" t="s">
        <v>1039</v>
      </c>
      <c r="E1" s="348"/>
      <c r="F1" s="348"/>
      <c r="G1" s="348"/>
      <c r="H1" s="348"/>
      <c r="I1" s="348"/>
      <c r="J1" s="348"/>
      <c r="K1" s="348"/>
      <c r="L1" s="348"/>
      <c r="M1" s="348"/>
      <c r="N1" s="9">
        <v>125</v>
      </c>
      <c r="O1" s="54"/>
      <c r="P1" s="68"/>
      <c r="Q1" s="229"/>
      <c r="R1" s="353" t="s">
        <v>213</v>
      </c>
      <c r="S1" s="354"/>
    </row>
    <row r="2" spans="1:52" s="12" customFormat="1" ht="47.25">
      <c r="A2" s="10" t="s">
        <v>140</v>
      </c>
      <c r="B2" s="10" t="s">
        <v>141</v>
      </c>
      <c r="C2" s="163" t="s">
        <v>142</v>
      </c>
      <c r="D2" s="10" t="s">
        <v>143</v>
      </c>
      <c r="E2" s="4" t="s">
        <v>1950</v>
      </c>
      <c r="F2" s="4" t="s">
        <v>1951</v>
      </c>
      <c r="G2" s="4" t="s">
        <v>1952</v>
      </c>
      <c r="H2" s="4" t="s">
        <v>1953</v>
      </c>
      <c r="I2" s="4" t="s">
        <v>1954</v>
      </c>
      <c r="J2" s="4" t="s">
        <v>1955</v>
      </c>
      <c r="K2" s="10" t="s">
        <v>768</v>
      </c>
      <c r="L2" s="355" t="s">
        <v>1685</v>
      </c>
      <c r="M2" s="356"/>
      <c r="N2" s="10" t="s">
        <v>144</v>
      </c>
      <c r="O2" s="219" t="s">
        <v>145</v>
      </c>
      <c r="P2" s="261" t="s">
        <v>146</v>
      </c>
      <c r="Q2" s="10" t="s">
        <v>147</v>
      </c>
      <c r="R2" s="202" t="s">
        <v>148</v>
      </c>
      <c r="S2" s="219" t="s">
        <v>149</v>
      </c>
    </row>
    <row r="3" spans="1:52" s="7" customFormat="1" ht="12.75">
      <c r="A3" s="162" t="s">
        <v>521</v>
      </c>
      <c r="B3" s="144" t="s">
        <v>555</v>
      </c>
      <c r="C3" s="144" t="s">
        <v>967</v>
      </c>
      <c r="D3" s="174" t="s">
        <v>855</v>
      </c>
      <c r="E3" s="172" t="s">
        <v>454</v>
      </c>
      <c r="F3" s="159"/>
      <c r="G3" s="159"/>
      <c r="H3" s="159"/>
      <c r="I3" s="159"/>
      <c r="J3" s="159"/>
      <c r="K3" s="148" t="s">
        <v>768</v>
      </c>
      <c r="L3" s="148" t="s">
        <v>1684</v>
      </c>
      <c r="M3" s="148"/>
      <c r="N3" s="149" t="s">
        <v>10</v>
      </c>
      <c r="O3" s="150">
        <v>463.77</v>
      </c>
      <c r="P3" s="150">
        <v>772.95</v>
      </c>
      <c r="Q3" s="188">
        <v>0.5</v>
      </c>
      <c r="R3" s="150">
        <f t="shared" ref="R3:R66" si="0">$N$1</f>
        <v>125</v>
      </c>
      <c r="S3" s="152">
        <f t="shared" ref="S3:S66" si="1">Q3*R3+P3</f>
        <v>835.45</v>
      </c>
      <c r="T3" s="14"/>
    </row>
    <row r="4" spans="1:52" s="7" customFormat="1" ht="12.75">
      <c r="A4" s="162" t="s">
        <v>871</v>
      </c>
      <c r="B4" s="144" t="s">
        <v>1794</v>
      </c>
      <c r="C4" s="144" t="s">
        <v>1949</v>
      </c>
      <c r="D4" s="174" t="s">
        <v>2114</v>
      </c>
      <c r="E4" s="172" t="s">
        <v>454</v>
      </c>
      <c r="F4" s="159" t="s">
        <v>454</v>
      </c>
      <c r="G4" s="159" t="s">
        <v>454</v>
      </c>
      <c r="H4" s="159" t="s">
        <v>454</v>
      </c>
      <c r="I4" s="159" t="s">
        <v>454</v>
      </c>
      <c r="J4" s="159" t="s">
        <v>454</v>
      </c>
      <c r="K4" s="148" t="s">
        <v>768</v>
      </c>
      <c r="L4" s="148"/>
      <c r="M4" s="148"/>
      <c r="N4" s="149" t="s">
        <v>59</v>
      </c>
      <c r="O4" s="150">
        <v>1750</v>
      </c>
      <c r="P4" s="150">
        <v>2295.9499999999998</v>
      </c>
      <c r="Q4" s="188">
        <v>1.5</v>
      </c>
      <c r="R4" s="150">
        <f t="shared" si="0"/>
        <v>125</v>
      </c>
      <c r="S4" s="152">
        <f t="shared" si="1"/>
        <v>2483.4499999999998</v>
      </c>
      <c r="T4" s="14"/>
    </row>
    <row r="5" spans="1:52" s="7" customFormat="1" ht="12.75">
      <c r="A5" s="162" t="s">
        <v>1927</v>
      </c>
      <c r="B5" s="144" t="s">
        <v>1988</v>
      </c>
      <c r="C5" s="144" t="s">
        <v>1989</v>
      </c>
      <c r="D5" s="174" t="s">
        <v>1926</v>
      </c>
      <c r="E5" s="172" t="s">
        <v>454</v>
      </c>
      <c r="F5" s="159" t="s">
        <v>454</v>
      </c>
      <c r="G5" s="159" t="s">
        <v>454</v>
      </c>
      <c r="H5" s="159" t="s">
        <v>454</v>
      </c>
      <c r="I5" s="159" t="s">
        <v>454</v>
      </c>
      <c r="J5" s="159" t="s">
        <v>454</v>
      </c>
      <c r="K5" s="167" t="s">
        <v>768</v>
      </c>
      <c r="L5" s="167" t="s">
        <v>1684</v>
      </c>
      <c r="M5" s="167"/>
      <c r="N5" s="149" t="s">
        <v>0</v>
      </c>
      <c r="O5" s="169">
        <v>102.1</v>
      </c>
      <c r="P5" s="169">
        <v>169.95</v>
      </c>
      <c r="Q5" s="188">
        <v>0</v>
      </c>
      <c r="R5" s="169">
        <f t="shared" si="0"/>
        <v>125</v>
      </c>
      <c r="S5" s="153">
        <f t="shared" si="1"/>
        <v>169.95</v>
      </c>
      <c r="T5" s="14"/>
    </row>
    <row r="6" spans="1:52" s="7" customFormat="1" ht="12.75">
      <c r="A6" s="162" t="s">
        <v>523</v>
      </c>
      <c r="B6" s="144" t="s">
        <v>1990</v>
      </c>
      <c r="C6" s="144" t="s">
        <v>1991</v>
      </c>
      <c r="D6" s="174" t="s">
        <v>2150</v>
      </c>
      <c r="E6" s="172" t="s">
        <v>454</v>
      </c>
      <c r="F6" s="159" t="s">
        <v>454</v>
      </c>
      <c r="G6" s="159" t="s">
        <v>454</v>
      </c>
      <c r="H6" s="159" t="s">
        <v>454</v>
      </c>
      <c r="I6" s="159" t="s">
        <v>454</v>
      </c>
      <c r="J6" s="159" t="s">
        <v>454</v>
      </c>
      <c r="K6" s="148" t="s">
        <v>768</v>
      </c>
      <c r="L6" s="148"/>
      <c r="M6" s="148"/>
      <c r="N6" s="149" t="s">
        <v>4</v>
      </c>
      <c r="O6" s="150">
        <v>232.17</v>
      </c>
      <c r="P6" s="150">
        <v>386.95</v>
      </c>
      <c r="Q6" s="188">
        <v>0.4</v>
      </c>
      <c r="R6" s="150">
        <f t="shared" si="0"/>
        <v>125</v>
      </c>
      <c r="S6" s="152">
        <f t="shared" si="1"/>
        <v>436.95</v>
      </c>
      <c r="T6" s="14"/>
    </row>
    <row r="7" spans="1:52" s="7" customFormat="1" ht="12.75">
      <c r="A7" s="162" t="s">
        <v>480</v>
      </c>
      <c r="B7" s="144" t="s">
        <v>544</v>
      </c>
      <c r="C7" s="144" t="s">
        <v>969</v>
      </c>
      <c r="D7" s="174"/>
      <c r="E7" s="172" t="s">
        <v>454</v>
      </c>
      <c r="F7" s="159" t="s">
        <v>454</v>
      </c>
      <c r="G7" s="159" t="s">
        <v>454</v>
      </c>
      <c r="H7" s="159" t="s">
        <v>454</v>
      </c>
      <c r="I7" s="159" t="s">
        <v>454</v>
      </c>
      <c r="J7" s="159" t="s">
        <v>454</v>
      </c>
      <c r="K7" s="173" t="s">
        <v>768</v>
      </c>
      <c r="L7" s="148" t="s">
        <v>1684</v>
      </c>
      <c r="M7" s="148"/>
      <c r="N7" s="149" t="s">
        <v>10</v>
      </c>
      <c r="O7" s="150">
        <v>203.37</v>
      </c>
      <c r="P7" s="150">
        <v>338.95</v>
      </c>
      <c r="Q7" s="188">
        <v>0.3</v>
      </c>
      <c r="R7" s="150">
        <f t="shared" si="0"/>
        <v>125</v>
      </c>
      <c r="S7" s="152">
        <f t="shared" si="1"/>
        <v>376.45</v>
      </c>
      <c r="T7" s="14"/>
    </row>
    <row r="8" spans="1:52" s="7" customFormat="1" ht="12.75">
      <c r="A8" s="162" t="s">
        <v>2078</v>
      </c>
      <c r="B8" s="144" t="s">
        <v>2082</v>
      </c>
      <c r="C8" s="144" t="s">
        <v>2087</v>
      </c>
      <c r="D8" s="174"/>
      <c r="E8" s="172" t="s">
        <v>454</v>
      </c>
      <c r="F8" s="159" t="s">
        <v>454</v>
      </c>
      <c r="G8" s="159" t="s">
        <v>454</v>
      </c>
      <c r="H8" s="159" t="s">
        <v>454</v>
      </c>
      <c r="I8" s="159" t="s">
        <v>454</v>
      </c>
      <c r="J8" s="159" t="s">
        <v>454</v>
      </c>
      <c r="K8" s="167"/>
      <c r="L8" s="167"/>
      <c r="M8" s="167"/>
      <c r="N8" s="149" t="s">
        <v>10</v>
      </c>
      <c r="O8" s="169">
        <v>131.37</v>
      </c>
      <c r="P8" s="169">
        <v>218.95</v>
      </c>
      <c r="Q8" s="188">
        <v>0.1</v>
      </c>
      <c r="R8" s="169">
        <f t="shared" si="0"/>
        <v>125</v>
      </c>
      <c r="S8" s="153">
        <f t="shared" si="1"/>
        <v>231.45</v>
      </c>
      <c r="T8" s="14"/>
    </row>
    <row r="9" spans="1:52" s="7" customFormat="1" ht="12.75">
      <c r="A9" s="162" t="s">
        <v>526</v>
      </c>
      <c r="B9" s="144" t="s">
        <v>539</v>
      </c>
      <c r="C9" s="144" t="s">
        <v>94</v>
      </c>
      <c r="D9" s="174" t="s">
        <v>128</v>
      </c>
      <c r="E9" s="172" t="s">
        <v>454</v>
      </c>
      <c r="F9" s="159" t="s">
        <v>454</v>
      </c>
      <c r="G9" s="159" t="s">
        <v>454</v>
      </c>
      <c r="H9" s="159" t="s">
        <v>454</v>
      </c>
      <c r="I9" s="159" t="s">
        <v>454</v>
      </c>
      <c r="J9" s="159" t="s">
        <v>454</v>
      </c>
      <c r="K9" s="148"/>
      <c r="L9" s="148" t="s">
        <v>1684</v>
      </c>
      <c r="M9" s="148"/>
      <c r="N9" s="149" t="s">
        <v>16</v>
      </c>
      <c r="O9" s="150">
        <v>37.67</v>
      </c>
      <c r="P9" s="150">
        <v>57.95</v>
      </c>
      <c r="Q9" s="188">
        <v>0</v>
      </c>
      <c r="R9" s="150">
        <f t="shared" si="0"/>
        <v>125</v>
      </c>
      <c r="S9" s="152">
        <f t="shared" si="1"/>
        <v>57.95</v>
      </c>
      <c r="T9" s="14"/>
    </row>
    <row r="10" spans="1:52" s="7" customFormat="1" ht="12.75">
      <c r="A10" s="162" t="s">
        <v>527</v>
      </c>
      <c r="B10" s="144" t="s">
        <v>795</v>
      </c>
      <c r="C10" s="144" t="s">
        <v>1936</v>
      </c>
      <c r="D10" s="174" t="s">
        <v>857</v>
      </c>
      <c r="E10" s="172" t="s">
        <v>454</v>
      </c>
      <c r="F10" s="159" t="s">
        <v>454</v>
      </c>
      <c r="G10" s="159" t="s">
        <v>454</v>
      </c>
      <c r="H10" s="159" t="s">
        <v>454</v>
      </c>
      <c r="I10" s="159" t="s">
        <v>454</v>
      </c>
      <c r="J10" s="159" t="s">
        <v>454</v>
      </c>
      <c r="K10" s="148" t="s">
        <v>768</v>
      </c>
      <c r="L10" s="148" t="s">
        <v>1684</v>
      </c>
      <c r="M10" s="148"/>
      <c r="N10" s="149" t="s">
        <v>16</v>
      </c>
      <c r="O10" s="150">
        <v>363.57</v>
      </c>
      <c r="P10" s="150">
        <v>605.95000000000005</v>
      </c>
      <c r="Q10" s="188">
        <v>0</v>
      </c>
      <c r="R10" s="150">
        <f t="shared" si="0"/>
        <v>125</v>
      </c>
      <c r="S10" s="152">
        <f t="shared" si="1"/>
        <v>605.95000000000005</v>
      </c>
      <c r="T10" s="14"/>
    </row>
    <row r="11" spans="1:52" s="7" customFormat="1" ht="12.75">
      <c r="A11" s="162" t="s">
        <v>1883</v>
      </c>
      <c r="B11" s="144" t="s">
        <v>1938</v>
      </c>
      <c r="C11" s="144" t="s">
        <v>1960</v>
      </c>
      <c r="D11" s="174"/>
      <c r="E11" s="172" t="s">
        <v>454</v>
      </c>
      <c r="F11" s="159" t="s">
        <v>454</v>
      </c>
      <c r="G11" s="159" t="s">
        <v>454</v>
      </c>
      <c r="H11" s="159" t="s">
        <v>454</v>
      </c>
      <c r="I11" s="159" t="s">
        <v>454</v>
      </c>
      <c r="J11" s="159" t="s">
        <v>454</v>
      </c>
      <c r="K11" s="148" t="s">
        <v>768</v>
      </c>
      <c r="L11" s="148" t="s">
        <v>1684</v>
      </c>
      <c r="M11" s="148"/>
      <c r="N11" s="149" t="s">
        <v>0</v>
      </c>
      <c r="O11" s="150">
        <v>122.97</v>
      </c>
      <c r="P11" s="150">
        <v>204.95</v>
      </c>
      <c r="Q11" s="188">
        <v>0.5</v>
      </c>
      <c r="R11" s="150">
        <f t="shared" si="0"/>
        <v>125</v>
      </c>
      <c r="S11" s="152">
        <f t="shared" si="1"/>
        <v>267.45</v>
      </c>
      <c r="T11" s="14"/>
    </row>
    <row r="12" spans="1:52" s="7" customFormat="1" ht="12.75">
      <c r="A12" s="162" t="s">
        <v>1688</v>
      </c>
      <c r="B12" s="144" t="s">
        <v>1937</v>
      </c>
      <c r="C12" s="144" t="s">
        <v>1959</v>
      </c>
      <c r="D12" s="174"/>
      <c r="E12" s="172" t="s">
        <v>454</v>
      </c>
      <c r="F12" s="159" t="s">
        <v>454</v>
      </c>
      <c r="G12" s="159" t="s">
        <v>454</v>
      </c>
      <c r="H12" s="159" t="s">
        <v>454</v>
      </c>
      <c r="I12" s="159" t="s">
        <v>454</v>
      </c>
      <c r="J12" s="159" t="s">
        <v>454</v>
      </c>
      <c r="K12" s="149"/>
      <c r="L12" s="148"/>
      <c r="M12" s="148"/>
      <c r="N12" s="149" t="s">
        <v>0</v>
      </c>
      <c r="O12" s="150">
        <v>155.37</v>
      </c>
      <c r="P12" s="150">
        <v>258.95</v>
      </c>
      <c r="Q12" s="188">
        <v>0.5</v>
      </c>
      <c r="R12" s="150">
        <f t="shared" si="0"/>
        <v>125</v>
      </c>
      <c r="S12" s="152">
        <f t="shared" si="1"/>
        <v>321.45</v>
      </c>
      <c r="T12" s="14"/>
    </row>
    <row r="13" spans="1:52" s="7" customFormat="1" ht="12.75">
      <c r="A13" s="162" t="s">
        <v>1681</v>
      </c>
      <c r="B13" s="144" t="s">
        <v>1884</v>
      </c>
      <c r="C13" s="144" t="s">
        <v>1972</v>
      </c>
      <c r="D13" s="174"/>
      <c r="E13" s="172" t="s">
        <v>454</v>
      </c>
      <c r="F13" s="159" t="s">
        <v>454</v>
      </c>
      <c r="G13" s="159" t="s">
        <v>454</v>
      </c>
      <c r="H13" s="159" t="s">
        <v>454</v>
      </c>
      <c r="I13" s="159" t="s">
        <v>454</v>
      </c>
      <c r="J13" s="159" t="s">
        <v>454</v>
      </c>
      <c r="K13" s="148" t="s">
        <v>768</v>
      </c>
      <c r="L13" s="148" t="s">
        <v>1684</v>
      </c>
      <c r="M13" s="148"/>
      <c r="N13" s="149" t="s">
        <v>0</v>
      </c>
      <c r="O13" s="150">
        <v>56.69</v>
      </c>
      <c r="P13" s="150">
        <v>94.95</v>
      </c>
      <c r="Q13" s="188">
        <v>0</v>
      </c>
      <c r="R13" s="150">
        <f t="shared" si="0"/>
        <v>125</v>
      </c>
      <c r="S13" s="152">
        <f t="shared" si="1"/>
        <v>94.95</v>
      </c>
      <c r="T13" s="14"/>
    </row>
    <row r="14" spans="1:52" s="7" customFormat="1" ht="12.75">
      <c r="A14" s="162" t="s">
        <v>1928</v>
      </c>
      <c r="B14" s="144" t="s">
        <v>1083</v>
      </c>
      <c r="C14" s="144" t="s">
        <v>2108</v>
      </c>
      <c r="D14" s="174"/>
      <c r="E14" s="172" t="s">
        <v>454</v>
      </c>
      <c r="F14" s="159" t="s">
        <v>454</v>
      </c>
      <c r="G14" s="159" t="s">
        <v>454</v>
      </c>
      <c r="H14" s="159" t="s">
        <v>454</v>
      </c>
      <c r="I14" s="159" t="s">
        <v>454</v>
      </c>
      <c r="J14" s="159" t="s">
        <v>454</v>
      </c>
      <c r="K14" s="148" t="s">
        <v>768</v>
      </c>
      <c r="L14" s="148"/>
      <c r="M14" s="148"/>
      <c r="N14" s="149" t="s">
        <v>0</v>
      </c>
      <c r="O14" s="150">
        <v>143.97</v>
      </c>
      <c r="P14" s="150">
        <v>239.95</v>
      </c>
      <c r="Q14" s="188">
        <v>0.7</v>
      </c>
      <c r="R14" s="150">
        <f t="shared" si="0"/>
        <v>125</v>
      </c>
      <c r="S14" s="152">
        <f t="shared" si="1"/>
        <v>327.45</v>
      </c>
      <c r="T14" s="14"/>
    </row>
    <row r="15" spans="1:52" s="201" customFormat="1" ht="12.75">
      <c r="A15" s="162" t="s">
        <v>1758</v>
      </c>
      <c r="B15" s="144" t="s">
        <v>1755</v>
      </c>
      <c r="C15" s="156" t="s">
        <v>2199</v>
      </c>
      <c r="D15" s="193" t="s">
        <v>1759</v>
      </c>
      <c r="E15" s="172" t="s">
        <v>454</v>
      </c>
      <c r="F15" s="159" t="s">
        <v>454</v>
      </c>
      <c r="G15" s="159" t="s">
        <v>454</v>
      </c>
      <c r="H15" s="159" t="s">
        <v>454</v>
      </c>
      <c r="I15" s="159" t="s">
        <v>454</v>
      </c>
      <c r="J15" s="159" t="s">
        <v>454</v>
      </c>
      <c r="K15" s="148" t="s">
        <v>768</v>
      </c>
      <c r="L15" s="148" t="s">
        <v>1684</v>
      </c>
      <c r="M15" s="262"/>
      <c r="N15" s="189" t="s">
        <v>59</v>
      </c>
      <c r="O15" s="150">
        <v>225</v>
      </c>
      <c r="P15" s="150">
        <v>319.95</v>
      </c>
      <c r="Q15" s="188">
        <v>0.7</v>
      </c>
      <c r="R15" s="150">
        <f t="shared" si="0"/>
        <v>125</v>
      </c>
      <c r="S15" s="152">
        <f t="shared" si="1"/>
        <v>407.45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1:52" s="7" customFormat="1" ht="12.75">
      <c r="A16" s="170" t="s">
        <v>2187</v>
      </c>
      <c r="B16" s="171" t="s">
        <v>2213</v>
      </c>
      <c r="C16" s="209" t="s">
        <v>2201</v>
      </c>
      <c r="D16" s="218" t="s">
        <v>2188</v>
      </c>
      <c r="E16" s="180" t="s">
        <v>454</v>
      </c>
      <c r="F16" s="180" t="s">
        <v>454</v>
      </c>
      <c r="G16" s="180" t="s">
        <v>454</v>
      </c>
      <c r="H16" s="180" t="s">
        <v>454</v>
      </c>
      <c r="I16" s="180" t="s">
        <v>454</v>
      </c>
      <c r="J16" s="180" t="s">
        <v>454</v>
      </c>
      <c r="K16" s="180"/>
      <c r="L16" s="180"/>
      <c r="M16" s="180"/>
      <c r="N16" s="182" t="s">
        <v>59</v>
      </c>
      <c r="O16" s="211">
        <v>489.99</v>
      </c>
      <c r="P16" s="211">
        <v>699.95</v>
      </c>
      <c r="Q16" s="212">
        <v>0.7</v>
      </c>
      <c r="R16" s="211">
        <f t="shared" si="0"/>
        <v>125</v>
      </c>
      <c r="S16" s="213">
        <f t="shared" si="1"/>
        <v>787.45</v>
      </c>
      <c r="T16" s="14"/>
    </row>
    <row r="17" spans="1:20" s="7" customFormat="1" ht="12.75">
      <c r="A17" s="162" t="s">
        <v>1757</v>
      </c>
      <c r="B17" s="144" t="s">
        <v>1756</v>
      </c>
      <c r="C17" s="156" t="s">
        <v>2200</v>
      </c>
      <c r="D17" s="193" t="s">
        <v>1759</v>
      </c>
      <c r="E17" s="172" t="s">
        <v>454</v>
      </c>
      <c r="F17" s="159" t="s">
        <v>454</v>
      </c>
      <c r="G17" s="159" t="s">
        <v>454</v>
      </c>
      <c r="H17" s="159" t="s">
        <v>454</v>
      </c>
      <c r="I17" s="159" t="s">
        <v>454</v>
      </c>
      <c r="J17" s="159" t="s">
        <v>454</v>
      </c>
      <c r="K17" s="148" t="s">
        <v>768</v>
      </c>
      <c r="L17" s="148" t="s">
        <v>1684</v>
      </c>
      <c r="M17" s="148"/>
      <c r="N17" s="149" t="s">
        <v>59</v>
      </c>
      <c r="O17" s="150">
        <v>598</v>
      </c>
      <c r="P17" s="150">
        <v>849.95</v>
      </c>
      <c r="Q17" s="188">
        <v>0.7</v>
      </c>
      <c r="R17" s="150">
        <f t="shared" si="0"/>
        <v>125</v>
      </c>
      <c r="S17" s="152">
        <f t="shared" si="1"/>
        <v>937.45</v>
      </c>
      <c r="T17" s="14"/>
    </row>
    <row r="18" spans="1:20" s="7" customFormat="1" ht="12.75">
      <c r="A18" s="162" t="s">
        <v>514</v>
      </c>
      <c r="B18" s="144" t="s">
        <v>550</v>
      </c>
      <c r="C18" s="144" t="s">
        <v>971</v>
      </c>
      <c r="D18" s="174" t="s">
        <v>58</v>
      </c>
      <c r="E18" s="172" t="s">
        <v>454</v>
      </c>
      <c r="F18" s="159" t="s">
        <v>454</v>
      </c>
      <c r="G18" s="159" t="s">
        <v>454</v>
      </c>
      <c r="H18" s="159" t="s">
        <v>454</v>
      </c>
      <c r="I18" s="159" t="s">
        <v>454</v>
      </c>
      <c r="J18" s="159" t="s">
        <v>454</v>
      </c>
      <c r="K18" s="148" t="s">
        <v>768</v>
      </c>
      <c r="L18" s="148" t="s">
        <v>1684</v>
      </c>
      <c r="M18" s="148"/>
      <c r="N18" s="149" t="s">
        <v>10</v>
      </c>
      <c r="O18" s="150">
        <v>76.17</v>
      </c>
      <c r="P18" s="150">
        <v>126.95</v>
      </c>
      <c r="Q18" s="188">
        <v>0.2</v>
      </c>
      <c r="R18" s="150">
        <f t="shared" si="0"/>
        <v>125</v>
      </c>
      <c r="S18" s="152">
        <f t="shared" si="1"/>
        <v>151.94999999999999</v>
      </c>
      <c r="T18" s="14"/>
    </row>
    <row r="19" spans="1:20" s="7" customFormat="1" ht="12.75">
      <c r="A19" s="162" t="s">
        <v>157</v>
      </c>
      <c r="B19" s="144" t="s">
        <v>207</v>
      </c>
      <c r="C19" s="144" t="s">
        <v>2107</v>
      </c>
      <c r="D19" s="174" t="s">
        <v>56</v>
      </c>
      <c r="E19" s="172" t="s">
        <v>454</v>
      </c>
      <c r="F19" s="159" t="s">
        <v>454</v>
      </c>
      <c r="G19" s="159" t="s">
        <v>454</v>
      </c>
      <c r="H19" s="159" t="s">
        <v>454</v>
      </c>
      <c r="I19" s="159" t="s">
        <v>454</v>
      </c>
      <c r="J19" s="159" t="s">
        <v>454</v>
      </c>
      <c r="K19" s="148" t="s">
        <v>768</v>
      </c>
      <c r="L19" s="148" t="s">
        <v>1684</v>
      </c>
      <c r="M19" s="148"/>
      <c r="N19" s="149" t="s">
        <v>10</v>
      </c>
      <c r="O19" s="150">
        <v>141.57</v>
      </c>
      <c r="P19" s="150">
        <v>235.95</v>
      </c>
      <c r="Q19" s="188">
        <v>0.2</v>
      </c>
      <c r="R19" s="150">
        <f t="shared" si="0"/>
        <v>125</v>
      </c>
      <c r="S19" s="152">
        <f t="shared" si="1"/>
        <v>260.95</v>
      </c>
      <c r="T19" s="14"/>
    </row>
    <row r="20" spans="1:20" s="7" customFormat="1" ht="12.75">
      <c r="A20" s="162" t="s">
        <v>1080</v>
      </c>
      <c r="B20" s="144" t="s">
        <v>1081</v>
      </c>
      <c r="C20" s="144" t="s">
        <v>2024</v>
      </c>
      <c r="D20" s="174" t="s">
        <v>732</v>
      </c>
      <c r="E20" s="172" t="s">
        <v>454</v>
      </c>
      <c r="F20" s="159" t="s">
        <v>454</v>
      </c>
      <c r="G20" s="159" t="s">
        <v>454</v>
      </c>
      <c r="H20" s="159" t="s">
        <v>454</v>
      </c>
      <c r="I20" s="159" t="s">
        <v>454</v>
      </c>
      <c r="J20" s="159" t="s">
        <v>454</v>
      </c>
      <c r="K20" s="148" t="s">
        <v>768</v>
      </c>
      <c r="L20" s="148"/>
      <c r="M20" s="148"/>
      <c r="N20" s="149" t="s">
        <v>0</v>
      </c>
      <c r="O20" s="150">
        <v>173.37</v>
      </c>
      <c r="P20" s="150">
        <v>288.95</v>
      </c>
      <c r="Q20" s="188">
        <v>0.2</v>
      </c>
      <c r="R20" s="150">
        <f t="shared" si="0"/>
        <v>125</v>
      </c>
      <c r="S20" s="152">
        <f t="shared" si="1"/>
        <v>313.95</v>
      </c>
      <c r="T20" s="14"/>
    </row>
    <row r="21" spans="1:20" s="7" customFormat="1" ht="12.75">
      <c r="A21" s="162" t="s">
        <v>1885</v>
      </c>
      <c r="B21" s="144" t="s">
        <v>1087</v>
      </c>
      <c r="C21" s="144" t="s">
        <v>1971</v>
      </c>
      <c r="D21" s="174"/>
      <c r="E21" s="172" t="s">
        <v>454</v>
      </c>
      <c r="F21" s="159" t="s">
        <v>454</v>
      </c>
      <c r="G21" s="159" t="s">
        <v>454</v>
      </c>
      <c r="H21" s="159" t="s">
        <v>454</v>
      </c>
      <c r="I21" s="159" t="s">
        <v>454</v>
      </c>
      <c r="J21" s="159" t="s">
        <v>454</v>
      </c>
      <c r="K21" s="167" t="s">
        <v>768</v>
      </c>
      <c r="L21" s="167" t="s">
        <v>410</v>
      </c>
      <c r="M21" s="167"/>
      <c r="N21" s="149" t="s">
        <v>10</v>
      </c>
      <c r="O21" s="169">
        <v>454.17</v>
      </c>
      <c r="P21" s="169">
        <v>756.95</v>
      </c>
      <c r="Q21" s="188">
        <v>2</v>
      </c>
      <c r="R21" s="169">
        <f t="shared" si="0"/>
        <v>125</v>
      </c>
      <c r="S21" s="153">
        <f t="shared" si="1"/>
        <v>1006.95</v>
      </c>
      <c r="T21" s="14"/>
    </row>
    <row r="22" spans="1:20" s="7" customFormat="1" ht="12.75">
      <c r="A22" s="162" t="s">
        <v>1075</v>
      </c>
      <c r="B22" s="144" t="s">
        <v>1072</v>
      </c>
      <c r="C22" s="144" t="s">
        <v>1076</v>
      </c>
      <c r="D22" s="174" t="s">
        <v>2151</v>
      </c>
      <c r="E22" s="172" t="s">
        <v>454</v>
      </c>
      <c r="F22" s="159" t="s">
        <v>454</v>
      </c>
      <c r="G22" s="159" t="s">
        <v>454</v>
      </c>
      <c r="H22" s="159" t="s">
        <v>454</v>
      </c>
      <c r="I22" s="159" t="s">
        <v>454</v>
      </c>
      <c r="J22" s="159" t="s">
        <v>454</v>
      </c>
      <c r="K22" s="148" t="s">
        <v>768</v>
      </c>
      <c r="L22" s="148" t="s">
        <v>1684</v>
      </c>
      <c r="M22" s="148"/>
      <c r="N22" s="149" t="s">
        <v>4</v>
      </c>
      <c r="O22" s="150">
        <v>75.275199999999998</v>
      </c>
      <c r="P22" s="150">
        <v>112.95</v>
      </c>
      <c r="Q22" s="188">
        <v>1</v>
      </c>
      <c r="R22" s="150">
        <f t="shared" si="0"/>
        <v>125</v>
      </c>
      <c r="S22" s="152">
        <f t="shared" si="1"/>
        <v>237.95</v>
      </c>
      <c r="T22" s="14"/>
    </row>
    <row r="23" spans="1:20" s="7" customFormat="1" ht="12.75">
      <c r="A23" s="162" t="s">
        <v>1074</v>
      </c>
      <c r="B23" s="144" t="s">
        <v>1073</v>
      </c>
      <c r="C23" s="144" t="s">
        <v>1077</v>
      </c>
      <c r="D23" s="174" t="s">
        <v>2152</v>
      </c>
      <c r="E23" s="172" t="s">
        <v>454</v>
      </c>
      <c r="F23" s="159" t="s">
        <v>454</v>
      </c>
      <c r="G23" s="159" t="s">
        <v>454</v>
      </c>
      <c r="H23" s="159" t="s">
        <v>454</v>
      </c>
      <c r="I23" s="159" t="s">
        <v>454</v>
      </c>
      <c r="J23" s="159" t="s">
        <v>454</v>
      </c>
      <c r="K23" s="148" t="s">
        <v>768</v>
      </c>
      <c r="L23" s="148"/>
      <c r="M23" s="148"/>
      <c r="N23" s="149" t="s">
        <v>4</v>
      </c>
      <c r="O23" s="150">
        <v>65.727199999999996</v>
      </c>
      <c r="P23" s="150">
        <v>98.95</v>
      </c>
      <c r="Q23" s="188">
        <v>0</v>
      </c>
      <c r="R23" s="150">
        <f t="shared" si="0"/>
        <v>125</v>
      </c>
      <c r="S23" s="152">
        <f t="shared" si="1"/>
        <v>98.95</v>
      </c>
      <c r="T23" s="14"/>
    </row>
    <row r="24" spans="1:20" s="7" customFormat="1" ht="12.75">
      <c r="A24" s="162" t="s">
        <v>1886</v>
      </c>
      <c r="B24" s="144" t="s">
        <v>293</v>
      </c>
      <c r="C24" s="144" t="s">
        <v>2092</v>
      </c>
      <c r="D24" s="174"/>
      <c r="E24" s="172" t="s">
        <v>454</v>
      </c>
      <c r="F24" s="159" t="s">
        <v>454</v>
      </c>
      <c r="G24" s="159" t="s">
        <v>454</v>
      </c>
      <c r="H24" s="159" t="s">
        <v>454</v>
      </c>
      <c r="I24" s="159" t="s">
        <v>454</v>
      </c>
      <c r="J24" s="159" t="s">
        <v>454</v>
      </c>
      <c r="K24" s="167" t="s">
        <v>768</v>
      </c>
      <c r="L24" s="167"/>
      <c r="M24" s="167"/>
      <c r="N24" s="149" t="s">
        <v>10</v>
      </c>
      <c r="O24" s="169">
        <v>66.56</v>
      </c>
      <c r="P24" s="169">
        <v>110.95</v>
      </c>
      <c r="Q24" s="188">
        <v>0.3</v>
      </c>
      <c r="R24" s="169">
        <f t="shared" si="0"/>
        <v>125</v>
      </c>
      <c r="S24" s="153">
        <f t="shared" si="1"/>
        <v>148.44999999999999</v>
      </c>
      <c r="T24" s="14"/>
    </row>
    <row r="25" spans="1:20" s="7" customFormat="1" ht="12.75">
      <c r="A25" s="162" t="s">
        <v>1887</v>
      </c>
      <c r="B25" s="144" t="s">
        <v>545</v>
      </c>
      <c r="C25" s="144" t="s">
        <v>2093</v>
      </c>
      <c r="D25" s="174"/>
      <c r="E25" s="172" t="s">
        <v>454</v>
      </c>
      <c r="F25" s="159" t="s">
        <v>454</v>
      </c>
      <c r="G25" s="159" t="s">
        <v>454</v>
      </c>
      <c r="H25" s="159" t="s">
        <v>454</v>
      </c>
      <c r="I25" s="159" t="s">
        <v>454</v>
      </c>
      <c r="J25" s="159" t="s">
        <v>454</v>
      </c>
      <c r="K25" s="148" t="s">
        <v>768</v>
      </c>
      <c r="L25" s="148"/>
      <c r="M25" s="148"/>
      <c r="N25" s="149" t="s">
        <v>10</v>
      </c>
      <c r="O25" s="150">
        <v>66.56</v>
      </c>
      <c r="P25" s="150">
        <v>110.95</v>
      </c>
      <c r="Q25" s="188">
        <v>0.3</v>
      </c>
      <c r="R25" s="150">
        <f t="shared" si="0"/>
        <v>125</v>
      </c>
      <c r="S25" s="152">
        <f t="shared" si="1"/>
        <v>148.44999999999999</v>
      </c>
      <c r="T25" s="14"/>
    </row>
    <row r="26" spans="1:20" s="7" customFormat="1" ht="12.75">
      <c r="A26" s="162" t="s">
        <v>1888</v>
      </c>
      <c r="B26" s="144" t="s">
        <v>546</v>
      </c>
      <c r="C26" s="144" t="s">
        <v>2094</v>
      </c>
      <c r="D26" s="174"/>
      <c r="E26" s="172" t="s">
        <v>454</v>
      </c>
      <c r="F26" s="159" t="s">
        <v>454</v>
      </c>
      <c r="G26" s="159" t="s">
        <v>454</v>
      </c>
      <c r="H26" s="159" t="s">
        <v>454</v>
      </c>
      <c r="I26" s="159" t="s">
        <v>454</v>
      </c>
      <c r="J26" s="159" t="s">
        <v>454</v>
      </c>
      <c r="K26" s="148" t="s">
        <v>768</v>
      </c>
      <c r="L26" s="148"/>
      <c r="M26" s="148"/>
      <c r="N26" s="149" t="s">
        <v>10</v>
      </c>
      <c r="O26" s="150">
        <v>66.56</v>
      </c>
      <c r="P26" s="150">
        <v>110.95</v>
      </c>
      <c r="Q26" s="188">
        <v>0.3</v>
      </c>
      <c r="R26" s="150">
        <f t="shared" si="0"/>
        <v>125</v>
      </c>
      <c r="S26" s="153">
        <f t="shared" si="1"/>
        <v>148.44999999999999</v>
      </c>
      <c r="T26" s="14"/>
    </row>
    <row r="27" spans="1:20" s="7" customFormat="1" ht="12.75">
      <c r="A27" s="162" t="s">
        <v>2075</v>
      </c>
      <c r="B27" s="144" t="s">
        <v>2073</v>
      </c>
      <c r="C27" s="144" t="s">
        <v>2076</v>
      </c>
      <c r="D27" s="174"/>
      <c r="E27" s="172" t="s">
        <v>454</v>
      </c>
      <c r="F27" s="159" t="s">
        <v>454</v>
      </c>
      <c r="G27" s="159" t="s">
        <v>454</v>
      </c>
      <c r="H27" s="159" t="s">
        <v>454</v>
      </c>
      <c r="I27" s="159" t="s">
        <v>454</v>
      </c>
      <c r="J27" s="159" t="s">
        <v>454</v>
      </c>
      <c r="K27" s="167" t="s">
        <v>768</v>
      </c>
      <c r="L27" s="167"/>
      <c r="M27" s="167"/>
      <c r="N27" s="149" t="s">
        <v>10</v>
      </c>
      <c r="O27" s="169">
        <v>832</v>
      </c>
      <c r="P27" s="169">
        <v>1386.95</v>
      </c>
      <c r="Q27" s="188">
        <v>0.6</v>
      </c>
      <c r="R27" s="169">
        <f t="shared" si="0"/>
        <v>125</v>
      </c>
      <c r="S27" s="153">
        <f t="shared" si="1"/>
        <v>1461.95</v>
      </c>
      <c r="T27" s="14"/>
    </row>
    <row r="28" spans="1:20" s="7" customFormat="1" ht="12.75">
      <c r="A28" s="162" t="s">
        <v>533</v>
      </c>
      <c r="B28" s="144" t="s">
        <v>2109</v>
      </c>
      <c r="C28" s="144" t="s">
        <v>1994</v>
      </c>
      <c r="D28" s="174" t="s">
        <v>410</v>
      </c>
      <c r="E28" s="172" t="s">
        <v>454</v>
      </c>
      <c r="F28" s="159" t="s">
        <v>454</v>
      </c>
      <c r="G28" s="159" t="s">
        <v>454</v>
      </c>
      <c r="H28" s="159" t="s">
        <v>454</v>
      </c>
      <c r="I28" s="159" t="s">
        <v>454</v>
      </c>
      <c r="J28" s="159" t="s">
        <v>454</v>
      </c>
      <c r="K28" s="148" t="s">
        <v>768</v>
      </c>
      <c r="L28" s="148" t="s">
        <v>410</v>
      </c>
      <c r="M28" s="148"/>
      <c r="N28" s="149" t="s">
        <v>0</v>
      </c>
      <c r="O28" s="150">
        <v>160.77000000000001</v>
      </c>
      <c r="P28" s="150">
        <v>267.95</v>
      </c>
      <c r="Q28" s="188">
        <v>1.5</v>
      </c>
      <c r="R28" s="150">
        <f t="shared" si="0"/>
        <v>125</v>
      </c>
      <c r="S28" s="152">
        <f t="shared" si="1"/>
        <v>455.45</v>
      </c>
      <c r="T28" s="14"/>
    </row>
    <row r="29" spans="1:20" s="7" customFormat="1" ht="14.25">
      <c r="A29" s="162" t="s">
        <v>1925</v>
      </c>
      <c r="B29" s="144" t="s">
        <v>1987</v>
      </c>
      <c r="C29" s="144" t="s">
        <v>1995</v>
      </c>
      <c r="D29" s="174" t="s">
        <v>858</v>
      </c>
      <c r="E29" s="172" t="s">
        <v>454</v>
      </c>
      <c r="F29" s="159" t="s">
        <v>454</v>
      </c>
      <c r="G29" s="159" t="s">
        <v>454</v>
      </c>
      <c r="H29" s="159" t="s">
        <v>454</v>
      </c>
      <c r="I29" s="159" t="s">
        <v>454</v>
      </c>
      <c r="J29" s="159" t="s">
        <v>454</v>
      </c>
      <c r="K29" s="148" t="s">
        <v>768</v>
      </c>
      <c r="L29" s="148" t="s">
        <v>1684</v>
      </c>
      <c r="M29" s="148"/>
      <c r="N29" s="149" t="s">
        <v>0</v>
      </c>
      <c r="O29" s="150">
        <v>110.22</v>
      </c>
      <c r="P29" s="150">
        <v>183.95</v>
      </c>
      <c r="Q29" s="188">
        <v>0</v>
      </c>
      <c r="R29" s="150">
        <f t="shared" si="0"/>
        <v>125</v>
      </c>
      <c r="S29" s="152">
        <f t="shared" si="1"/>
        <v>183.95</v>
      </c>
      <c r="T29" s="14"/>
    </row>
    <row r="30" spans="1:20" s="7" customFormat="1" ht="12.75">
      <c r="A30" s="162" t="s">
        <v>2020</v>
      </c>
      <c r="B30" s="144" t="s">
        <v>2037</v>
      </c>
      <c r="C30" s="144" t="s">
        <v>2023</v>
      </c>
      <c r="D30" s="174"/>
      <c r="E30" s="172" t="s">
        <v>454</v>
      </c>
      <c r="F30" s="159" t="s">
        <v>454</v>
      </c>
      <c r="G30" s="159" t="s">
        <v>454</v>
      </c>
      <c r="H30" s="159" t="s">
        <v>454</v>
      </c>
      <c r="I30" s="159" t="s">
        <v>454</v>
      </c>
      <c r="J30" s="159" t="s">
        <v>454</v>
      </c>
      <c r="K30" s="167" t="s">
        <v>768</v>
      </c>
      <c r="L30" s="167"/>
      <c r="M30" s="167"/>
      <c r="N30" s="149" t="s">
        <v>10</v>
      </c>
      <c r="O30" s="169">
        <v>271.82</v>
      </c>
      <c r="P30" s="169">
        <v>452.95</v>
      </c>
      <c r="Q30" s="188">
        <v>0.6</v>
      </c>
      <c r="R30" s="169">
        <f t="shared" si="0"/>
        <v>125</v>
      </c>
      <c r="S30" s="153">
        <f t="shared" si="1"/>
        <v>527.95000000000005</v>
      </c>
      <c r="T30" s="14"/>
    </row>
    <row r="31" spans="1:20" s="7" customFormat="1" ht="12.75">
      <c r="A31" s="162" t="s">
        <v>2068</v>
      </c>
      <c r="B31" s="144" t="s">
        <v>547</v>
      </c>
      <c r="C31" s="144" t="s">
        <v>2014</v>
      </c>
      <c r="D31" s="174"/>
      <c r="E31" s="172" t="s">
        <v>454</v>
      </c>
      <c r="F31" s="159" t="s">
        <v>454</v>
      </c>
      <c r="G31" s="159" t="s">
        <v>454</v>
      </c>
      <c r="H31" s="159" t="s">
        <v>454</v>
      </c>
      <c r="I31" s="159" t="s">
        <v>454</v>
      </c>
      <c r="J31" s="159" t="s">
        <v>454</v>
      </c>
      <c r="K31" s="148" t="s">
        <v>768</v>
      </c>
      <c r="L31" s="148" t="s">
        <v>1684</v>
      </c>
      <c r="M31" s="148"/>
      <c r="N31" s="149" t="s">
        <v>10</v>
      </c>
      <c r="O31" s="150">
        <v>451.17</v>
      </c>
      <c r="P31" s="150">
        <v>751.95</v>
      </c>
      <c r="Q31" s="188">
        <v>0.5</v>
      </c>
      <c r="R31" s="150">
        <f t="shared" si="0"/>
        <v>125</v>
      </c>
      <c r="S31" s="152">
        <f t="shared" si="1"/>
        <v>814.45</v>
      </c>
      <c r="T31" s="14"/>
    </row>
    <row r="32" spans="1:20" s="7" customFormat="1" ht="12.75">
      <c r="A32" s="162" t="s">
        <v>2069</v>
      </c>
      <c r="B32" s="144" t="s">
        <v>2070</v>
      </c>
      <c r="C32" s="144" t="s">
        <v>2071</v>
      </c>
      <c r="D32" s="174"/>
      <c r="E32" s="172" t="s">
        <v>454</v>
      </c>
      <c r="F32" s="159" t="s">
        <v>454</v>
      </c>
      <c r="G32" s="159" t="s">
        <v>454</v>
      </c>
      <c r="H32" s="159" t="s">
        <v>454</v>
      </c>
      <c r="I32" s="159" t="s">
        <v>454</v>
      </c>
      <c r="J32" s="159" t="s">
        <v>454</v>
      </c>
      <c r="K32" s="148" t="s">
        <v>768</v>
      </c>
      <c r="L32" s="148" t="s">
        <v>1684</v>
      </c>
      <c r="M32" s="148"/>
      <c r="N32" s="149" t="s">
        <v>10</v>
      </c>
      <c r="O32" s="150">
        <v>422.97</v>
      </c>
      <c r="P32" s="150">
        <v>704.95</v>
      </c>
      <c r="Q32" s="188">
        <v>0.5</v>
      </c>
      <c r="R32" s="150">
        <f t="shared" si="0"/>
        <v>125</v>
      </c>
      <c r="S32" s="152">
        <f t="shared" si="1"/>
        <v>767.45</v>
      </c>
      <c r="T32" s="14"/>
    </row>
    <row r="33" spans="1:20" s="7" customFormat="1" ht="12.75">
      <c r="A33" s="162" t="s">
        <v>515</v>
      </c>
      <c r="B33" s="144" t="s">
        <v>832</v>
      </c>
      <c r="C33" s="144" t="s">
        <v>979</v>
      </c>
      <c r="D33" s="174"/>
      <c r="E33" s="172" t="s">
        <v>454</v>
      </c>
      <c r="F33" s="159" t="s">
        <v>454</v>
      </c>
      <c r="G33" s="159" t="s">
        <v>454</v>
      </c>
      <c r="H33" s="159" t="s">
        <v>454</v>
      </c>
      <c r="I33" s="159" t="s">
        <v>454</v>
      </c>
      <c r="J33" s="159" t="s">
        <v>454</v>
      </c>
      <c r="K33" s="148" t="s">
        <v>768</v>
      </c>
      <c r="L33" s="167" t="s">
        <v>1684</v>
      </c>
      <c r="M33" s="167"/>
      <c r="N33" s="149" t="s">
        <v>10</v>
      </c>
      <c r="O33" s="150">
        <v>152.37</v>
      </c>
      <c r="P33" s="150">
        <v>253.95</v>
      </c>
      <c r="Q33" s="188">
        <v>0.3</v>
      </c>
      <c r="R33" s="150">
        <f t="shared" si="0"/>
        <v>125</v>
      </c>
      <c r="S33" s="152">
        <f t="shared" si="1"/>
        <v>291.45</v>
      </c>
      <c r="T33" s="14"/>
    </row>
    <row r="34" spans="1:20" s="7" customFormat="1" ht="12.75">
      <c r="A34" s="162" t="s">
        <v>2009</v>
      </c>
      <c r="B34" s="144" t="s">
        <v>2011</v>
      </c>
      <c r="C34" s="144" t="s">
        <v>2013</v>
      </c>
      <c r="D34" s="174"/>
      <c r="E34" s="172" t="s">
        <v>454</v>
      </c>
      <c r="F34" s="159" t="s">
        <v>454</v>
      </c>
      <c r="G34" s="159" t="s">
        <v>454</v>
      </c>
      <c r="H34" s="159" t="s">
        <v>454</v>
      </c>
      <c r="I34" s="159" t="s">
        <v>454</v>
      </c>
      <c r="J34" s="159" t="s">
        <v>454</v>
      </c>
      <c r="K34" s="167" t="s">
        <v>768</v>
      </c>
      <c r="L34" s="167"/>
      <c r="M34" s="167"/>
      <c r="N34" s="149" t="s">
        <v>10</v>
      </c>
      <c r="O34" s="150">
        <v>379.77</v>
      </c>
      <c r="P34" s="150">
        <v>632.95000000000005</v>
      </c>
      <c r="Q34" s="188">
        <v>0.4</v>
      </c>
      <c r="R34" s="150">
        <f t="shared" si="0"/>
        <v>125</v>
      </c>
      <c r="S34" s="152">
        <f t="shared" si="1"/>
        <v>682.95</v>
      </c>
      <c r="T34" s="14"/>
    </row>
    <row r="35" spans="1:20" s="7" customFormat="1" ht="12.75">
      <c r="A35" s="162" t="s">
        <v>2010</v>
      </c>
      <c r="B35" s="144" t="s">
        <v>2012</v>
      </c>
      <c r="C35" s="144" t="s">
        <v>2015</v>
      </c>
      <c r="D35" s="174"/>
      <c r="E35" s="172" t="s">
        <v>454</v>
      </c>
      <c r="F35" s="159" t="s">
        <v>454</v>
      </c>
      <c r="G35" s="159" t="s">
        <v>454</v>
      </c>
      <c r="H35" s="159" t="s">
        <v>454</v>
      </c>
      <c r="I35" s="159" t="s">
        <v>454</v>
      </c>
      <c r="J35" s="159" t="s">
        <v>454</v>
      </c>
      <c r="K35" s="167" t="s">
        <v>768</v>
      </c>
      <c r="L35" s="167"/>
      <c r="M35" s="167"/>
      <c r="N35" s="149" t="s">
        <v>10</v>
      </c>
      <c r="O35" s="169">
        <v>358.17</v>
      </c>
      <c r="P35" s="169">
        <v>596.95000000000005</v>
      </c>
      <c r="Q35" s="188">
        <v>0.4</v>
      </c>
      <c r="R35" s="169">
        <f t="shared" si="0"/>
        <v>125</v>
      </c>
      <c r="S35" s="153">
        <f t="shared" si="1"/>
        <v>646.95000000000005</v>
      </c>
    </row>
    <row r="36" spans="1:20" s="7" customFormat="1" ht="12.95" customHeight="1">
      <c r="A36" s="162" t="s">
        <v>2085</v>
      </c>
      <c r="B36" s="144" t="s">
        <v>554</v>
      </c>
      <c r="C36" s="144" t="s">
        <v>656</v>
      </c>
      <c r="D36" s="174"/>
      <c r="E36" s="172" t="s">
        <v>454</v>
      </c>
      <c r="F36" s="159" t="s">
        <v>454</v>
      </c>
      <c r="G36" s="159" t="s">
        <v>454</v>
      </c>
      <c r="H36" s="159" t="s">
        <v>454</v>
      </c>
      <c r="I36" s="159" t="s">
        <v>454</v>
      </c>
      <c r="J36" s="159" t="s">
        <v>454</v>
      </c>
      <c r="K36" s="167" t="s">
        <v>768</v>
      </c>
      <c r="L36" s="167" t="s">
        <v>1684</v>
      </c>
      <c r="M36" s="167"/>
      <c r="N36" s="149" t="s">
        <v>10</v>
      </c>
      <c r="O36" s="169">
        <v>145.77000000000001</v>
      </c>
      <c r="P36" s="169">
        <v>239.95</v>
      </c>
      <c r="Q36" s="188">
        <v>0.5</v>
      </c>
      <c r="R36" s="169">
        <f t="shared" si="0"/>
        <v>125</v>
      </c>
      <c r="S36" s="153">
        <f t="shared" si="1"/>
        <v>302.45</v>
      </c>
      <c r="T36" s="14"/>
    </row>
    <row r="37" spans="1:20" s="7" customFormat="1" ht="12.75">
      <c r="A37" s="162" t="s">
        <v>561</v>
      </c>
      <c r="B37" s="144" t="s">
        <v>563</v>
      </c>
      <c r="C37" s="144" t="s">
        <v>566</v>
      </c>
      <c r="D37" s="194" t="s">
        <v>1829</v>
      </c>
      <c r="E37" s="172" t="s">
        <v>454</v>
      </c>
      <c r="F37" s="159" t="s">
        <v>454</v>
      </c>
      <c r="G37" s="159" t="s">
        <v>454</v>
      </c>
      <c r="H37" s="159" t="s">
        <v>454</v>
      </c>
      <c r="I37" s="159" t="s">
        <v>454</v>
      </c>
      <c r="J37" s="159" t="s">
        <v>454</v>
      </c>
      <c r="K37" s="148" t="s">
        <v>768</v>
      </c>
      <c r="L37" s="148"/>
      <c r="M37" s="148"/>
      <c r="N37" s="149" t="s">
        <v>10</v>
      </c>
      <c r="O37" s="150">
        <v>14.77</v>
      </c>
      <c r="P37" s="150">
        <v>39.950000000000003</v>
      </c>
      <c r="Q37" s="188">
        <v>0</v>
      </c>
      <c r="R37" s="150">
        <f t="shared" si="0"/>
        <v>125</v>
      </c>
      <c r="S37" s="152">
        <f t="shared" si="1"/>
        <v>39.950000000000003</v>
      </c>
      <c r="T37" s="14"/>
    </row>
    <row r="38" spans="1:20" s="7" customFormat="1" ht="12.95" customHeight="1">
      <c r="A38" s="162" t="s">
        <v>1046</v>
      </c>
      <c r="B38" s="144" t="s">
        <v>1047</v>
      </c>
      <c r="C38" s="144" t="s">
        <v>1050</v>
      </c>
      <c r="D38" s="194" t="s">
        <v>1829</v>
      </c>
      <c r="E38" s="172" t="s">
        <v>454</v>
      </c>
      <c r="F38" s="159" t="s">
        <v>454</v>
      </c>
      <c r="G38" s="159" t="s">
        <v>454</v>
      </c>
      <c r="H38" s="159" t="s">
        <v>454</v>
      </c>
      <c r="I38" s="159" t="s">
        <v>454</v>
      </c>
      <c r="J38" s="159" t="s">
        <v>454</v>
      </c>
      <c r="K38" s="148" t="s">
        <v>768</v>
      </c>
      <c r="L38" s="148"/>
      <c r="M38" s="148"/>
      <c r="N38" s="149" t="s">
        <v>10</v>
      </c>
      <c r="O38" s="150">
        <v>18.5</v>
      </c>
      <c r="P38" s="150">
        <v>0</v>
      </c>
      <c r="Q38" s="188">
        <v>0</v>
      </c>
      <c r="R38" s="150">
        <f t="shared" si="0"/>
        <v>125</v>
      </c>
      <c r="S38" s="152">
        <f t="shared" si="1"/>
        <v>0</v>
      </c>
      <c r="T38" s="14"/>
    </row>
    <row r="39" spans="1:20" s="7" customFormat="1" ht="12.95" customHeight="1">
      <c r="A39" s="162" t="s">
        <v>1048</v>
      </c>
      <c r="B39" s="144" t="s">
        <v>1049</v>
      </c>
      <c r="C39" s="144" t="s">
        <v>1051</v>
      </c>
      <c r="D39" s="174" t="s">
        <v>128</v>
      </c>
      <c r="E39" s="172" t="s">
        <v>454</v>
      </c>
      <c r="F39" s="159" t="s">
        <v>454</v>
      </c>
      <c r="G39" s="159" t="s">
        <v>454</v>
      </c>
      <c r="H39" s="159" t="s">
        <v>454</v>
      </c>
      <c r="I39" s="159" t="s">
        <v>454</v>
      </c>
      <c r="J39" s="159" t="s">
        <v>454</v>
      </c>
      <c r="K39" s="148" t="s">
        <v>768</v>
      </c>
      <c r="L39" s="148"/>
      <c r="M39" s="148"/>
      <c r="N39" s="149" t="s">
        <v>10</v>
      </c>
      <c r="O39" s="150">
        <v>14.25</v>
      </c>
      <c r="P39" s="150">
        <v>0</v>
      </c>
      <c r="Q39" s="188">
        <v>0</v>
      </c>
      <c r="R39" s="150">
        <f t="shared" si="0"/>
        <v>125</v>
      </c>
      <c r="S39" s="152">
        <f t="shared" si="1"/>
        <v>0</v>
      </c>
      <c r="T39" s="14"/>
    </row>
    <row r="40" spans="1:20" s="7" customFormat="1" ht="12.75">
      <c r="A40" s="162" t="s">
        <v>562</v>
      </c>
      <c r="B40" s="144" t="s">
        <v>565</v>
      </c>
      <c r="C40" s="144" t="s">
        <v>980</v>
      </c>
      <c r="D40" s="194" t="s">
        <v>1829</v>
      </c>
      <c r="E40" s="172" t="s">
        <v>454</v>
      </c>
      <c r="F40" s="159" t="s">
        <v>454</v>
      </c>
      <c r="G40" s="159" t="s">
        <v>454</v>
      </c>
      <c r="H40" s="159" t="s">
        <v>454</v>
      </c>
      <c r="I40" s="159" t="s">
        <v>454</v>
      </c>
      <c r="J40" s="159" t="s">
        <v>454</v>
      </c>
      <c r="K40" s="148" t="s">
        <v>768</v>
      </c>
      <c r="L40" s="148"/>
      <c r="M40" s="148"/>
      <c r="N40" s="149" t="s">
        <v>10</v>
      </c>
      <c r="O40" s="150">
        <v>18.09</v>
      </c>
      <c r="P40" s="150">
        <v>0</v>
      </c>
      <c r="Q40" s="188">
        <v>0</v>
      </c>
      <c r="R40" s="150">
        <f t="shared" si="0"/>
        <v>125</v>
      </c>
      <c r="S40" s="152">
        <f t="shared" si="1"/>
        <v>0</v>
      </c>
      <c r="T40" s="14"/>
    </row>
    <row r="41" spans="1:20" s="7" customFormat="1" ht="12.75">
      <c r="A41" s="162" t="s">
        <v>560</v>
      </c>
      <c r="B41" s="144" t="s">
        <v>885</v>
      </c>
      <c r="C41" s="144" t="s">
        <v>905</v>
      </c>
      <c r="D41" s="194" t="s">
        <v>1829</v>
      </c>
      <c r="E41" s="172" t="s">
        <v>454</v>
      </c>
      <c r="F41" s="159" t="s">
        <v>454</v>
      </c>
      <c r="G41" s="159" t="s">
        <v>454</v>
      </c>
      <c r="H41" s="159" t="s">
        <v>454</v>
      </c>
      <c r="I41" s="159" t="s">
        <v>454</v>
      </c>
      <c r="J41" s="159" t="s">
        <v>454</v>
      </c>
      <c r="K41" s="148" t="s">
        <v>768</v>
      </c>
      <c r="L41" s="148"/>
      <c r="M41" s="148"/>
      <c r="N41" s="149" t="s">
        <v>10</v>
      </c>
      <c r="O41" s="150">
        <v>16.45</v>
      </c>
      <c r="P41" s="150">
        <v>39.950000000000003</v>
      </c>
      <c r="Q41" s="188">
        <v>0</v>
      </c>
      <c r="R41" s="150">
        <f t="shared" si="0"/>
        <v>125</v>
      </c>
      <c r="S41" s="152">
        <f t="shared" si="1"/>
        <v>39.950000000000003</v>
      </c>
      <c r="T41" s="14"/>
    </row>
    <row r="42" spans="1:20" s="7" customFormat="1" ht="12.75">
      <c r="A42" s="162" t="s">
        <v>570</v>
      </c>
      <c r="B42" s="144" t="s">
        <v>564</v>
      </c>
      <c r="C42" s="144" t="s">
        <v>981</v>
      </c>
      <c r="D42" s="194" t="s">
        <v>1829</v>
      </c>
      <c r="E42" s="172" t="s">
        <v>454</v>
      </c>
      <c r="F42" s="159" t="s">
        <v>454</v>
      </c>
      <c r="G42" s="159" t="s">
        <v>454</v>
      </c>
      <c r="H42" s="159" t="s">
        <v>454</v>
      </c>
      <c r="I42" s="159" t="s">
        <v>454</v>
      </c>
      <c r="J42" s="159" t="s">
        <v>454</v>
      </c>
      <c r="K42" s="148" t="s">
        <v>768</v>
      </c>
      <c r="L42" s="148"/>
      <c r="M42" s="148"/>
      <c r="N42" s="149" t="s">
        <v>10</v>
      </c>
      <c r="O42" s="150">
        <v>99.95</v>
      </c>
      <c r="P42" s="150">
        <v>39.950000000000003</v>
      </c>
      <c r="Q42" s="188">
        <v>0</v>
      </c>
      <c r="R42" s="150">
        <f t="shared" si="0"/>
        <v>125</v>
      </c>
      <c r="S42" s="152">
        <f t="shared" si="1"/>
        <v>39.950000000000003</v>
      </c>
      <c r="T42" s="14"/>
    </row>
    <row r="43" spans="1:20" s="7" customFormat="1" ht="12.75">
      <c r="A43" s="162" t="s">
        <v>512</v>
      </c>
      <c r="B43" s="144" t="s">
        <v>762</v>
      </c>
      <c r="C43" s="144" t="s">
        <v>1042</v>
      </c>
      <c r="D43" s="194" t="s">
        <v>1878</v>
      </c>
      <c r="E43" s="172" t="s">
        <v>454</v>
      </c>
      <c r="F43" s="159" t="s">
        <v>454</v>
      </c>
      <c r="G43" s="159" t="s">
        <v>454</v>
      </c>
      <c r="H43" s="159" t="s">
        <v>454</v>
      </c>
      <c r="I43" s="159" t="s">
        <v>454</v>
      </c>
      <c r="J43" s="159" t="s">
        <v>454</v>
      </c>
      <c r="K43" s="148" t="s">
        <v>768</v>
      </c>
      <c r="L43" s="148" t="s">
        <v>1684</v>
      </c>
      <c r="M43" s="148"/>
      <c r="N43" s="149" t="s">
        <v>10</v>
      </c>
      <c r="O43" s="150">
        <v>178.77</v>
      </c>
      <c r="P43" s="150">
        <v>297.95</v>
      </c>
      <c r="Q43" s="188">
        <v>0.3</v>
      </c>
      <c r="R43" s="150">
        <f t="shared" si="0"/>
        <v>125</v>
      </c>
      <c r="S43" s="153">
        <f t="shared" si="1"/>
        <v>335.45</v>
      </c>
      <c r="T43" s="14"/>
    </row>
    <row r="44" spans="1:20" s="7" customFormat="1" ht="12.75">
      <c r="A44" s="162" t="s">
        <v>511</v>
      </c>
      <c r="B44" s="144" t="s">
        <v>548</v>
      </c>
      <c r="C44" s="144" t="s">
        <v>1043</v>
      </c>
      <c r="D44" s="194" t="s">
        <v>1878</v>
      </c>
      <c r="E44" s="172" t="s">
        <v>454</v>
      </c>
      <c r="F44" s="159" t="s">
        <v>454</v>
      </c>
      <c r="G44" s="159" t="s">
        <v>454</v>
      </c>
      <c r="H44" s="159" t="s">
        <v>454</v>
      </c>
      <c r="I44" s="159" t="s">
        <v>454</v>
      </c>
      <c r="J44" s="159" t="s">
        <v>454</v>
      </c>
      <c r="K44" s="148" t="s">
        <v>768</v>
      </c>
      <c r="L44" s="148" t="s">
        <v>1684</v>
      </c>
      <c r="M44" s="148"/>
      <c r="N44" s="149" t="s">
        <v>10</v>
      </c>
      <c r="O44" s="150">
        <v>117.57</v>
      </c>
      <c r="P44" s="150">
        <v>195.95</v>
      </c>
      <c r="Q44" s="188">
        <v>0.3</v>
      </c>
      <c r="R44" s="150">
        <f t="shared" si="0"/>
        <v>125</v>
      </c>
      <c r="S44" s="153">
        <f t="shared" si="1"/>
        <v>233.45</v>
      </c>
      <c r="T44" s="14"/>
    </row>
    <row r="45" spans="1:20" s="7" customFormat="1" ht="12.95" customHeight="1">
      <c r="A45" s="162" t="s">
        <v>513</v>
      </c>
      <c r="B45" s="144" t="s">
        <v>549</v>
      </c>
      <c r="C45" s="168" t="s">
        <v>1044</v>
      </c>
      <c r="D45" s="194" t="s">
        <v>1878</v>
      </c>
      <c r="E45" s="172" t="s">
        <v>454</v>
      </c>
      <c r="F45" s="159" t="s">
        <v>454</v>
      </c>
      <c r="G45" s="159" t="s">
        <v>454</v>
      </c>
      <c r="H45" s="159" t="s">
        <v>454</v>
      </c>
      <c r="I45" s="159" t="s">
        <v>454</v>
      </c>
      <c r="J45" s="159" t="s">
        <v>454</v>
      </c>
      <c r="K45" s="148" t="s">
        <v>768</v>
      </c>
      <c r="L45" s="148" t="s">
        <v>1684</v>
      </c>
      <c r="M45" s="148"/>
      <c r="N45" s="149" t="s">
        <v>10</v>
      </c>
      <c r="O45" s="150">
        <v>145.77000000000001</v>
      </c>
      <c r="P45" s="150">
        <v>242.95</v>
      </c>
      <c r="Q45" s="188">
        <v>0.3</v>
      </c>
      <c r="R45" s="150">
        <f t="shared" si="0"/>
        <v>125</v>
      </c>
      <c r="S45" s="152">
        <f t="shared" si="1"/>
        <v>280.45</v>
      </c>
      <c r="T45" s="14"/>
    </row>
    <row r="46" spans="1:20" s="7" customFormat="1" ht="12.95" customHeight="1">
      <c r="A46" s="162" t="s">
        <v>2027</v>
      </c>
      <c r="B46" s="144" t="s">
        <v>2029</v>
      </c>
      <c r="C46" s="144" t="s">
        <v>2031</v>
      </c>
      <c r="D46" s="174"/>
      <c r="E46" s="159" t="s">
        <v>454</v>
      </c>
      <c r="F46" s="159" t="s">
        <v>454</v>
      </c>
      <c r="G46" s="159" t="s">
        <v>454</v>
      </c>
      <c r="H46" s="159" t="s">
        <v>454</v>
      </c>
      <c r="I46" s="159" t="s">
        <v>454</v>
      </c>
      <c r="J46" s="159" t="s">
        <v>454</v>
      </c>
      <c r="K46" s="167" t="s">
        <v>768</v>
      </c>
      <c r="L46" s="149"/>
      <c r="M46" s="149"/>
      <c r="N46" s="149" t="s">
        <v>10</v>
      </c>
      <c r="O46" s="169">
        <v>316.14</v>
      </c>
      <c r="P46" s="169">
        <v>526.95000000000005</v>
      </c>
      <c r="Q46" s="188">
        <v>0.4</v>
      </c>
      <c r="R46" s="169">
        <f t="shared" si="0"/>
        <v>125</v>
      </c>
      <c r="S46" s="153">
        <f t="shared" si="1"/>
        <v>576.95000000000005</v>
      </c>
      <c r="T46" s="14"/>
    </row>
    <row r="47" spans="1:20" s="7" customFormat="1" ht="12.75">
      <c r="A47" s="162" t="s">
        <v>2028</v>
      </c>
      <c r="B47" s="144" t="s">
        <v>2030</v>
      </c>
      <c r="C47" s="144" t="s">
        <v>2032</v>
      </c>
      <c r="D47" s="174"/>
      <c r="E47" s="159" t="s">
        <v>454</v>
      </c>
      <c r="F47" s="159" t="s">
        <v>454</v>
      </c>
      <c r="G47" s="159" t="s">
        <v>454</v>
      </c>
      <c r="H47" s="159" t="s">
        <v>454</v>
      </c>
      <c r="I47" s="159" t="s">
        <v>454</v>
      </c>
      <c r="J47" s="159" t="s">
        <v>454</v>
      </c>
      <c r="K47" s="167" t="s">
        <v>768</v>
      </c>
      <c r="L47" s="167"/>
      <c r="M47" s="167"/>
      <c r="N47" s="149" t="s">
        <v>10</v>
      </c>
      <c r="O47" s="169">
        <v>316.14</v>
      </c>
      <c r="P47" s="169">
        <v>526.95000000000005</v>
      </c>
      <c r="Q47" s="188">
        <v>0.4</v>
      </c>
      <c r="R47" s="169">
        <f t="shared" si="0"/>
        <v>125</v>
      </c>
      <c r="S47" s="153">
        <f t="shared" si="1"/>
        <v>576.95000000000005</v>
      </c>
      <c r="T47" s="14"/>
    </row>
    <row r="48" spans="1:20" s="7" customFormat="1" ht="12.95" customHeight="1">
      <c r="A48" s="162" t="s">
        <v>1820</v>
      </c>
      <c r="B48" s="144" t="s">
        <v>1822</v>
      </c>
      <c r="C48" s="144" t="s">
        <v>1958</v>
      </c>
      <c r="D48" s="263" t="s">
        <v>2153</v>
      </c>
      <c r="E48" s="172" t="s">
        <v>454</v>
      </c>
      <c r="F48" s="159" t="s">
        <v>454</v>
      </c>
      <c r="G48" s="159" t="s">
        <v>454</v>
      </c>
      <c r="H48" s="159" t="s">
        <v>454</v>
      </c>
      <c r="I48" s="159" t="s">
        <v>454</v>
      </c>
      <c r="J48" s="159" t="s">
        <v>454</v>
      </c>
      <c r="K48" s="148" t="s">
        <v>768</v>
      </c>
      <c r="L48" s="148" t="s">
        <v>1684</v>
      </c>
      <c r="M48" s="148"/>
      <c r="N48" s="149" t="s">
        <v>10</v>
      </c>
      <c r="O48" s="150">
        <v>75.56</v>
      </c>
      <c r="P48" s="150">
        <v>125.95</v>
      </c>
      <c r="Q48" s="188">
        <v>0.8</v>
      </c>
      <c r="R48" s="150">
        <f t="shared" si="0"/>
        <v>125</v>
      </c>
      <c r="S48" s="152">
        <f t="shared" si="1"/>
        <v>225.95</v>
      </c>
      <c r="T48" s="14"/>
    </row>
    <row r="49" spans="1:20" s="7" customFormat="1" ht="12.75">
      <c r="A49" s="162" t="s">
        <v>471</v>
      </c>
      <c r="B49" s="144" t="s">
        <v>1996</v>
      </c>
      <c r="C49" s="144" t="s">
        <v>1997</v>
      </c>
      <c r="D49" s="174" t="s">
        <v>2154</v>
      </c>
      <c r="E49" s="172" t="s">
        <v>454</v>
      </c>
      <c r="F49" s="159" t="s">
        <v>454</v>
      </c>
      <c r="G49" s="159" t="s">
        <v>454</v>
      </c>
      <c r="H49" s="159" t="s">
        <v>454</v>
      </c>
      <c r="I49" s="159" t="s">
        <v>454</v>
      </c>
      <c r="J49" s="159" t="s">
        <v>454</v>
      </c>
      <c r="K49" s="148" t="s">
        <v>768</v>
      </c>
      <c r="L49" s="148" t="s">
        <v>1684</v>
      </c>
      <c r="M49" s="148"/>
      <c r="N49" s="149" t="s">
        <v>10</v>
      </c>
      <c r="O49" s="150">
        <v>38.97</v>
      </c>
      <c r="P49" s="150">
        <v>64.95</v>
      </c>
      <c r="Q49" s="188">
        <v>0.4</v>
      </c>
      <c r="R49" s="150">
        <f t="shared" si="0"/>
        <v>125</v>
      </c>
      <c r="S49" s="152">
        <f t="shared" si="1"/>
        <v>114.95</v>
      </c>
      <c r="T49" s="14"/>
    </row>
    <row r="50" spans="1:20" s="7" customFormat="1" ht="12.75">
      <c r="A50" s="162" t="s">
        <v>826</v>
      </c>
      <c r="B50" s="144" t="s">
        <v>1999</v>
      </c>
      <c r="C50" s="144" t="s">
        <v>2000</v>
      </c>
      <c r="D50" s="174" t="s">
        <v>2154</v>
      </c>
      <c r="E50" s="172" t="s">
        <v>454</v>
      </c>
      <c r="F50" s="159" t="s">
        <v>454</v>
      </c>
      <c r="G50" s="159" t="s">
        <v>454</v>
      </c>
      <c r="H50" s="159" t="s">
        <v>454</v>
      </c>
      <c r="I50" s="159" t="s">
        <v>454</v>
      </c>
      <c r="J50" s="159" t="s">
        <v>454</v>
      </c>
      <c r="K50" s="148" t="s">
        <v>768</v>
      </c>
      <c r="L50" s="148" t="s">
        <v>1684</v>
      </c>
      <c r="M50" s="148"/>
      <c r="N50" s="149" t="s">
        <v>10</v>
      </c>
      <c r="O50" s="150">
        <v>38.97</v>
      </c>
      <c r="P50" s="150">
        <v>64.95</v>
      </c>
      <c r="Q50" s="188">
        <v>0.4</v>
      </c>
      <c r="R50" s="150">
        <f t="shared" si="0"/>
        <v>125</v>
      </c>
      <c r="S50" s="152">
        <f t="shared" si="1"/>
        <v>114.95</v>
      </c>
      <c r="T50" s="14"/>
    </row>
    <row r="51" spans="1:20" s="7" customFormat="1" ht="12.75">
      <c r="A51" s="162" t="s">
        <v>872</v>
      </c>
      <c r="B51" s="144" t="s">
        <v>873</v>
      </c>
      <c r="C51" s="144" t="s">
        <v>875</v>
      </c>
      <c r="D51" s="174" t="s">
        <v>2033</v>
      </c>
      <c r="E51" s="172" t="s">
        <v>454</v>
      </c>
      <c r="F51" s="159" t="s">
        <v>454</v>
      </c>
      <c r="G51" s="159" t="s">
        <v>454</v>
      </c>
      <c r="H51" s="159" t="s">
        <v>454</v>
      </c>
      <c r="I51" s="159" t="s">
        <v>454</v>
      </c>
      <c r="J51" s="159" t="s">
        <v>454</v>
      </c>
      <c r="K51" s="148"/>
      <c r="L51" s="148"/>
      <c r="M51" s="148"/>
      <c r="N51" s="149" t="s">
        <v>59</v>
      </c>
      <c r="O51" s="150">
        <v>84</v>
      </c>
      <c r="P51" s="150">
        <v>119.95</v>
      </c>
      <c r="Q51" s="188">
        <v>0</v>
      </c>
      <c r="R51" s="150">
        <f t="shared" si="0"/>
        <v>125</v>
      </c>
      <c r="S51" s="152">
        <f t="shared" si="1"/>
        <v>119.95</v>
      </c>
      <c r="T51" s="14"/>
    </row>
    <row r="52" spans="1:20" s="7" customFormat="1" ht="12.75">
      <c r="A52" s="162" t="s">
        <v>528</v>
      </c>
      <c r="B52" s="144" t="s">
        <v>1647</v>
      </c>
      <c r="C52" s="144" t="s">
        <v>2090</v>
      </c>
      <c r="D52" s="174" t="s">
        <v>1054</v>
      </c>
      <c r="E52" s="172" t="s">
        <v>454</v>
      </c>
      <c r="F52" s="159" t="s">
        <v>454</v>
      </c>
      <c r="G52" s="159" t="s">
        <v>454</v>
      </c>
      <c r="H52" s="159" t="s">
        <v>454</v>
      </c>
      <c r="I52" s="159" t="s">
        <v>454</v>
      </c>
      <c r="J52" s="159" t="s">
        <v>454</v>
      </c>
      <c r="K52" s="148" t="s">
        <v>768</v>
      </c>
      <c r="L52" s="148" t="s">
        <v>1684</v>
      </c>
      <c r="M52" s="148"/>
      <c r="N52" s="149" t="s">
        <v>0</v>
      </c>
      <c r="O52" s="150">
        <v>269.97000000000003</v>
      </c>
      <c r="P52" s="150">
        <v>449.95</v>
      </c>
      <c r="Q52" s="188">
        <v>0</v>
      </c>
      <c r="R52" s="150">
        <f t="shared" si="0"/>
        <v>125</v>
      </c>
      <c r="S52" s="152">
        <f t="shared" si="1"/>
        <v>449.95</v>
      </c>
      <c r="T52" s="14"/>
    </row>
    <row r="53" spans="1:20" s="7" customFormat="1" ht="12.75">
      <c r="A53" s="162" t="s">
        <v>2079</v>
      </c>
      <c r="B53" s="144" t="s">
        <v>2083</v>
      </c>
      <c r="C53" s="144" t="s">
        <v>2089</v>
      </c>
      <c r="D53" s="174"/>
      <c r="E53" s="172" t="s">
        <v>454</v>
      </c>
      <c r="F53" s="159" t="s">
        <v>454</v>
      </c>
      <c r="G53" s="159" t="s">
        <v>454</v>
      </c>
      <c r="H53" s="159" t="s">
        <v>454</v>
      </c>
      <c r="I53" s="159" t="s">
        <v>454</v>
      </c>
      <c r="J53" s="159" t="s">
        <v>454</v>
      </c>
      <c r="K53" s="167"/>
      <c r="L53" s="167" t="s">
        <v>1684</v>
      </c>
      <c r="M53" s="167"/>
      <c r="N53" s="149" t="s">
        <v>10</v>
      </c>
      <c r="O53" s="169">
        <v>94.77</v>
      </c>
      <c r="P53" s="169">
        <v>157.94999999999999</v>
      </c>
      <c r="Q53" s="188">
        <v>0.5</v>
      </c>
      <c r="R53" s="169">
        <f t="shared" si="0"/>
        <v>125</v>
      </c>
      <c r="S53" s="153">
        <f t="shared" si="1"/>
        <v>220.45</v>
      </c>
      <c r="T53" s="14"/>
    </row>
    <row r="54" spans="1:20" s="7" customFormat="1" ht="12.75">
      <c r="A54" s="162" t="s">
        <v>2080</v>
      </c>
      <c r="B54" s="144" t="s">
        <v>2084</v>
      </c>
      <c r="C54" s="144" t="s">
        <v>2088</v>
      </c>
      <c r="D54" s="174"/>
      <c r="E54" s="172" t="s">
        <v>454</v>
      </c>
      <c r="F54" s="159" t="s">
        <v>454</v>
      </c>
      <c r="G54" s="159" t="s">
        <v>454</v>
      </c>
      <c r="H54" s="159" t="s">
        <v>454</v>
      </c>
      <c r="I54" s="159" t="s">
        <v>454</v>
      </c>
      <c r="J54" s="159" t="s">
        <v>454</v>
      </c>
      <c r="K54" s="167"/>
      <c r="L54" s="167" t="s">
        <v>1684</v>
      </c>
      <c r="M54" s="167"/>
      <c r="N54" s="149" t="s">
        <v>10</v>
      </c>
      <c r="O54" s="169">
        <v>94.77</v>
      </c>
      <c r="P54" s="169">
        <v>157.94999999999999</v>
      </c>
      <c r="Q54" s="188">
        <v>0.5</v>
      </c>
      <c r="R54" s="169">
        <f t="shared" si="0"/>
        <v>125</v>
      </c>
      <c r="S54" s="153">
        <f t="shared" si="1"/>
        <v>220.45</v>
      </c>
      <c r="T54" s="14"/>
    </row>
    <row r="55" spans="1:20" s="7" customFormat="1" ht="12.95" customHeight="1">
      <c r="A55" s="162" t="s">
        <v>1890</v>
      </c>
      <c r="B55" s="144" t="s">
        <v>2055</v>
      </c>
      <c r="C55" s="144" t="s">
        <v>2065</v>
      </c>
      <c r="D55" s="174"/>
      <c r="E55" s="172" t="s">
        <v>454</v>
      </c>
      <c r="F55" s="159" t="s">
        <v>454</v>
      </c>
      <c r="G55" s="159" t="s">
        <v>454</v>
      </c>
      <c r="H55" s="159" t="s">
        <v>454</v>
      </c>
      <c r="I55" s="159" t="s">
        <v>454</v>
      </c>
      <c r="J55" s="159" t="s">
        <v>454</v>
      </c>
      <c r="K55" s="148" t="s">
        <v>768</v>
      </c>
      <c r="L55" s="167" t="s">
        <v>1684</v>
      </c>
      <c r="M55" s="167"/>
      <c r="N55" s="149" t="s">
        <v>10</v>
      </c>
      <c r="O55" s="150">
        <v>263.97000000000003</v>
      </c>
      <c r="P55" s="150">
        <v>439.95</v>
      </c>
      <c r="Q55" s="188">
        <v>0.4</v>
      </c>
      <c r="R55" s="150">
        <f t="shared" si="0"/>
        <v>125</v>
      </c>
      <c r="S55" s="152">
        <f t="shared" si="1"/>
        <v>489.95</v>
      </c>
      <c r="T55" s="14"/>
    </row>
    <row r="56" spans="1:20" s="7" customFormat="1" ht="12.75">
      <c r="A56" s="162" t="s">
        <v>1935</v>
      </c>
      <c r="B56" s="144" t="s">
        <v>2056</v>
      </c>
      <c r="C56" s="144" t="s">
        <v>2072</v>
      </c>
      <c r="D56" s="174"/>
      <c r="E56" s="172" t="s">
        <v>454</v>
      </c>
      <c r="F56" s="159" t="s">
        <v>454</v>
      </c>
      <c r="G56" s="159" t="s">
        <v>454</v>
      </c>
      <c r="H56" s="159" t="s">
        <v>454</v>
      </c>
      <c r="I56" s="159" t="s">
        <v>454</v>
      </c>
      <c r="J56" s="159" t="s">
        <v>454</v>
      </c>
      <c r="K56" s="148" t="s">
        <v>768</v>
      </c>
      <c r="L56" s="148"/>
      <c r="M56" s="148"/>
      <c r="N56" s="149" t="s">
        <v>10</v>
      </c>
      <c r="O56" s="150">
        <v>276.57</v>
      </c>
      <c r="P56" s="150">
        <v>460.95</v>
      </c>
      <c r="Q56" s="188">
        <v>0.4</v>
      </c>
      <c r="R56" s="150">
        <f t="shared" si="0"/>
        <v>125</v>
      </c>
      <c r="S56" s="152">
        <f t="shared" si="1"/>
        <v>510.95</v>
      </c>
      <c r="T56" s="14"/>
    </row>
    <row r="57" spans="1:20" s="7" customFormat="1" ht="12.75">
      <c r="A57" s="162" t="s">
        <v>1889</v>
      </c>
      <c r="B57" s="144" t="s">
        <v>1891</v>
      </c>
      <c r="C57" s="144" t="s">
        <v>1961</v>
      </c>
      <c r="D57" s="174"/>
      <c r="E57" s="172" t="s">
        <v>454</v>
      </c>
      <c r="F57" s="159" t="s">
        <v>454</v>
      </c>
      <c r="G57" s="159" t="s">
        <v>454</v>
      </c>
      <c r="H57" s="159" t="s">
        <v>454</v>
      </c>
      <c r="I57" s="159" t="s">
        <v>454</v>
      </c>
      <c r="J57" s="159" t="s">
        <v>454</v>
      </c>
      <c r="K57" s="148" t="s">
        <v>768</v>
      </c>
      <c r="L57" s="167" t="s">
        <v>1684</v>
      </c>
      <c r="M57" s="167"/>
      <c r="N57" s="149" t="s">
        <v>10</v>
      </c>
      <c r="O57" s="150">
        <v>167.97</v>
      </c>
      <c r="P57" s="150">
        <v>279.95</v>
      </c>
      <c r="Q57" s="188">
        <v>0.4</v>
      </c>
      <c r="R57" s="150">
        <f t="shared" si="0"/>
        <v>125</v>
      </c>
      <c r="S57" s="152">
        <f t="shared" si="1"/>
        <v>329.95</v>
      </c>
      <c r="T57" s="14"/>
    </row>
    <row r="58" spans="1:20" s="7" customFormat="1" ht="12.95" customHeight="1">
      <c r="A58" s="162" t="s">
        <v>2021</v>
      </c>
      <c r="B58" s="144" t="s">
        <v>2018</v>
      </c>
      <c r="C58" s="144" t="s">
        <v>2022</v>
      </c>
      <c r="D58" s="264"/>
      <c r="E58" s="172" t="s">
        <v>454</v>
      </c>
      <c r="F58" s="159" t="s">
        <v>454</v>
      </c>
      <c r="G58" s="159" t="s">
        <v>454</v>
      </c>
      <c r="H58" s="159" t="s">
        <v>454</v>
      </c>
      <c r="I58" s="159" t="s">
        <v>454</v>
      </c>
      <c r="J58" s="159" t="s">
        <v>454</v>
      </c>
      <c r="K58" s="167" t="s">
        <v>768</v>
      </c>
      <c r="L58" s="167"/>
      <c r="M58" s="167"/>
      <c r="N58" s="149" t="s">
        <v>10</v>
      </c>
      <c r="O58" s="169">
        <v>398.6</v>
      </c>
      <c r="P58" s="169">
        <v>663.95</v>
      </c>
      <c r="Q58" s="188">
        <v>0.5</v>
      </c>
      <c r="R58" s="169">
        <f t="shared" si="0"/>
        <v>125</v>
      </c>
      <c r="S58" s="153">
        <f t="shared" si="1"/>
        <v>726.45</v>
      </c>
      <c r="T58" s="14"/>
    </row>
    <row r="59" spans="1:20" s="7" customFormat="1" ht="12.75">
      <c r="A59" s="265" t="s">
        <v>529</v>
      </c>
      <c r="B59" s="266" t="s">
        <v>536</v>
      </c>
      <c r="C59" s="266" t="s">
        <v>993</v>
      </c>
      <c r="D59" s="267"/>
      <c r="E59" s="268" t="s">
        <v>454</v>
      </c>
      <c r="F59" s="269" t="s">
        <v>454</v>
      </c>
      <c r="G59" s="269" t="s">
        <v>454</v>
      </c>
      <c r="H59" s="269" t="s">
        <v>454</v>
      </c>
      <c r="I59" s="269" t="s">
        <v>454</v>
      </c>
      <c r="J59" s="269" t="s">
        <v>454</v>
      </c>
      <c r="K59" s="270"/>
      <c r="L59" s="270" t="s">
        <v>1684</v>
      </c>
      <c r="M59" s="270"/>
      <c r="N59" s="271" t="s">
        <v>16</v>
      </c>
      <c r="O59" s="272">
        <v>34.770000000000003</v>
      </c>
      <c r="P59" s="272">
        <v>57.95</v>
      </c>
      <c r="Q59" s="273">
        <v>0</v>
      </c>
      <c r="R59" s="272">
        <f t="shared" si="0"/>
        <v>125</v>
      </c>
      <c r="S59" s="274">
        <f t="shared" si="1"/>
        <v>57.95</v>
      </c>
      <c r="T59" s="14"/>
    </row>
    <row r="60" spans="1:20" s="7" customFormat="1" ht="12.75">
      <c r="A60" s="162" t="s">
        <v>469</v>
      </c>
      <c r="B60" s="144" t="s">
        <v>779</v>
      </c>
      <c r="C60" s="144" t="s">
        <v>1939</v>
      </c>
      <c r="D60" s="174" t="s">
        <v>2156</v>
      </c>
      <c r="E60" s="172" t="s">
        <v>454</v>
      </c>
      <c r="F60" s="159" t="s">
        <v>454</v>
      </c>
      <c r="G60" s="159" t="s">
        <v>454</v>
      </c>
      <c r="H60" s="159" t="s">
        <v>454</v>
      </c>
      <c r="I60" s="159" t="s">
        <v>454</v>
      </c>
      <c r="J60" s="159" t="s">
        <v>454</v>
      </c>
      <c r="K60" s="167" t="s">
        <v>768</v>
      </c>
      <c r="L60" s="167"/>
      <c r="M60" s="167"/>
      <c r="N60" s="149" t="s">
        <v>59</v>
      </c>
      <c r="O60" s="150">
        <v>60</v>
      </c>
      <c r="P60" s="150">
        <v>84.95</v>
      </c>
      <c r="Q60" s="188">
        <v>0.8</v>
      </c>
      <c r="R60" s="150">
        <f t="shared" si="0"/>
        <v>125</v>
      </c>
      <c r="S60" s="153">
        <f t="shared" si="1"/>
        <v>184.95</v>
      </c>
      <c r="T60" s="14"/>
    </row>
    <row r="61" spans="1:20" s="7" customFormat="1" ht="12.75">
      <c r="A61" s="275" t="s">
        <v>1680</v>
      </c>
      <c r="B61" s="276" t="s">
        <v>1800</v>
      </c>
      <c r="C61" s="276" t="s">
        <v>1970</v>
      </c>
      <c r="D61" s="277" t="s">
        <v>1804</v>
      </c>
      <c r="E61" s="278" t="s">
        <v>454</v>
      </c>
      <c r="F61" s="279" t="s">
        <v>454</v>
      </c>
      <c r="G61" s="279" t="s">
        <v>454</v>
      </c>
      <c r="H61" s="279" t="s">
        <v>454</v>
      </c>
      <c r="I61" s="279" t="s">
        <v>454</v>
      </c>
      <c r="J61" s="279" t="s">
        <v>454</v>
      </c>
      <c r="K61" s="186" t="s">
        <v>768</v>
      </c>
      <c r="L61" s="186"/>
      <c r="M61" s="186"/>
      <c r="N61" s="280" t="s">
        <v>59</v>
      </c>
      <c r="O61" s="281">
        <v>258.75</v>
      </c>
      <c r="P61" s="281">
        <v>389.95</v>
      </c>
      <c r="Q61" s="282">
        <v>0.8</v>
      </c>
      <c r="R61" s="281">
        <f t="shared" si="0"/>
        <v>125</v>
      </c>
      <c r="S61" s="187">
        <f t="shared" si="1"/>
        <v>489.95</v>
      </c>
      <c r="T61" s="14"/>
    </row>
    <row r="62" spans="1:20" s="7" customFormat="1" ht="12.75">
      <c r="A62" s="162" t="s">
        <v>1052</v>
      </c>
      <c r="B62" s="144" t="s">
        <v>1792</v>
      </c>
      <c r="C62" s="144" t="s">
        <v>1941</v>
      </c>
      <c r="D62" s="174" t="s">
        <v>2157</v>
      </c>
      <c r="E62" s="172" t="s">
        <v>454</v>
      </c>
      <c r="F62" s="159" t="s">
        <v>454</v>
      </c>
      <c r="G62" s="159" t="s">
        <v>454</v>
      </c>
      <c r="H62" s="159" t="s">
        <v>454</v>
      </c>
      <c r="I62" s="159" t="s">
        <v>454</v>
      </c>
      <c r="J62" s="159" t="s">
        <v>454</v>
      </c>
      <c r="K62" s="167" t="s">
        <v>768</v>
      </c>
      <c r="L62" s="167"/>
      <c r="M62" s="167"/>
      <c r="N62" s="149" t="s">
        <v>59</v>
      </c>
      <c r="O62" s="150">
        <v>150</v>
      </c>
      <c r="P62" s="150">
        <v>214.95</v>
      </c>
      <c r="Q62" s="188">
        <v>0.8</v>
      </c>
      <c r="R62" s="150">
        <f t="shared" si="0"/>
        <v>125</v>
      </c>
      <c r="S62" s="153">
        <f t="shared" si="1"/>
        <v>314.95</v>
      </c>
      <c r="T62" s="14"/>
    </row>
    <row r="63" spans="1:20" s="7" customFormat="1" ht="12.75">
      <c r="A63" s="164" t="s">
        <v>2211</v>
      </c>
      <c r="B63" s="165" t="s">
        <v>2198</v>
      </c>
      <c r="C63" s="165" t="s">
        <v>2196</v>
      </c>
      <c r="D63" s="216" t="s">
        <v>2197</v>
      </c>
      <c r="E63" s="204" t="s">
        <v>454</v>
      </c>
      <c r="F63" s="205" t="s">
        <v>454</v>
      </c>
      <c r="G63" s="205" t="s">
        <v>454</v>
      </c>
      <c r="H63" s="205" t="s">
        <v>454</v>
      </c>
      <c r="I63" s="205" t="s">
        <v>454</v>
      </c>
      <c r="J63" s="205" t="s">
        <v>454</v>
      </c>
      <c r="K63" s="181" t="s">
        <v>768</v>
      </c>
      <c r="L63" s="181" t="s">
        <v>1684</v>
      </c>
      <c r="M63" s="181"/>
      <c r="N63" s="182" t="s">
        <v>59</v>
      </c>
      <c r="O63" s="183">
        <v>315</v>
      </c>
      <c r="P63" s="183">
        <v>449.95</v>
      </c>
      <c r="Q63" s="207">
        <v>0.8</v>
      </c>
      <c r="R63" s="183">
        <f t="shared" si="0"/>
        <v>125</v>
      </c>
      <c r="S63" s="185">
        <f t="shared" si="1"/>
        <v>549.95000000000005</v>
      </c>
      <c r="T63" s="14"/>
    </row>
    <row r="64" spans="1:20" s="7" customFormat="1" ht="12.75">
      <c r="A64" s="162" t="s">
        <v>286</v>
      </c>
      <c r="B64" s="144" t="s">
        <v>287</v>
      </c>
      <c r="C64" s="144" t="s">
        <v>292</v>
      </c>
      <c r="D64" s="174"/>
      <c r="E64" s="172" t="s">
        <v>454</v>
      </c>
      <c r="F64" s="159" t="s">
        <v>454</v>
      </c>
      <c r="G64" s="159" t="s">
        <v>454</v>
      </c>
      <c r="H64" s="159" t="s">
        <v>454</v>
      </c>
      <c r="I64" s="159" t="s">
        <v>454</v>
      </c>
      <c r="J64" s="159" t="s">
        <v>454</v>
      </c>
      <c r="K64" s="167" t="s">
        <v>768</v>
      </c>
      <c r="L64" s="167"/>
      <c r="M64" s="167"/>
      <c r="N64" s="149" t="s">
        <v>59</v>
      </c>
      <c r="O64" s="150">
        <v>230</v>
      </c>
      <c r="P64" s="150">
        <v>329.95</v>
      </c>
      <c r="Q64" s="188">
        <v>0.8</v>
      </c>
      <c r="R64" s="150">
        <f t="shared" si="0"/>
        <v>125</v>
      </c>
      <c r="S64" s="153">
        <f t="shared" si="1"/>
        <v>429.95</v>
      </c>
      <c r="T64" s="14"/>
    </row>
    <row r="65" spans="1:20" s="7" customFormat="1" ht="12.75">
      <c r="A65" s="162" t="s">
        <v>1754</v>
      </c>
      <c r="B65" s="144" t="s">
        <v>2209</v>
      </c>
      <c r="C65" s="144" t="s">
        <v>1943</v>
      </c>
      <c r="D65" s="174" t="s">
        <v>2155</v>
      </c>
      <c r="E65" s="172" t="s">
        <v>454</v>
      </c>
      <c r="F65" s="159" t="s">
        <v>454</v>
      </c>
      <c r="G65" s="159" t="s">
        <v>454</v>
      </c>
      <c r="H65" s="159" t="s">
        <v>454</v>
      </c>
      <c r="I65" s="159" t="s">
        <v>454</v>
      </c>
      <c r="J65" s="159" t="s">
        <v>454</v>
      </c>
      <c r="K65" s="148" t="s">
        <v>410</v>
      </c>
      <c r="L65" s="148"/>
      <c r="M65" s="148"/>
      <c r="N65" s="149" t="s">
        <v>59</v>
      </c>
      <c r="O65" s="150">
        <v>230</v>
      </c>
      <c r="P65" s="150">
        <v>329.95</v>
      </c>
      <c r="Q65" s="188">
        <v>0.8</v>
      </c>
      <c r="R65" s="150">
        <f t="shared" si="0"/>
        <v>125</v>
      </c>
      <c r="S65" s="152">
        <f t="shared" si="1"/>
        <v>429.95</v>
      </c>
      <c r="T65" s="14"/>
    </row>
    <row r="66" spans="1:20" s="7" customFormat="1" ht="12.75">
      <c r="A66" s="162" t="s">
        <v>558</v>
      </c>
      <c r="B66" s="144" t="s">
        <v>1801</v>
      </c>
      <c r="C66" s="144" t="s">
        <v>1942</v>
      </c>
      <c r="D66" s="174" t="s">
        <v>2158</v>
      </c>
      <c r="E66" s="172" t="s">
        <v>454</v>
      </c>
      <c r="F66" s="159" t="s">
        <v>454</v>
      </c>
      <c r="G66" s="159" t="s">
        <v>454</v>
      </c>
      <c r="H66" s="159" t="s">
        <v>454</v>
      </c>
      <c r="I66" s="159" t="s">
        <v>454</v>
      </c>
      <c r="J66" s="159" t="s">
        <v>454</v>
      </c>
      <c r="K66" s="167" t="s">
        <v>768</v>
      </c>
      <c r="L66" s="167"/>
      <c r="M66" s="167"/>
      <c r="N66" s="149" t="s">
        <v>59</v>
      </c>
      <c r="O66" s="150">
        <v>150</v>
      </c>
      <c r="P66" s="150">
        <v>214.95</v>
      </c>
      <c r="Q66" s="188">
        <v>0.8</v>
      </c>
      <c r="R66" s="150">
        <f t="shared" si="0"/>
        <v>125</v>
      </c>
      <c r="S66" s="153">
        <f t="shared" si="1"/>
        <v>314.95</v>
      </c>
      <c r="T66" s="14"/>
    </row>
    <row r="67" spans="1:20" s="7" customFormat="1" ht="12.75">
      <c r="A67" s="162" t="s">
        <v>283</v>
      </c>
      <c r="B67" s="144" t="s">
        <v>284</v>
      </c>
      <c r="C67" s="144" t="s">
        <v>291</v>
      </c>
      <c r="D67" s="174" t="s">
        <v>302</v>
      </c>
      <c r="E67" s="172" t="s">
        <v>454</v>
      </c>
      <c r="F67" s="159" t="s">
        <v>454</v>
      </c>
      <c r="G67" s="159" t="s">
        <v>454</v>
      </c>
      <c r="H67" s="159" t="s">
        <v>454</v>
      </c>
      <c r="I67" s="159" t="s">
        <v>454</v>
      </c>
      <c r="J67" s="159" t="s">
        <v>454</v>
      </c>
      <c r="K67" s="167" t="s">
        <v>768</v>
      </c>
      <c r="L67" s="167"/>
      <c r="M67" s="167"/>
      <c r="N67" s="149" t="s">
        <v>59</v>
      </c>
      <c r="O67" s="150">
        <v>150</v>
      </c>
      <c r="P67" s="150">
        <v>214.95</v>
      </c>
      <c r="Q67" s="188">
        <v>0.8</v>
      </c>
      <c r="R67" s="150">
        <f t="shared" ref="R67:R130" si="2">$N$1</f>
        <v>125</v>
      </c>
      <c r="S67" s="153">
        <f t="shared" ref="S67:S130" si="3">Q67*R67+P67</f>
        <v>314.95</v>
      </c>
      <c r="T67" s="14"/>
    </row>
    <row r="68" spans="1:20" s="7" customFormat="1" ht="12.75">
      <c r="A68" s="162" t="s">
        <v>299</v>
      </c>
      <c r="B68" s="144" t="s">
        <v>300</v>
      </c>
      <c r="C68" s="144" t="s">
        <v>301</v>
      </c>
      <c r="D68" s="174"/>
      <c r="E68" s="172" t="s">
        <v>454</v>
      </c>
      <c r="F68" s="159" t="s">
        <v>454</v>
      </c>
      <c r="G68" s="159" t="s">
        <v>454</v>
      </c>
      <c r="H68" s="159" t="s">
        <v>454</v>
      </c>
      <c r="I68" s="159" t="s">
        <v>454</v>
      </c>
      <c r="J68" s="159" t="s">
        <v>454</v>
      </c>
      <c r="K68" s="167" t="s">
        <v>768</v>
      </c>
      <c r="L68" s="167"/>
      <c r="M68" s="167"/>
      <c r="N68" s="149" t="s">
        <v>59</v>
      </c>
      <c r="O68" s="150">
        <v>60</v>
      </c>
      <c r="P68" s="150">
        <v>79.95</v>
      </c>
      <c r="Q68" s="188">
        <v>0.8</v>
      </c>
      <c r="R68" s="150">
        <f t="shared" si="2"/>
        <v>125</v>
      </c>
      <c r="S68" s="153">
        <f t="shared" si="3"/>
        <v>179.95</v>
      </c>
      <c r="T68" s="14"/>
    </row>
    <row r="69" spans="1:20" s="7" customFormat="1" ht="12.75">
      <c r="A69" s="162" t="s">
        <v>468</v>
      </c>
      <c r="B69" s="144" t="s">
        <v>1793</v>
      </c>
      <c r="C69" s="144" t="s">
        <v>1940</v>
      </c>
      <c r="D69" s="174" t="s">
        <v>2159</v>
      </c>
      <c r="E69" s="172" t="s">
        <v>454</v>
      </c>
      <c r="F69" s="159" t="s">
        <v>454</v>
      </c>
      <c r="G69" s="159" t="s">
        <v>454</v>
      </c>
      <c r="H69" s="159" t="s">
        <v>454</v>
      </c>
      <c r="I69" s="159" t="s">
        <v>454</v>
      </c>
      <c r="J69" s="159" t="s">
        <v>454</v>
      </c>
      <c r="K69" s="167" t="s">
        <v>768</v>
      </c>
      <c r="L69" s="167"/>
      <c r="M69" s="167"/>
      <c r="N69" s="149" t="s">
        <v>59</v>
      </c>
      <c r="O69" s="150">
        <v>88.5</v>
      </c>
      <c r="P69" s="150">
        <v>124.95</v>
      </c>
      <c r="Q69" s="188">
        <v>0.8</v>
      </c>
      <c r="R69" s="150">
        <f t="shared" si="2"/>
        <v>125</v>
      </c>
      <c r="S69" s="153">
        <f t="shared" si="3"/>
        <v>224.95</v>
      </c>
      <c r="T69" s="14"/>
    </row>
    <row r="70" spans="1:20" s="7" customFormat="1" ht="12.75">
      <c r="A70" s="162" t="s">
        <v>524</v>
      </c>
      <c r="B70" s="144" t="s">
        <v>1637</v>
      </c>
      <c r="C70" s="144" t="s">
        <v>1639</v>
      </c>
      <c r="D70" s="174" t="s">
        <v>1085</v>
      </c>
      <c r="E70" s="172" t="s">
        <v>454</v>
      </c>
      <c r="F70" s="159" t="s">
        <v>454</v>
      </c>
      <c r="G70" s="159" t="s">
        <v>454</v>
      </c>
      <c r="H70" s="159" t="s">
        <v>454</v>
      </c>
      <c r="I70" s="159" t="s">
        <v>454</v>
      </c>
      <c r="J70" s="159" t="s">
        <v>454</v>
      </c>
      <c r="K70" s="148" t="s">
        <v>768</v>
      </c>
      <c r="L70" s="148" t="s">
        <v>1684</v>
      </c>
      <c r="M70" s="148"/>
      <c r="N70" s="149" t="s">
        <v>0</v>
      </c>
      <c r="O70" s="150">
        <v>244.17</v>
      </c>
      <c r="P70" s="150">
        <v>406.95</v>
      </c>
      <c r="Q70" s="188">
        <v>0.5</v>
      </c>
      <c r="R70" s="150">
        <f t="shared" si="2"/>
        <v>125</v>
      </c>
      <c r="S70" s="152">
        <f t="shared" si="3"/>
        <v>469.45</v>
      </c>
      <c r="T70" s="14"/>
    </row>
    <row r="71" spans="1:20" s="7" customFormat="1" ht="12.75">
      <c r="A71" s="162" t="s">
        <v>520</v>
      </c>
      <c r="B71" s="144" t="s">
        <v>825</v>
      </c>
      <c r="C71" s="144" t="s">
        <v>1791</v>
      </c>
      <c r="D71" s="174" t="s">
        <v>1986</v>
      </c>
      <c r="E71" s="172" t="s">
        <v>454</v>
      </c>
      <c r="F71" s="159" t="s">
        <v>454</v>
      </c>
      <c r="G71" s="159" t="s">
        <v>454</v>
      </c>
      <c r="H71" s="159" t="s">
        <v>454</v>
      </c>
      <c r="I71" s="159" t="s">
        <v>454</v>
      </c>
      <c r="J71" s="159" t="s">
        <v>454</v>
      </c>
      <c r="K71" s="148" t="s">
        <v>768</v>
      </c>
      <c r="L71" s="148" t="s">
        <v>1684</v>
      </c>
      <c r="M71" s="148"/>
      <c r="N71" s="149" t="s">
        <v>10</v>
      </c>
      <c r="O71" s="150">
        <v>281.37</v>
      </c>
      <c r="P71" s="150">
        <v>468.95</v>
      </c>
      <c r="Q71" s="188">
        <v>0.5</v>
      </c>
      <c r="R71" s="150">
        <f t="shared" si="2"/>
        <v>125</v>
      </c>
      <c r="S71" s="152">
        <f t="shared" si="3"/>
        <v>531.45000000000005</v>
      </c>
      <c r="T71" s="14"/>
    </row>
    <row r="72" spans="1:20" s="7" customFormat="1" ht="12.75">
      <c r="A72" s="162" t="s">
        <v>861</v>
      </c>
      <c r="B72" s="144" t="s">
        <v>2066</v>
      </c>
      <c r="C72" s="144" t="s">
        <v>1853</v>
      </c>
      <c r="D72" s="174" t="s">
        <v>1707</v>
      </c>
      <c r="E72" s="172" t="s">
        <v>454</v>
      </c>
      <c r="F72" s="159" t="s">
        <v>454</v>
      </c>
      <c r="G72" s="159" t="s">
        <v>454</v>
      </c>
      <c r="H72" s="159" t="s">
        <v>454</v>
      </c>
      <c r="I72" s="159" t="s">
        <v>454</v>
      </c>
      <c r="J72" s="159" t="s">
        <v>454</v>
      </c>
      <c r="K72" s="148" t="s">
        <v>768</v>
      </c>
      <c r="L72" s="148" t="s">
        <v>1684</v>
      </c>
      <c r="M72" s="148"/>
      <c r="N72" s="149" t="s">
        <v>10</v>
      </c>
      <c r="O72" s="150">
        <v>769.97</v>
      </c>
      <c r="P72" s="150">
        <v>1099.95</v>
      </c>
      <c r="Q72" s="188">
        <v>0.5</v>
      </c>
      <c r="R72" s="150">
        <f t="shared" si="2"/>
        <v>125</v>
      </c>
      <c r="S72" s="152">
        <f t="shared" si="3"/>
        <v>1162.45</v>
      </c>
      <c r="T72" s="14"/>
    </row>
    <row r="73" spans="1:20" s="7" customFormat="1" ht="12.75">
      <c r="A73" s="162" t="s">
        <v>862</v>
      </c>
      <c r="B73" s="144" t="s">
        <v>2067</v>
      </c>
      <c r="C73" s="144" t="s">
        <v>2110</v>
      </c>
      <c r="D73" s="174" t="s">
        <v>1707</v>
      </c>
      <c r="E73" s="172" t="s">
        <v>454</v>
      </c>
      <c r="F73" s="159" t="s">
        <v>454</v>
      </c>
      <c r="G73" s="159" t="s">
        <v>454</v>
      </c>
      <c r="H73" s="159" t="s">
        <v>454</v>
      </c>
      <c r="I73" s="159" t="s">
        <v>454</v>
      </c>
      <c r="J73" s="159" t="s">
        <v>454</v>
      </c>
      <c r="K73" s="148" t="s">
        <v>768</v>
      </c>
      <c r="L73" s="148" t="s">
        <v>1684</v>
      </c>
      <c r="M73" s="148"/>
      <c r="N73" s="149" t="s">
        <v>10</v>
      </c>
      <c r="O73" s="150">
        <v>476.43</v>
      </c>
      <c r="P73" s="150">
        <v>669.95</v>
      </c>
      <c r="Q73" s="188">
        <v>0.5</v>
      </c>
      <c r="R73" s="150">
        <f t="shared" si="2"/>
        <v>125</v>
      </c>
      <c r="S73" s="152">
        <f t="shared" si="3"/>
        <v>732.45</v>
      </c>
      <c r="T73" s="14"/>
    </row>
    <row r="74" spans="1:20" s="7" customFormat="1" ht="12.75">
      <c r="A74" s="162" t="s">
        <v>1610</v>
      </c>
      <c r="B74" s="144" t="s">
        <v>860</v>
      </c>
      <c r="C74" s="144" t="s">
        <v>866</v>
      </c>
      <c r="D74" s="174" t="s">
        <v>1707</v>
      </c>
      <c r="E74" s="172" t="s">
        <v>454</v>
      </c>
      <c r="F74" s="159" t="s">
        <v>454</v>
      </c>
      <c r="G74" s="159" t="s">
        <v>454</v>
      </c>
      <c r="H74" s="159" t="s">
        <v>454</v>
      </c>
      <c r="I74" s="159" t="s">
        <v>454</v>
      </c>
      <c r="J74" s="159" t="s">
        <v>454</v>
      </c>
      <c r="K74" s="148"/>
      <c r="L74" s="191" t="s">
        <v>1684</v>
      </c>
      <c r="M74" s="191"/>
      <c r="N74" s="149" t="s">
        <v>10</v>
      </c>
      <c r="O74" s="150">
        <v>392.67</v>
      </c>
      <c r="P74" s="150">
        <v>560.95000000000005</v>
      </c>
      <c r="Q74" s="188">
        <v>1.5</v>
      </c>
      <c r="R74" s="150">
        <f t="shared" si="2"/>
        <v>125</v>
      </c>
      <c r="S74" s="152">
        <f t="shared" si="3"/>
        <v>748.45</v>
      </c>
      <c r="T74" s="14"/>
    </row>
    <row r="75" spans="1:20" s="7" customFormat="1" ht="12.75">
      <c r="A75" s="162" t="s">
        <v>525</v>
      </c>
      <c r="B75" s="144" t="s">
        <v>763</v>
      </c>
      <c r="C75" s="144" t="s">
        <v>994</v>
      </c>
      <c r="D75" s="174"/>
      <c r="E75" s="172" t="s">
        <v>454</v>
      </c>
      <c r="F75" s="159" t="s">
        <v>454</v>
      </c>
      <c r="G75" s="159" t="s">
        <v>454</v>
      </c>
      <c r="H75" s="159" t="s">
        <v>454</v>
      </c>
      <c r="I75" s="159" t="s">
        <v>454</v>
      </c>
      <c r="J75" s="159" t="s">
        <v>454</v>
      </c>
      <c r="K75" s="148" t="s">
        <v>768</v>
      </c>
      <c r="L75" s="148" t="s">
        <v>1684</v>
      </c>
      <c r="M75" s="148"/>
      <c r="N75" s="149" t="s">
        <v>0</v>
      </c>
      <c r="O75" s="150">
        <v>163.77000000000001</v>
      </c>
      <c r="P75" s="150">
        <v>272.95</v>
      </c>
      <c r="Q75" s="188">
        <v>0.5</v>
      </c>
      <c r="R75" s="150">
        <f t="shared" si="2"/>
        <v>125</v>
      </c>
      <c r="S75" s="152">
        <f t="shared" si="3"/>
        <v>335.45</v>
      </c>
      <c r="T75" s="14"/>
    </row>
    <row r="76" spans="1:20" s="7" customFormat="1" ht="12.75">
      <c r="A76" s="162" t="s">
        <v>534</v>
      </c>
      <c r="B76" s="144" t="s">
        <v>556</v>
      </c>
      <c r="C76" s="144" t="s">
        <v>995</v>
      </c>
      <c r="D76" s="174"/>
      <c r="E76" s="172" t="s">
        <v>454</v>
      </c>
      <c r="F76" s="159" t="s">
        <v>454</v>
      </c>
      <c r="G76" s="159" t="s">
        <v>454</v>
      </c>
      <c r="H76" s="159" t="s">
        <v>454</v>
      </c>
      <c r="I76" s="159" t="s">
        <v>454</v>
      </c>
      <c r="J76" s="159" t="s">
        <v>454</v>
      </c>
      <c r="K76" s="148" t="s">
        <v>768</v>
      </c>
      <c r="L76" s="148" t="s">
        <v>1684</v>
      </c>
      <c r="M76" s="148"/>
      <c r="N76" s="149" t="s">
        <v>0</v>
      </c>
      <c r="O76" s="150">
        <v>334.17</v>
      </c>
      <c r="P76" s="150">
        <v>556.95000000000005</v>
      </c>
      <c r="Q76" s="188">
        <v>0.5</v>
      </c>
      <c r="R76" s="150">
        <f t="shared" si="2"/>
        <v>125</v>
      </c>
      <c r="S76" s="152">
        <f t="shared" si="3"/>
        <v>619.45000000000005</v>
      </c>
      <c r="T76" s="14"/>
    </row>
    <row r="77" spans="1:20" s="7" customFormat="1" ht="12.75">
      <c r="A77" s="162" t="s">
        <v>2077</v>
      </c>
      <c r="B77" s="144" t="s">
        <v>2081</v>
      </c>
      <c r="C77" s="144" t="s">
        <v>2086</v>
      </c>
      <c r="D77" s="174"/>
      <c r="E77" s="172" t="s">
        <v>454</v>
      </c>
      <c r="F77" s="159" t="s">
        <v>454</v>
      </c>
      <c r="G77" s="159" t="s">
        <v>454</v>
      </c>
      <c r="H77" s="159" t="s">
        <v>454</v>
      </c>
      <c r="I77" s="159" t="s">
        <v>454</v>
      </c>
      <c r="J77" s="159" t="s">
        <v>454</v>
      </c>
      <c r="K77" s="167"/>
      <c r="L77" s="167"/>
      <c r="M77" s="167"/>
      <c r="N77" s="149" t="s">
        <v>10</v>
      </c>
      <c r="O77" s="169">
        <v>119.97</v>
      </c>
      <c r="P77" s="169">
        <v>199.95</v>
      </c>
      <c r="Q77" s="188">
        <v>0.1</v>
      </c>
      <c r="R77" s="169">
        <f t="shared" si="2"/>
        <v>125</v>
      </c>
      <c r="S77" s="153">
        <f t="shared" si="3"/>
        <v>212.45</v>
      </c>
      <c r="T77" s="14"/>
    </row>
    <row r="78" spans="1:20" s="7" customFormat="1" ht="12.75">
      <c r="A78" s="162" t="s">
        <v>510</v>
      </c>
      <c r="B78" s="144" t="s">
        <v>1854</v>
      </c>
      <c r="C78" s="144" t="s">
        <v>2008</v>
      </c>
      <c r="D78" s="174" t="s">
        <v>1055</v>
      </c>
      <c r="E78" s="172" t="s">
        <v>454</v>
      </c>
      <c r="F78" s="159" t="s">
        <v>454</v>
      </c>
      <c r="G78" s="159" t="s">
        <v>454</v>
      </c>
      <c r="H78" s="159" t="s">
        <v>454</v>
      </c>
      <c r="I78" s="159" t="s">
        <v>454</v>
      </c>
      <c r="J78" s="159" t="s">
        <v>454</v>
      </c>
      <c r="K78" s="148" t="s">
        <v>768</v>
      </c>
      <c r="L78" s="148" t="s">
        <v>1684</v>
      </c>
      <c r="M78" s="148"/>
      <c r="N78" s="149" t="s">
        <v>10</v>
      </c>
      <c r="O78" s="150">
        <v>578.37</v>
      </c>
      <c r="P78" s="150">
        <v>963.95</v>
      </c>
      <c r="Q78" s="188">
        <v>0.8</v>
      </c>
      <c r="R78" s="150">
        <f t="shared" si="2"/>
        <v>125</v>
      </c>
      <c r="S78" s="152">
        <f t="shared" si="3"/>
        <v>1063.95</v>
      </c>
      <c r="T78" s="14"/>
    </row>
    <row r="79" spans="1:20" s="7" customFormat="1" ht="12.75">
      <c r="A79" s="162" t="s">
        <v>518</v>
      </c>
      <c r="B79" s="144" t="s">
        <v>553</v>
      </c>
      <c r="C79" s="144" t="s">
        <v>996</v>
      </c>
      <c r="D79" s="174"/>
      <c r="E79" s="172" t="s">
        <v>454</v>
      </c>
      <c r="F79" s="159" t="s">
        <v>454</v>
      </c>
      <c r="G79" s="159" t="s">
        <v>454</v>
      </c>
      <c r="H79" s="159" t="s">
        <v>454</v>
      </c>
      <c r="I79" s="159" t="s">
        <v>454</v>
      </c>
      <c r="J79" s="159" t="s">
        <v>454</v>
      </c>
      <c r="K79" s="148" t="s">
        <v>768</v>
      </c>
      <c r="L79" s="148" t="s">
        <v>1684</v>
      </c>
      <c r="M79" s="148"/>
      <c r="N79" s="149" t="s">
        <v>10</v>
      </c>
      <c r="O79" s="150">
        <v>160.16</v>
      </c>
      <c r="P79" s="150">
        <v>266.95</v>
      </c>
      <c r="Q79" s="188">
        <v>0.5</v>
      </c>
      <c r="R79" s="150">
        <f t="shared" si="2"/>
        <v>125</v>
      </c>
      <c r="S79" s="152">
        <f t="shared" si="3"/>
        <v>329.45</v>
      </c>
      <c r="T79" s="14"/>
    </row>
    <row r="80" spans="1:20" s="7" customFormat="1" ht="12.75">
      <c r="A80" s="162" t="s">
        <v>2019</v>
      </c>
      <c r="B80" s="144" t="s">
        <v>2016</v>
      </c>
      <c r="C80" s="144" t="s">
        <v>2017</v>
      </c>
      <c r="D80" s="174"/>
      <c r="E80" s="172" t="s">
        <v>454</v>
      </c>
      <c r="F80" s="159" t="s">
        <v>454</v>
      </c>
      <c r="G80" s="159" t="s">
        <v>454</v>
      </c>
      <c r="H80" s="159" t="s">
        <v>454</v>
      </c>
      <c r="I80" s="159" t="s">
        <v>454</v>
      </c>
      <c r="J80" s="159" t="s">
        <v>454</v>
      </c>
      <c r="K80" s="167" t="s">
        <v>768</v>
      </c>
      <c r="L80" s="167"/>
      <c r="M80" s="167"/>
      <c r="N80" s="149" t="s">
        <v>10</v>
      </c>
      <c r="O80" s="169">
        <v>424.29</v>
      </c>
      <c r="P80" s="169">
        <v>699.95</v>
      </c>
      <c r="Q80" s="188">
        <v>1</v>
      </c>
      <c r="R80" s="169">
        <f t="shared" si="2"/>
        <v>125</v>
      </c>
      <c r="S80" s="153">
        <f t="shared" si="3"/>
        <v>824.95</v>
      </c>
      <c r="T80" s="14"/>
    </row>
    <row r="81" spans="1:20" s="7" customFormat="1" ht="12.75">
      <c r="A81" s="162" t="s">
        <v>504</v>
      </c>
      <c r="B81" s="144" t="s">
        <v>951</v>
      </c>
      <c r="C81" s="144" t="s">
        <v>997</v>
      </c>
      <c r="D81" s="174"/>
      <c r="E81" s="172" t="s">
        <v>454</v>
      </c>
      <c r="F81" s="159" t="s">
        <v>454</v>
      </c>
      <c r="G81" s="159" t="s">
        <v>454</v>
      </c>
      <c r="H81" s="159" t="s">
        <v>454</v>
      </c>
      <c r="I81" s="159" t="s">
        <v>454</v>
      </c>
      <c r="J81" s="159" t="s">
        <v>410</v>
      </c>
      <c r="K81" s="148" t="s">
        <v>768</v>
      </c>
      <c r="L81" s="148" t="s">
        <v>1684</v>
      </c>
      <c r="M81" s="148"/>
      <c r="N81" s="149" t="s">
        <v>10</v>
      </c>
      <c r="O81" s="150">
        <v>719.37</v>
      </c>
      <c r="P81" s="150">
        <v>1198.95</v>
      </c>
      <c r="Q81" s="188">
        <v>1</v>
      </c>
      <c r="R81" s="150">
        <f t="shared" si="2"/>
        <v>125</v>
      </c>
      <c r="S81" s="152">
        <f t="shared" si="3"/>
        <v>1323.95</v>
      </c>
      <c r="T81" s="14"/>
    </row>
    <row r="82" spans="1:20" s="7" customFormat="1" ht="12.75">
      <c r="A82" s="162" t="s">
        <v>507</v>
      </c>
      <c r="B82" s="144" t="s">
        <v>952</v>
      </c>
      <c r="C82" s="144" t="s">
        <v>998</v>
      </c>
      <c r="D82" s="174"/>
      <c r="E82" s="172" t="s">
        <v>454</v>
      </c>
      <c r="F82" s="159" t="s">
        <v>454</v>
      </c>
      <c r="G82" s="159" t="s">
        <v>454</v>
      </c>
      <c r="H82" s="159" t="s">
        <v>454</v>
      </c>
      <c r="I82" s="159" t="s">
        <v>454</v>
      </c>
      <c r="J82" s="159" t="s">
        <v>410</v>
      </c>
      <c r="K82" s="148" t="s">
        <v>768</v>
      </c>
      <c r="L82" s="148" t="s">
        <v>1684</v>
      </c>
      <c r="M82" s="148"/>
      <c r="N82" s="149" t="s">
        <v>10</v>
      </c>
      <c r="O82" s="150">
        <v>719.37</v>
      </c>
      <c r="P82" s="150">
        <v>1198.95</v>
      </c>
      <c r="Q82" s="188">
        <v>1</v>
      </c>
      <c r="R82" s="150">
        <f t="shared" si="2"/>
        <v>125</v>
      </c>
      <c r="S82" s="152">
        <f t="shared" si="3"/>
        <v>1323.95</v>
      </c>
      <c r="T82" s="14"/>
    </row>
    <row r="83" spans="1:20" s="7" customFormat="1" ht="12.75">
      <c r="A83" s="162" t="s">
        <v>506</v>
      </c>
      <c r="B83" s="144" t="s">
        <v>1013</v>
      </c>
      <c r="C83" s="144" t="s">
        <v>999</v>
      </c>
      <c r="D83" s="174"/>
      <c r="E83" s="172" t="s">
        <v>454</v>
      </c>
      <c r="F83" s="159" t="s">
        <v>454</v>
      </c>
      <c r="G83" s="159" t="s">
        <v>454</v>
      </c>
      <c r="H83" s="159" t="s">
        <v>454</v>
      </c>
      <c r="I83" s="159" t="s">
        <v>454</v>
      </c>
      <c r="J83" s="159" t="s">
        <v>410</v>
      </c>
      <c r="K83" s="148" t="s">
        <v>768</v>
      </c>
      <c r="L83" s="148" t="s">
        <v>1684</v>
      </c>
      <c r="M83" s="148"/>
      <c r="N83" s="149" t="s">
        <v>10</v>
      </c>
      <c r="O83" s="150">
        <v>719.37</v>
      </c>
      <c r="P83" s="150">
        <v>1198.95</v>
      </c>
      <c r="Q83" s="188">
        <v>1</v>
      </c>
      <c r="R83" s="150">
        <f t="shared" si="2"/>
        <v>125</v>
      </c>
      <c r="S83" s="152">
        <f t="shared" si="3"/>
        <v>1323.95</v>
      </c>
      <c r="T83" s="14"/>
    </row>
    <row r="84" spans="1:20" s="7" customFormat="1" ht="12.75">
      <c r="A84" s="162" t="s">
        <v>1837</v>
      </c>
      <c r="B84" s="144" t="s">
        <v>1882</v>
      </c>
      <c r="C84" s="144" t="s">
        <v>1871</v>
      </c>
      <c r="D84" s="174"/>
      <c r="E84" s="172" t="s">
        <v>454</v>
      </c>
      <c r="F84" s="159" t="s">
        <v>454</v>
      </c>
      <c r="G84" s="159" t="s">
        <v>454</v>
      </c>
      <c r="H84" s="159" t="s">
        <v>454</v>
      </c>
      <c r="I84" s="159" t="s">
        <v>454</v>
      </c>
      <c r="J84" s="159" t="s">
        <v>454</v>
      </c>
      <c r="K84" s="167" t="s">
        <v>768</v>
      </c>
      <c r="L84" s="167" t="s">
        <v>1684</v>
      </c>
      <c r="M84" s="167"/>
      <c r="N84" s="149" t="s">
        <v>10</v>
      </c>
      <c r="O84" s="169">
        <v>719.37</v>
      </c>
      <c r="P84" s="169">
        <v>1198.95</v>
      </c>
      <c r="Q84" s="188">
        <v>1</v>
      </c>
      <c r="R84" s="169">
        <f t="shared" si="2"/>
        <v>125</v>
      </c>
      <c r="S84" s="153">
        <f t="shared" si="3"/>
        <v>1323.95</v>
      </c>
      <c r="T84" s="14"/>
    </row>
    <row r="85" spans="1:20" s="7" customFormat="1" ht="12.75">
      <c r="A85" s="162" t="s">
        <v>503</v>
      </c>
      <c r="B85" s="144" t="s">
        <v>1027</v>
      </c>
      <c r="C85" s="144" t="s">
        <v>1032</v>
      </c>
      <c r="D85" s="174"/>
      <c r="E85" s="172" t="s">
        <v>410</v>
      </c>
      <c r="F85" s="159" t="s">
        <v>410</v>
      </c>
      <c r="G85" s="159" t="s">
        <v>454</v>
      </c>
      <c r="H85" s="159" t="s">
        <v>454</v>
      </c>
      <c r="I85" s="159" t="s">
        <v>454</v>
      </c>
      <c r="J85" s="159" t="s">
        <v>454</v>
      </c>
      <c r="K85" s="148" t="s">
        <v>768</v>
      </c>
      <c r="L85" s="148" t="s">
        <v>1684</v>
      </c>
      <c r="M85" s="148"/>
      <c r="N85" s="149" t="s">
        <v>10</v>
      </c>
      <c r="O85" s="150">
        <v>719.37</v>
      </c>
      <c r="P85" s="150">
        <v>1198.95</v>
      </c>
      <c r="Q85" s="188">
        <v>1</v>
      </c>
      <c r="R85" s="150">
        <f t="shared" si="2"/>
        <v>125</v>
      </c>
      <c r="S85" s="152">
        <f t="shared" si="3"/>
        <v>1323.95</v>
      </c>
      <c r="T85" s="14"/>
    </row>
    <row r="86" spans="1:20" s="7" customFormat="1" ht="12.75">
      <c r="A86" s="162" t="s">
        <v>505</v>
      </c>
      <c r="B86" s="144" t="s">
        <v>953</v>
      </c>
      <c r="C86" s="144" t="s">
        <v>1000</v>
      </c>
      <c r="D86" s="174"/>
      <c r="E86" s="172" t="s">
        <v>454</v>
      </c>
      <c r="F86" s="159" t="s">
        <v>454</v>
      </c>
      <c r="G86" s="159" t="s">
        <v>454</v>
      </c>
      <c r="H86" s="159" t="s">
        <v>454</v>
      </c>
      <c r="I86" s="159" t="s">
        <v>454</v>
      </c>
      <c r="J86" s="159" t="s">
        <v>454</v>
      </c>
      <c r="K86" s="148" t="s">
        <v>768</v>
      </c>
      <c r="L86" s="148" t="s">
        <v>1684</v>
      </c>
      <c r="M86" s="148"/>
      <c r="N86" s="149" t="s">
        <v>10</v>
      </c>
      <c r="O86" s="150">
        <v>719.37</v>
      </c>
      <c r="P86" s="150">
        <v>1198.95</v>
      </c>
      <c r="Q86" s="188">
        <v>1</v>
      </c>
      <c r="R86" s="150">
        <f t="shared" si="2"/>
        <v>125</v>
      </c>
      <c r="S86" s="152">
        <f t="shared" si="3"/>
        <v>1323.95</v>
      </c>
      <c r="T86" s="14"/>
    </row>
    <row r="87" spans="1:20" s="7" customFormat="1" ht="12.75">
      <c r="A87" s="162" t="s">
        <v>501</v>
      </c>
      <c r="B87" s="144" t="s">
        <v>1019</v>
      </c>
      <c r="C87" s="144" t="s">
        <v>1023</v>
      </c>
      <c r="D87" s="174"/>
      <c r="E87" s="172" t="s">
        <v>454</v>
      </c>
      <c r="F87" s="159" t="s">
        <v>454</v>
      </c>
      <c r="G87" s="159" t="s">
        <v>454</v>
      </c>
      <c r="H87" s="159" t="s">
        <v>454</v>
      </c>
      <c r="I87" s="159" t="s">
        <v>454</v>
      </c>
      <c r="J87" s="159" t="s">
        <v>454</v>
      </c>
      <c r="K87" s="148" t="s">
        <v>768</v>
      </c>
      <c r="L87" s="148" t="s">
        <v>1684</v>
      </c>
      <c r="M87" s="148"/>
      <c r="N87" s="149" t="s">
        <v>10</v>
      </c>
      <c r="O87" s="150">
        <v>719.37</v>
      </c>
      <c r="P87" s="150">
        <v>1198.95</v>
      </c>
      <c r="Q87" s="188">
        <v>1</v>
      </c>
      <c r="R87" s="150">
        <f t="shared" si="2"/>
        <v>125</v>
      </c>
      <c r="S87" s="152">
        <f t="shared" si="3"/>
        <v>1323.95</v>
      </c>
      <c r="T87" s="14"/>
    </row>
    <row r="88" spans="1:20" s="7" customFormat="1" ht="12.75">
      <c r="A88" s="162" t="s">
        <v>500</v>
      </c>
      <c r="B88" s="144" t="s">
        <v>954</v>
      </c>
      <c r="C88" s="144" t="s">
        <v>1001</v>
      </c>
      <c r="D88" s="174"/>
      <c r="E88" s="172" t="s">
        <v>454</v>
      </c>
      <c r="F88" s="159" t="s">
        <v>454</v>
      </c>
      <c r="G88" s="159" t="s">
        <v>454</v>
      </c>
      <c r="H88" s="159" t="s">
        <v>454</v>
      </c>
      <c r="I88" s="159" t="s">
        <v>454</v>
      </c>
      <c r="J88" s="159" t="s">
        <v>454</v>
      </c>
      <c r="K88" s="148" t="s">
        <v>768</v>
      </c>
      <c r="L88" s="148" t="s">
        <v>1684</v>
      </c>
      <c r="M88" s="148"/>
      <c r="N88" s="149" t="s">
        <v>10</v>
      </c>
      <c r="O88" s="150">
        <v>719.37</v>
      </c>
      <c r="P88" s="150">
        <v>1198.95</v>
      </c>
      <c r="Q88" s="188">
        <v>1</v>
      </c>
      <c r="R88" s="150">
        <f t="shared" si="2"/>
        <v>125</v>
      </c>
      <c r="S88" s="152">
        <f t="shared" si="3"/>
        <v>1323.95</v>
      </c>
      <c r="T88" s="14"/>
    </row>
    <row r="89" spans="1:20" s="7" customFormat="1" ht="12.75">
      <c r="A89" s="162" t="s">
        <v>470</v>
      </c>
      <c r="B89" s="144" t="s">
        <v>543</v>
      </c>
      <c r="C89" s="144" t="s">
        <v>1002</v>
      </c>
      <c r="D89" s="174"/>
      <c r="E89" s="172" t="s">
        <v>454</v>
      </c>
      <c r="F89" s="159" t="s">
        <v>454</v>
      </c>
      <c r="G89" s="159" t="s">
        <v>454</v>
      </c>
      <c r="H89" s="159" t="s">
        <v>454</v>
      </c>
      <c r="I89" s="159" t="s">
        <v>454</v>
      </c>
      <c r="J89" s="159" t="s">
        <v>454</v>
      </c>
      <c r="K89" s="148" t="s">
        <v>768</v>
      </c>
      <c r="L89" s="148" t="s">
        <v>1684</v>
      </c>
      <c r="M89" s="148"/>
      <c r="N89" s="149" t="s">
        <v>10</v>
      </c>
      <c r="O89" s="150">
        <v>154.16</v>
      </c>
      <c r="P89" s="150">
        <v>256.95</v>
      </c>
      <c r="Q89" s="188">
        <v>0.8</v>
      </c>
      <c r="R89" s="150">
        <f t="shared" si="2"/>
        <v>125</v>
      </c>
      <c r="S89" s="152">
        <f t="shared" si="3"/>
        <v>356.95</v>
      </c>
      <c r="T89" s="14"/>
    </row>
    <row r="90" spans="1:20" s="7" customFormat="1" ht="12.75">
      <c r="A90" s="162" t="s">
        <v>516</v>
      </c>
      <c r="B90" s="144" t="s">
        <v>551</v>
      </c>
      <c r="C90" s="144" t="s">
        <v>2025</v>
      </c>
      <c r="D90" s="174"/>
      <c r="E90" s="172" t="s">
        <v>454</v>
      </c>
      <c r="F90" s="159" t="s">
        <v>454</v>
      </c>
      <c r="G90" s="159" t="s">
        <v>454</v>
      </c>
      <c r="H90" s="159" t="s">
        <v>454</v>
      </c>
      <c r="I90" s="159" t="s">
        <v>454</v>
      </c>
      <c r="J90" s="159" t="s">
        <v>454</v>
      </c>
      <c r="K90" s="148" t="s">
        <v>768</v>
      </c>
      <c r="L90" s="148" t="s">
        <v>1684</v>
      </c>
      <c r="M90" s="148"/>
      <c r="N90" s="149" t="s">
        <v>10</v>
      </c>
      <c r="O90" s="150">
        <v>125.97</v>
      </c>
      <c r="P90" s="150">
        <v>209.95</v>
      </c>
      <c r="Q90" s="188">
        <v>0.2</v>
      </c>
      <c r="R90" s="150">
        <f t="shared" si="2"/>
        <v>125</v>
      </c>
      <c r="S90" s="152">
        <f t="shared" si="3"/>
        <v>234.95</v>
      </c>
      <c r="T90" s="14"/>
    </row>
    <row r="91" spans="1:20" s="7" customFormat="1" ht="12.75">
      <c r="A91" s="162" t="s">
        <v>1894</v>
      </c>
      <c r="B91" s="144" t="s">
        <v>2061</v>
      </c>
      <c r="C91" s="144" t="s">
        <v>764</v>
      </c>
      <c r="D91" s="174"/>
      <c r="E91" s="172"/>
      <c r="F91" s="159"/>
      <c r="G91" s="159" t="s">
        <v>454</v>
      </c>
      <c r="H91" s="159" t="s">
        <v>454</v>
      </c>
      <c r="I91" s="159" t="s">
        <v>454</v>
      </c>
      <c r="J91" s="159" t="s">
        <v>454</v>
      </c>
      <c r="K91" s="148" t="s">
        <v>768</v>
      </c>
      <c r="L91" s="148" t="s">
        <v>1684</v>
      </c>
      <c r="M91" s="148"/>
      <c r="N91" s="149" t="s">
        <v>10</v>
      </c>
      <c r="O91" s="150">
        <v>447.57</v>
      </c>
      <c r="P91" s="150">
        <v>745.95</v>
      </c>
      <c r="Q91" s="188">
        <v>0.7</v>
      </c>
      <c r="R91" s="150">
        <f t="shared" si="2"/>
        <v>125</v>
      </c>
      <c r="S91" s="152">
        <f t="shared" si="3"/>
        <v>833.45</v>
      </c>
      <c r="T91" s="14"/>
    </row>
    <row r="92" spans="1:20" s="7" customFormat="1" ht="12.75">
      <c r="A92" s="162" t="s">
        <v>1897</v>
      </c>
      <c r="B92" s="144" t="s">
        <v>2058</v>
      </c>
      <c r="C92" s="144" t="s">
        <v>322</v>
      </c>
      <c r="D92" s="174"/>
      <c r="E92" s="172" t="s">
        <v>454</v>
      </c>
      <c r="F92" s="159" t="s">
        <v>454</v>
      </c>
      <c r="G92" s="159" t="s">
        <v>454</v>
      </c>
      <c r="H92" s="159" t="s">
        <v>454</v>
      </c>
      <c r="I92" s="159" t="s">
        <v>454</v>
      </c>
      <c r="J92" s="159" t="s">
        <v>454</v>
      </c>
      <c r="K92" s="148" t="s">
        <v>768</v>
      </c>
      <c r="L92" s="148" t="s">
        <v>1684</v>
      </c>
      <c r="M92" s="148"/>
      <c r="N92" s="149" t="s">
        <v>10</v>
      </c>
      <c r="O92" s="150">
        <v>447.57</v>
      </c>
      <c r="P92" s="150">
        <v>745.95</v>
      </c>
      <c r="Q92" s="188">
        <v>0.7</v>
      </c>
      <c r="R92" s="150">
        <f t="shared" si="2"/>
        <v>125</v>
      </c>
      <c r="S92" s="152">
        <f t="shared" si="3"/>
        <v>833.45</v>
      </c>
      <c r="T92" s="14"/>
    </row>
    <row r="93" spans="1:20" s="7" customFormat="1" ht="12.75">
      <c r="A93" s="162" t="s">
        <v>1896</v>
      </c>
      <c r="B93" s="144" t="s">
        <v>2062</v>
      </c>
      <c r="C93" s="144" t="s">
        <v>1872</v>
      </c>
      <c r="D93" s="174"/>
      <c r="E93" s="172" t="s">
        <v>454</v>
      </c>
      <c r="F93" s="159" t="s">
        <v>454</v>
      </c>
      <c r="G93" s="159" t="s">
        <v>454</v>
      </c>
      <c r="H93" s="159" t="s">
        <v>454</v>
      </c>
      <c r="I93" s="159" t="s">
        <v>454</v>
      </c>
      <c r="J93" s="159" t="s">
        <v>454</v>
      </c>
      <c r="K93" s="148" t="s">
        <v>768</v>
      </c>
      <c r="L93" s="148" t="s">
        <v>1684</v>
      </c>
      <c r="M93" s="148"/>
      <c r="N93" s="149" t="s">
        <v>10</v>
      </c>
      <c r="O93" s="150">
        <v>447.57</v>
      </c>
      <c r="P93" s="150">
        <v>745.95</v>
      </c>
      <c r="Q93" s="188">
        <v>0.7</v>
      </c>
      <c r="R93" s="150">
        <f t="shared" si="2"/>
        <v>125</v>
      </c>
      <c r="S93" s="152">
        <f t="shared" si="3"/>
        <v>833.45</v>
      </c>
      <c r="T93" s="14"/>
    </row>
    <row r="94" spans="1:20" s="7" customFormat="1" ht="12.75">
      <c r="A94" s="162" t="s">
        <v>1893</v>
      </c>
      <c r="B94" s="144" t="s">
        <v>2059</v>
      </c>
      <c r="C94" s="144" t="s">
        <v>1033</v>
      </c>
      <c r="D94" s="174"/>
      <c r="E94" s="172" t="s">
        <v>454</v>
      </c>
      <c r="F94" s="159" t="s">
        <v>454</v>
      </c>
      <c r="G94" s="159"/>
      <c r="H94" s="159"/>
      <c r="I94" s="159"/>
      <c r="J94" s="159"/>
      <c r="K94" s="148" t="s">
        <v>768</v>
      </c>
      <c r="L94" s="148" t="s">
        <v>1684</v>
      </c>
      <c r="M94" s="148"/>
      <c r="N94" s="149" t="s">
        <v>10</v>
      </c>
      <c r="O94" s="150">
        <v>447.57</v>
      </c>
      <c r="P94" s="150">
        <v>745.95</v>
      </c>
      <c r="Q94" s="188">
        <v>0.7</v>
      </c>
      <c r="R94" s="150">
        <f t="shared" si="2"/>
        <v>125</v>
      </c>
      <c r="S94" s="152">
        <f t="shared" si="3"/>
        <v>833.45</v>
      </c>
      <c r="T94" s="14"/>
    </row>
    <row r="95" spans="1:20" s="7" customFormat="1" ht="12.75">
      <c r="A95" s="162" t="s">
        <v>1946</v>
      </c>
      <c r="B95" s="144" t="s">
        <v>2063</v>
      </c>
      <c r="C95" s="144" t="s">
        <v>1969</v>
      </c>
      <c r="D95" s="174"/>
      <c r="E95" s="172"/>
      <c r="F95" s="159"/>
      <c r="G95" s="159"/>
      <c r="H95" s="159" t="s">
        <v>454</v>
      </c>
      <c r="I95" s="159" t="s">
        <v>454</v>
      </c>
      <c r="J95" s="159" t="s">
        <v>454</v>
      </c>
      <c r="K95" s="148" t="s">
        <v>768</v>
      </c>
      <c r="L95" s="148" t="s">
        <v>1684</v>
      </c>
      <c r="M95" s="148"/>
      <c r="N95" s="149" t="s">
        <v>10</v>
      </c>
      <c r="O95" s="150">
        <v>447.57</v>
      </c>
      <c r="P95" s="150">
        <v>745.95</v>
      </c>
      <c r="Q95" s="188">
        <v>0.7</v>
      </c>
      <c r="R95" s="150">
        <f t="shared" si="2"/>
        <v>125</v>
      </c>
      <c r="S95" s="152">
        <f t="shared" si="3"/>
        <v>833.45</v>
      </c>
      <c r="T95" s="14"/>
    </row>
    <row r="96" spans="1:20" s="7" customFormat="1" ht="12.75">
      <c r="A96" s="162" t="s">
        <v>1898</v>
      </c>
      <c r="B96" s="144" t="s">
        <v>2060</v>
      </c>
      <c r="C96" s="144" t="s">
        <v>2091</v>
      </c>
      <c r="D96" s="174"/>
      <c r="E96" s="172" t="s">
        <v>454</v>
      </c>
      <c r="F96" s="159" t="s">
        <v>454</v>
      </c>
      <c r="G96" s="159" t="s">
        <v>454</v>
      </c>
      <c r="H96" s="159" t="s">
        <v>454</v>
      </c>
      <c r="I96" s="159" t="s">
        <v>454</v>
      </c>
      <c r="J96" s="159"/>
      <c r="K96" s="148" t="s">
        <v>768</v>
      </c>
      <c r="L96" s="148" t="s">
        <v>1684</v>
      </c>
      <c r="M96" s="148"/>
      <c r="N96" s="149" t="s">
        <v>10</v>
      </c>
      <c r="O96" s="150">
        <v>447.57</v>
      </c>
      <c r="P96" s="150">
        <v>745.95</v>
      </c>
      <c r="Q96" s="188">
        <v>0.7</v>
      </c>
      <c r="R96" s="150">
        <f t="shared" si="2"/>
        <v>125</v>
      </c>
      <c r="S96" s="152">
        <f t="shared" si="3"/>
        <v>833.45</v>
      </c>
      <c r="T96" s="14"/>
    </row>
    <row r="97" spans="1:20" s="7" customFormat="1" ht="12.75">
      <c r="A97" s="162" t="s">
        <v>1895</v>
      </c>
      <c r="B97" s="144" t="s">
        <v>2064</v>
      </c>
      <c r="C97" s="144" t="s">
        <v>317</v>
      </c>
      <c r="D97" s="174"/>
      <c r="E97" s="172" t="s">
        <v>454</v>
      </c>
      <c r="F97" s="159" t="s">
        <v>454</v>
      </c>
      <c r="G97" s="159" t="s">
        <v>454</v>
      </c>
      <c r="H97" s="159" t="s">
        <v>454</v>
      </c>
      <c r="I97" s="159" t="s">
        <v>454</v>
      </c>
      <c r="J97" s="159" t="s">
        <v>454</v>
      </c>
      <c r="K97" s="148" t="s">
        <v>768</v>
      </c>
      <c r="L97" s="148" t="s">
        <v>1684</v>
      </c>
      <c r="M97" s="148"/>
      <c r="N97" s="149" t="s">
        <v>10</v>
      </c>
      <c r="O97" s="150">
        <v>447.57</v>
      </c>
      <c r="P97" s="150">
        <v>745.95</v>
      </c>
      <c r="Q97" s="188">
        <v>0.7</v>
      </c>
      <c r="R97" s="150">
        <f t="shared" si="2"/>
        <v>125</v>
      </c>
      <c r="S97" s="152">
        <f t="shared" si="3"/>
        <v>833.45</v>
      </c>
      <c r="T97" s="14"/>
    </row>
    <row r="98" spans="1:20" s="7" customFormat="1" ht="12.75">
      <c r="A98" s="162" t="s">
        <v>1892</v>
      </c>
      <c r="B98" s="144" t="s">
        <v>2057</v>
      </c>
      <c r="C98" s="144" t="s">
        <v>844</v>
      </c>
      <c r="D98" s="174"/>
      <c r="E98" s="172" t="s">
        <v>454</v>
      </c>
      <c r="F98" s="159" t="s">
        <v>454</v>
      </c>
      <c r="G98" s="159" t="s">
        <v>454</v>
      </c>
      <c r="H98" s="159" t="s">
        <v>454</v>
      </c>
      <c r="I98" s="159" t="s">
        <v>454</v>
      </c>
      <c r="J98" s="159" t="s">
        <v>454</v>
      </c>
      <c r="K98" s="148" t="s">
        <v>768</v>
      </c>
      <c r="L98" s="148" t="s">
        <v>1684</v>
      </c>
      <c r="M98" s="148"/>
      <c r="N98" s="149" t="s">
        <v>10</v>
      </c>
      <c r="O98" s="150">
        <v>447.57</v>
      </c>
      <c r="P98" s="150">
        <v>745.95</v>
      </c>
      <c r="Q98" s="188">
        <v>0.7</v>
      </c>
      <c r="R98" s="150">
        <f t="shared" si="2"/>
        <v>125</v>
      </c>
      <c r="S98" s="152">
        <f t="shared" si="3"/>
        <v>833.45</v>
      </c>
      <c r="T98" s="14"/>
    </row>
    <row r="99" spans="1:20" s="7" customFormat="1" ht="12.75">
      <c r="A99" s="164" t="s">
        <v>2103</v>
      </c>
      <c r="B99" s="165" t="s">
        <v>2104</v>
      </c>
      <c r="C99" s="165" t="s">
        <v>2112</v>
      </c>
      <c r="D99" s="216" t="s">
        <v>2204</v>
      </c>
      <c r="E99" s="204" t="s">
        <v>454</v>
      </c>
      <c r="F99" s="205" t="s">
        <v>454</v>
      </c>
      <c r="G99" s="205" t="s">
        <v>454</v>
      </c>
      <c r="H99" s="205" t="s">
        <v>454</v>
      </c>
      <c r="I99" s="205" t="s">
        <v>454</v>
      </c>
      <c r="J99" s="205" t="s">
        <v>454</v>
      </c>
      <c r="K99" s="181"/>
      <c r="L99" s="181"/>
      <c r="M99" s="181"/>
      <c r="N99" s="182" t="s">
        <v>16</v>
      </c>
      <c r="O99" s="183">
        <v>498.7</v>
      </c>
      <c r="P99" s="183">
        <v>599.95000000000005</v>
      </c>
      <c r="Q99" s="207">
        <v>0</v>
      </c>
      <c r="R99" s="183">
        <f t="shared" si="2"/>
        <v>125</v>
      </c>
      <c r="S99" s="185">
        <f t="shared" si="3"/>
        <v>599.95000000000005</v>
      </c>
      <c r="T99" s="14"/>
    </row>
    <row r="100" spans="1:20" s="7" customFormat="1" ht="12.75">
      <c r="A100" s="162" t="s">
        <v>427</v>
      </c>
      <c r="B100" s="144" t="s">
        <v>895</v>
      </c>
      <c r="C100" s="144" t="s">
        <v>1944</v>
      </c>
      <c r="D100" s="174" t="s">
        <v>429</v>
      </c>
      <c r="E100" s="172" t="s">
        <v>454</v>
      </c>
      <c r="F100" s="159" t="s">
        <v>454</v>
      </c>
      <c r="G100" s="159" t="s">
        <v>454</v>
      </c>
      <c r="H100" s="159" t="s">
        <v>454</v>
      </c>
      <c r="I100" s="159" t="s">
        <v>454</v>
      </c>
      <c r="J100" s="159" t="s">
        <v>454</v>
      </c>
      <c r="K100" s="148" t="s">
        <v>768</v>
      </c>
      <c r="L100" s="148"/>
      <c r="M100" s="148"/>
      <c r="N100" s="149" t="s">
        <v>16</v>
      </c>
      <c r="O100" s="150">
        <v>45.12</v>
      </c>
      <c r="P100" s="150">
        <v>59.95</v>
      </c>
      <c r="Q100" s="188">
        <v>0</v>
      </c>
      <c r="R100" s="150">
        <f t="shared" si="2"/>
        <v>125</v>
      </c>
      <c r="S100" s="152">
        <f t="shared" si="3"/>
        <v>59.95</v>
      </c>
      <c r="T100" s="14"/>
    </row>
    <row r="101" spans="1:20" s="7" customFormat="1" ht="12.75">
      <c r="A101" s="230" t="s">
        <v>424</v>
      </c>
      <c r="B101" s="231" t="s">
        <v>772</v>
      </c>
      <c r="C101" s="232" t="s">
        <v>2111</v>
      </c>
      <c r="D101" s="233" t="s">
        <v>432</v>
      </c>
      <c r="E101" s="234" t="s">
        <v>454</v>
      </c>
      <c r="F101" s="234" t="s">
        <v>454</v>
      </c>
      <c r="G101" s="234" t="s">
        <v>454</v>
      </c>
      <c r="H101" s="234" t="s">
        <v>454</v>
      </c>
      <c r="I101" s="234" t="s">
        <v>454</v>
      </c>
      <c r="J101" s="234" t="s">
        <v>454</v>
      </c>
      <c r="K101" s="235" t="s">
        <v>768</v>
      </c>
      <c r="L101" s="235" t="s">
        <v>1684</v>
      </c>
      <c r="M101" s="235"/>
      <c r="N101" s="236" t="s">
        <v>16</v>
      </c>
      <c r="O101" s="237">
        <v>349.95</v>
      </c>
      <c r="P101" s="237">
        <v>449.95</v>
      </c>
      <c r="Q101" s="238">
        <v>0.8</v>
      </c>
      <c r="R101" s="237">
        <f t="shared" si="2"/>
        <v>125</v>
      </c>
      <c r="S101" s="239">
        <f t="shared" si="3"/>
        <v>549.95000000000005</v>
      </c>
      <c r="T101" s="14"/>
    </row>
    <row r="102" spans="1:20" s="7" customFormat="1" ht="12.75">
      <c r="A102" s="162" t="s">
        <v>212</v>
      </c>
      <c r="B102" s="144" t="s">
        <v>774</v>
      </c>
      <c r="C102" s="144" t="s">
        <v>931</v>
      </c>
      <c r="D102" s="174" t="s">
        <v>444</v>
      </c>
      <c r="E102" s="172" t="s">
        <v>454</v>
      </c>
      <c r="F102" s="159" t="s">
        <v>454</v>
      </c>
      <c r="G102" s="159" t="s">
        <v>454</v>
      </c>
      <c r="H102" s="159" t="s">
        <v>454</v>
      </c>
      <c r="I102" s="159" t="s">
        <v>454</v>
      </c>
      <c r="J102" s="159" t="s">
        <v>454</v>
      </c>
      <c r="K102" s="148" t="s">
        <v>768</v>
      </c>
      <c r="L102" s="148" t="s">
        <v>1684</v>
      </c>
      <c r="M102" s="148"/>
      <c r="N102" s="149" t="s">
        <v>16</v>
      </c>
      <c r="O102" s="150">
        <v>442.48</v>
      </c>
      <c r="P102" s="150">
        <v>599.95000000000005</v>
      </c>
      <c r="Q102" s="188">
        <v>0.7</v>
      </c>
      <c r="R102" s="150">
        <f t="shared" si="2"/>
        <v>125</v>
      </c>
      <c r="S102" s="152">
        <f t="shared" si="3"/>
        <v>687.45</v>
      </c>
      <c r="T102" s="14"/>
    </row>
    <row r="103" spans="1:20" s="7" customFormat="1" ht="12.75">
      <c r="A103" s="240" t="s">
        <v>420</v>
      </c>
      <c r="B103" s="144" t="s">
        <v>421</v>
      </c>
      <c r="C103" s="144" t="s">
        <v>1984</v>
      </c>
      <c r="D103" s="174" t="s">
        <v>436</v>
      </c>
      <c r="E103" s="172" t="s">
        <v>454</v>
      </c>
      <c r="F103" s="159" t="s">
        <v>454</v>
      </c>
      <c r="G103" s="159" t="s">
        <v>454</v>
      </c>
      <c r="H103" s="159" t="s">
        <v>454</v>
      </c>
      <c r="I103" s="159" t="s">
        <v>454</v>
      </c>
      <c r="J103" s="159" t="s">
        <v>454</v>
      </c>
      <c r="K103" s="148" t="s">
        <v>768</v>
      </c>
      <c r="L103" s="148" t="s">
        <v>1684</v>
      </c>
      <c r="M103" s="148"/>
      <c r="N103" s="149" t="s">
        <v>16</v>
      </c>
      <c r="O103" s="150">
        <v>381.6</v>
      </c>
      <c r="P103" s="150">
        <v>479.95</v>
      </c>
      <c r="Q103" s="188">
        <v>0.3</v>
      </c>
      <c r="R103" s="150">
        <f t="shared" si="2"/>
        <v>125</v>
      </c>
      <c r="S103" s="152">
        <f t="shared" si="3"/>
        <v>517.45000000000005</v>
      </c>
      <c r="T103" s="14"/>
    </row>
    <row r="104" spans="1:20" s="7" customFormat="1" ht="12.75">
      <c r="A104" s="162" t="s">
        <v>415</v>
      </c>
      <c r="B104" s="144" t="s">
        <v>775</v>
      </c>
      <c r="C104" s="144" t="s">
        <v>932</v>
      </c>
      <c r="D104" s="174" t="s">
        <v>433</v>
      </c>
      <c r="E104" s="172" t="s">
        <v>454</v>
      </c>
      <c r="F104" s="159" t="s">
        <v>454</v>
      </c>
      <c r="G104" s="159" t="s">
        <v>454</v>
      </c>
      <c r="H104" s="159" t="s">
        <v>454</v>
      </c>
      <c r="I104" s="159" t="s">
        <v>454</v>
      </c>
      <c r="J104" s="159" t="s">
        <v>454</v>
      </c>
      <c r="K104" s="148" t="s">
        <v>768</v>
      </c>
      <c r="L104" s="148" t="s">
        <v>1684</v>
      </c>
      <c r="M104" s="148"/>
      <c r="N104" s="149" t="s">
        <v>16</v>
      </c>
      <c r="O104" s="150">
        <v>776.98</v>
      </c>
      <c r="P104" s="150">
        <v>1049.95</v>
      </c>
      <c r="Q104" s="188">
        <v>0.3</v>
      </c>
      <c r="R104" s="150">
        <f t="shared" si="2"/>
        <v>125</v>
      </c>
      <c r="S104" s="152">
        <f t="shared" si="3"/>
        <v>1087.45</v>
      </c>
      <c r="T104" s="14"/>
    </row>
    <row r="105" spans="1:20" s="7" customFormat="1" ht="12.75">
      <c r="A105" s="162" t="s">
        <v>414</v>
      </c>
      <c r="B105" s="144" t="s">
        <v>776</v>
      </c>
      <c r="C105" s="144" t="s">
        <v>933</v>
      </c>
      <c r="D105" s="174" t="s">
        <v>443</v>
      </c>
      <c r="E105" s="172" t="s">
        <v>454</v>
      </c>
      <c r="F105" s="159" t="s">
        <v>454</v>
      </c>
      <c r="G105" s="159" t="s">
        <v>454</v>
      </c>
      <c r="H105" s="159" t="s">
        <v>454</v>
      </c>
      <c r="I105" s="159" t="s">
        <v>454</v>
      </c>
      <c r="J105" s="159" t="s">
        <v>454</v>
      </c>
      <c r="K105" s="148" t="s">
        <v>768</v>
      </c>
      <c r="L105" s="148" t="s">
        <v>1684</v>
      </c>
      <c r="M105" s="148"/>
      <c r="N105" s="149" t="s">
        <v>16</v>
      </c>
      <c r="O105" s="150">
        <v>737.59</v>
      </c>
      <c r="P105" s="150">
        <v>979.95</v>
      </c>
      <c r="Q105" s="188">
        <v>0.3</v>
      </c>
      <c r="R105" s="150">
        <f t="shared" si="2"/>
        <v>125</v>
      </c>
      <c r="S105" s="152">
        <f t="shared" si="3"/>
        <v>1017.45</v>
      </c>
      <c r="T105" s="14"/>
    </row>
    <row r="106" spans="1:20" s="7" customFormat="1" ht="12.75">
      <c r="A106" s="162" t="s">
        <v>119</v>
      </c>
      <c r="B106" s="144" t="s">
        <v>430</v>
      </c>
      <c r="C106" s="144" t="s">
        <v>1004</v>
      </c>
      <c r="D106" s="174"/>
      <c r="E106" s="172" t="s">
        <v>454</v>
      </c>
      <c r="F106" s="159" t="s">
        <v>454</v>
      </c>
      <c r="G106" s="159" t="s">
        <v>454</v>
      </c>
      <c r="H106" s="159" t="s">
        <v>454</v>
      </c>
      <c r="I106" s="159" t="s">
        <v>454</v>
      </c>
      <c r="J106" s="159" t="s">
        <v>454</v>
      </c>
      <c r="K106" s="148" t="s">
        <v>768</v>
      </c>
      <c r="L106" s="148"/>
      <c r="M106" s="148"/>
      <c r="N106" s="149" t="s">
        <v>16</v>
      </c>
      <c r="O106" s="150">
        <v>170.46</v>
      </c>
      <c r="P106" s="150">
        <v>219.95</v>
      </c>
      <c r="Q106" s="188">
        <v>0.3</v>
      </c>
      <c r="R106" s="150">
        <f t="shared" si="2"/>
        <v>125</v>
      </c>
      <c r="S106" s="152">
        <f t="shared" si="3"/>
        <v>257.45</v>
      </c>
      <c r="T106" s="14"/>
    </row>
    <row r="107" spans="1:20" s="7" customFormat="1" ht="12.75">
      <c r="A107" s="162" t="s">
        <v>411</v>
      </c>
      <c r="B107" s="144" t="s">
        <v>641</v>
      </c>
      <c r="C107" s="144" t="s">
        <v>939</v>
      </c>
      <c r="D107" s="174" t="s">
        <v>438</v>
      </c>
      <c r="E107" s="172" t="s">
        <v>454</v>
      </c>
      <c r="F107" s="159" t="s">
        <v>454</v>
      </c>
      <c r="G107" s="159" t="s">
        <v>454</v>
      </c>
      <c r="H107" s="159" t="s">
        <v>454</v>
      </c>
      <c r="I107" s="159" t="s">
        <v>454</v>
      </c>
      <c r="J107" s="159" t="s">
        <v>454</v>
      </c>
      <c r="K107" s="148" t="s">
        <v>768</v>
      </c>
      <c r="L107" s="148" t="s">
        <v>1684</v>
      </c>
      <c r="M107" s="148"/>
      <c r="N107" s="149" t="s">
        <v>16</v>
      </c>
      <c r="O107" s="150">
        <v>297.82</v>
      </c>
      <c r="P107" s="150">
        <v>379.95</v>
      </c>
      <c r="Q107" s="188">
        <v>0.3</v>
      </c>
      <c r="R107" s="150">
        <f t="shared" si="2"/>
        <v>125</v>
      </c>
      <c r="S107" s="152">
        <f t="shared" si="3"/>
        <v>417.45</v>
      </c>
      <c r="T107" s="14"/>
    </row>
    <row r="108" spans="1:20" s="7" customFormat="1" ht="12.75">
      <c r="A108" s="162" t="s">
        <v>418</v>
      </c>
      <c r="B108" s="144" t="s">
        <v>1635</v>
      </c>
      <c r="C108" s="144" t="s">
        <v>1636</v>
      </c>
      <c r="D108" s="174"/>
      <c r="E108" s="172" t="s">
        <v>454</v>
      </c>
      <c r="F108" s="159" t="s">
        <v>454</v>
      </c>
      <c r="G108" s="159" t="s">
        <v>454</v>
      </c>
      <c r="H108" s="159" t="s">
        <v>454</v>
      </c>
      <c r="I108" s="159" t="s">
        <v>454</v>
      </c>
      <c r="J108" s="159" t="s">
        <v>454</v>
      </c>
      <c r="K108" s="148" t="s">
        <v>768</v>
      </c>
      <c r="L108" s="148" t="s">
        <v>1684</v>
      </c>
      <c r="M108" s="148"/>
      <c r="N108" s="149" t="s">
        <v>16</v>
      </c>
      <c r="O108" s="150">
        <v>453.5</v>
      </c>
      <c r="P108" s="150">
        <v>549.95000000000005</v>
      </c>
      <c r="Q108" s="188">
        <v>0.2</v>
      </c>
      <c r="R108" s="150">
        <f t="shared" si="2"/>
        <v>125</v>
      </c>
      <c r="S108" s="152">
        <f t="shared" si="3"/>
        <v>574.95000000000005</v>
      </c>
    </row>
    <row r="109" spans="1:20" s="7" customFormat="1" ht="12.75">
      <c r="A109" s="162" t="s">
        <v>426</v>
      </c>
      <c r="B109" s="144" t="s">
        <v>896</v>
      </c>
      <c r="C109" s="144" t="s">
        <v>1703</v>
      </c>
      <c r="D109" s="174" t="s">
        <v>445</v>
      </c>
      <c r="E109" s="172" t="s">
        <v>454</v>
      </c>
      <c r="F109" s="159" t="s">
        <v>454</v>
      </c>
      <c r="G109" s="159" t="s">
        <v>454</v>
      </c>
      <c r="H109" s="159" t="s">
        <v>454</v>
      </c>
      <c r="I109" s="159" t="s">
        <v>454</v>
      </c>
      <c r="J109" s="159" t="s">
        <v>454</v>
      </c>
      <c r="K109" s="148" t="s">
        <v>768</v>
      </c>
      <c r="L109" s="148" t="s">
        <v>1684</v>
      </c>
      <c r="M109" s="148"/>
      <c r="N109" s="149" t="s">
        <v>16</v>
      </c>
      <c r="O109" s="150">
        <v>60.62</v>
      </c>
      <c r="P109" s="150">
        <v>94.95</v>
      </c>
      <c r="Q109" s="188">
        <v>0.1</v>
      </c>
      <c r="R109" s="150">
        <f t="shared" si="2"/>
        <v>125</v>
      </c>
      <c r="S109" s="152">
        <f t="shared" si="3"/>
        <v>107.45</v>
      </c>
    </row>
    <row r="110" spans="1:20" s="7" customFormat="1" ht="12.75">
      <c r="A110" s="162" t="s">
        <v>211</v>
      </c>
      <c r="B110" s="144" t="s">
        <v>778</v>
      </c>
      <c r="C110" s="144" t="s">
        <v>937</v>
      </c>
      <c r="D110" s="174"/>
      <c r="E110" s="172" t="s">
        <v>454</v>
      </c>
      <c r="F110" s="159" t="s">
        <v>454</v>
      </c>
      <c r="G110" s="159" t="s">
        <v>454</v>
      </c>
      <c r="H110" s="159" t="s">
        <v>454</v>
      </c>
      <c r="I110" s="159" t="s">
        <v>454</v>
      </c>
      <c r="J110" s="159" t="s">
        <v>454</v>
      </c>
      <c r="K110" s="148" t="s">
        <v>768</v>
      </c>
      <c r="L110" s="148"/>
      <c r="M110" s="148"/>
      <c r="N110" s="149" t="s">
        <v>16</v>
      </c>
      <c r="O110" s="150">
        <v>84.65</v>
      </c>
      <c r="P110" s="150">
        <v>119.95</v>
      </c>
      <c r="Q110" s="188">
        <v>0</v>
      </c>
      <c r="R110" s="150">
        <f t="shared" si="2"/>
        <v>125</v>
      </c>
      <c r="S110" s="152">
        <f t="shared" si="3"/>
        <v>119.95</v>
      </c>
    </row>
    <row r="111" spans="1:20" s="7" customFormat="1" ht="12.75">
      <c r="A111" s="221" t="s">
        <v>1956</v>
      </c>
      <c r="B111" s="156" t="s">
        <v>1947</v>
      </c>
      <c r="C111" s="144" t="s">
        <v>1968</v>
      </c>
      <c r="D111" s="174" t="s">
        <v>1948</v>
      </c>
      <c r="E111" s="172"/>
      <c r="F111" s="159"/>
      <c r="G111" s="159"/>
      <c r="H111" s="159" t="s">
        <v>454</v>
      </c>
      <c r="I111" s="159" t="s">
        <v>454</v>
      </c>
      <c r="J111" s="159" t="s">
        <v>454</v>
      </c>
      <c r="K111" s="167" t="s">
        <v>768</v>
      </c>
      <c r="L111" s="167"/>
      <c r="M111" s="167"/>
      <c r="N111" s="149" t="s">
        <v>4</v>
      </c>
      <c r="O111" s="169">
        <v>15.57</v>
      </c>
      <c r="P111" s="169">
        <v>23.95</v>
      </c>
      <c r="Q111" s="188">
        <v>0</v>
      </c>
      <c r="R111" s="169">
        <f t="shared" si="2"/>
        <v>125</v>
      </c>
      <c r="S111" s="153">
        <f t="shared" si="3"/>
        <v>23.95</v>
      </c>
    </row>
    <row r="112" spans="1:20" s="7" customFormat="1" ht="12.75">
      <c r="A112" s="162" t="s">
        <v>766</v>
      </c>
      <c r="B112" s="144" t="s">
        <v>961</v>
      </c>
      <c r="C112" s="144" t="s">
        <v>1005</v>
      </c>
      <c r="D112" s="174" t="s">
        <v>1648</v>
      </c>
      <c r="E112" s="172"/>
      <c r="F112" s="159"/>
      <c r="G112" s="159" t="s">
        <v>454</v>
      </c>
      <c r="H112" s="159" t="s">
        <v>454</v>
      </c>
      <c r="I112" s="159" t="s">
        <v>454</v>
      </c>
      <c r="J112" s="159" t="s">
        <v>454</v>
      </c>
      <c r="K112" s="167" t="s">
        <v>768</v>
      </c>
      <c r="L112" s="167"/>
      <c r="M112" s="167"/>
      <c r="N112" s="149" t="s">
        <v>4</v>
      </c>
      <c r="O112" s="169">
        <v>15.57</v>
      </c>
      <c r="P112" s="169">
        <v>23.95</v>
      </c>
      <c r="Q112" s="188">
        <v>0</v>
      </c>
      <c r="R112" s="169">
        <f t="shared" si="2"/>
        <v>125</v>
      </c>
      <c r="S112" s="153">
        <f t="shared" si="3"/>
        <v>23.95</v>
      </c>
    </row>
    <row r="113" spans="1:22" s="7" customFormat="1" ht="12.75">
      <c r="A113" s="162" t="s">
        <v>5</v>
      </c>
      <c r="B113" s="144" t="s">
        <v>963</v>
      </c>
      <c r="C113" s="144" t="s">
        <v>1007</v>
      </c>
      <c r="D113" s="174" t="s">
        <v>320</v>
      </c>
      <c r="E113" s="172" t="s">
        <v>454</v>
      </c>
      <c r="F113" s="159" t="s">
        <v>454</v>
      </c>
      <c r="G113" s="159" t="s">
        <v>454</v>
      </c>
      <c r="H113" s="159" t="s">
        <v>454</v>
      </c>
      <c r="I113" s="159" t="s">
        <v>454</v>
      </c>
      <c r="J113" s="159" t="s">
        <v>454</v>
      </c>
      <c r="K113" s="167" t="s">
        <v>768</v>
      </c>
      <c r="L113" s="167"/>
      <c r="M113" s="167"/>
      <c r="N113" s="149" t="s">
        <v>4</v>
      </c>
      <c r="O113" s="169">
        <v>15.57</v>
      </c>
      <c r="P113" s="169">
        <v>23.95</v>
      </c>
      <c r="Q113" s="188">
        <v>0</v>
      </c>
      <c r="R113" s="169">
        <f t="shared" si="2"/>
        <v>125</v>
      </c>
      <c r="S113" s="153">
        <f t="shared" si="3"/>
        <v>23.95</v>
      </c>
    </row>
    <row r="114" spans="1:22" s="7" customFormat="1" ht="12.75">
      <c r="A114" s="221" t="s">
        <v>1810</v>
      </c>
      <c r="B114" s="156" t="s">
        <v>1842</v>
      </c>
      <c r="C114" s="144" t="s">
        <v>1873</v>
      </c>
      <c r="D114" s="174" t="s">
        <v>1874</v>
      </c>
      <c r="E114" s="172" t="s">
        <v>454</v>
      </c>
      <c r="F114" s="159" t="s">
        <v>454</v>
      </c>
      <c r="G114" s="159" t="s">
        <v>454</v>
      </c>
      <c r="H114" s="159" t="s">
        <v>454</v>
      </c>
      <c r="I114" s="159" t="s">
        <v>454</v>
      </c>
      <c r="J114" s="159" t="s">
        <v>454</v>
      </c>
      <c r="K114" s="167" t="s">
        <v>768</v>
      </c>
      <c r="L114" s="167"/>
      <c r="M114" s="167"/>
      <c r="N114" s="149" t="s">
        <v>4</v>
      </c>
      <c r="O114" s="169">
        <v>15.57</v>
      </c>
      <c r="P114" s="169">
        <v>23.95</v>
      </c>
      <c r="Q114" s="188">
        <v>0</v>
      </c>
      <c r="R114" s="169">
        <f t="shared" si="2"/>
        <v>125</v>
      </c>
      <c r="S114" s="153">
        <f t="shared" si="3"/>
        <v>23.95</v>
      </c>
    </row>
    <row r="115" spans="1:22" s="7" customFormat="1" ht="12.75">
      <c r="A115" s="162" t="s">
        <v>3</v>
      </c>
      <c r="B115" s="144" t="s">
        <v>1029</v>
      </c>
      <c r="C115" s="144" t="s">
        <v>1034</v>
      </c>
      <c r="D115" s="174" t="s">
        <v>960</v>
      </c>
      <c r="E115" s="172" t="s">
        <v>454</v>
      </c>
      <c r="F115" s="159" t="s">
        <v>454</v>
      </c>
      <c r="G115" s="159"/>
      <c r="H115" s="159"/>
      <c r="I115" s="159"/>
      <c r="J115" s="159"/>
      <c r="K115" s="167" t="s">
        <v>768</v>
      </c>
      <c r="L115" s="167"/>
      <c r="M115" s="167"/>
      <c r="N115" s="149" t="s">
        <v>4</v>
      </c>
      <c r="O115" s="169">
        <v>15.57</v>
      </c>
      <c r="P115" s="169">
        <v>23.95</v>
      </c>
      <c r="Q115" s="188">
        <v>0</v>
      </c>
      <c r="R115" s="169">
        <f t="shared" si="2"/>
        <v>125</v>
      </c>
      <c r="S115" s="153">
        <f t="shared" si="3"/>
        <v>23.95</v>
      </c>
    </row>
    <row r="116" spans="1:22" s="7" customFormat="1" ht="12.75">
      <c r="A116" s="162" t="s">
        <v>206</v>
      </c>
      <c r="B116" s="144" t="s">
        <v>965</v>
      </c>
      <c r="C116" s="144" t="s">
        <v>841</v>
      </c>
      <c r="D116" s="174" t="s">
        <v>393</v>
      </c>
      <c r="E116" s="172" t="s">
        <v>454</v>
      </c>
      <c r="F116" s="159" t="s">
        <v>454</v>
      </c>
      <c r="G116" s="159" t="s">
        <v>454</v>
      </c>
      <c r="H116" s="159" t="s">
        <v>454</v>
      </c>
      <c r="I116" s="159" t="s">
        <v>454</v>
      </c>
      <c r="J116" s="159"/>
      <c r="K116" s="167" t="s">
        <v>768</v>
      </c>
      <c r="L116" s="167"/>
      <c r="M116" s="167"/>
      <c r="N116" s="149" t="s">
        <v>4</v>
      </c>
      <c r="O116" s="169">
        <v>15.57</v>
      </c>
      <c r="P116" s="169">
        <v>23.95</v>
      </c>
      <c r="Q116" s="188">
        <v>0</v>
      </c>
      <c r="R116" s="169">
        <f t="shared" si="2"/>
        <v>125</v>
      </c>
      <c r="S116" s="153">
        <f t="shared" si="3"/>
        <v>23.95</v>
      </c>
    </row>
    <row r="117" spans="1:22" s="7" customFormat="1" ht="12.75">
      <c r="A117" s="162" t="s">
        <v>116</v>
      </c>
      <c r="B117" s="144" t="s">
        <v>384</v>
      </c>
      <c r="C117" s="144" t="s">
        <v>385</v>
      </c>
      <c r="D117" s="174" t="s">
        <v>323</v>
      </c>
      <c r="E117" s="172" t="s">
        <v>454</v>
      </c>
      <c r="F117" s="159" t="s">
        <v>454</v>
      </c>
      <c r="G117" s="159" t="s">
        <v>454</v>
      </c>
      <c r="H117" s="159" t="s">
        <v>454</v>
      </c>
      <c r="I117" s="159" t="s">
        <v>454</v>
      </c>
      <c r="J117" s="159" t="s">
        <v>454</v>
      </c>
      <c r="K117" s="167" t="s">
        <v>768</v>
      </c>
      <c r="L117" s="167"/>
      <c r="M117" s="167"/>
      <c r="N117" s="149" t="s">
        <v>4</v>
      </c>
      <c r="O117" s="169">
        <v>15.54</v>
      </c>
      <c r="P117" s="169">
        <v>23.95</v>
      </c>
      <c r="Q117" s="188">
        <v>0</v>
      </c>
      <c r="R117" s="169">
        <f t="shared" si="2"/>
        <v>125</v>
      </c>
      <c r="S117" s="153">
        <f t="shared" si="3"/>
        <v>23.95</v>
      </c>
    </row>
    <row r="118" spans="1:22" s="7" customFormat="1" ht="12.75">
      <c r="A118" s="162" t="s">
        <v>635</v>
      </c>
      <c r="B118" s="144" t="s">
        <v>962</v>
      </c>
      <c r="C118" s="144" t="s">
        <v>1006</v>
      </c>
      <c r="D118" s="174" t="s">
        <v>632</v>
      </c>
      <c r="E118" s="172" t="s">
        <v>454</v>
      </c>
      <c r="F118" s="159" t="s">
        <v>454</v>
      </c>
      <c r="G118" s="159" t="s">
        <v>454</v>
      </c>
      <c r="H118" s="159" t="s">
        <v>454</v>
      </c>
      <c r="I118" s="159" t="s">
        <v>454</v>
      </c>
      <c r="J118" s="159" t="s">
        <v>454</v>
      </c>
      <c r="K118" s="167" t="s">
        <v>768</v>
      </c>
      <c r="L118" s="167"/>
      <c r="M118" s="167"/>
      <c r="N118" s="149" t="s">
        <v>4</v>
      </c>
      <c r="O118" s="169">
        <v>15.57</v>
      </c>
      <c r="P118" s="169">
        <v>23.95</v>
      </c>
      <c r="Q118" s="188">
        <v>0</v>
      </c>
      <c r="R118" s="169">
        <f t="shared" si="2"/>
        <v>125</v>
      </c>
      <c r="S118" s="153">
        <f t="shared" si="3"/>
        <v>23.95</v>
      </c>
    </row>
    <row r="119" spans="1:22" s="7" customFormat="1" ht="12.75">
      <c r="A119" s="222" t="s">
        <v>1899</v>
      </c>
      <c r="B119" s="144" t="s">
        <v>1694</v>
      </c>
      <c r="C119" s="144" t="s">
        <v>1788</v>
      </c>
      <c r="D119" s="174" t="s">
        <v>1924</v>
      </c>
      <c r="E119" s="172" t="s">
        <v>454</v>
      </c>
      <c r="F119" s="159" t="s">
        <v>454</v>
      </c>
      <c r="G119" s="159" t="s">
        <v>454</v>
      </c>
      <c r="H119" s="159" t="s">
        <v>454</v>
      </c>
      <c r="I119" s="159" t="s">
        <v>454</v>
      </c>
      <c r="J119" s="159" t="s">
        <v>454</v>
      </c>
      <c r="K119" s="167"/>
      <c r="L119" s="167"/>
      <c r="M119" s="167"/>
      <c r="N119" s="149" t="s">
        <v>10</v>
      </c>
      <c r="O119" s="169">
        <v>188.81</v>
      </c>
      <c r="P119" s="169">
        <v>314.95</v>
      </c>
      <c r="Q119" s="188">
        <v>0.1</v>
      </c>
      <c r="R119" s="169">
        <f t="shared" si="2"/>
        <v>125</v>
      </c>
      <c r="S119" s="153">
        <f t="shared" si="3"/>
        <v>327.45</v>
      </c>
    </row>
    <row r="120" spans="1:22" s="7" customFormat="1" ht="12.95" customHeight="1">
      <c r="A120" s="162" t="s">
        <v>1695</v>
      </c>
      <c r="B120" s="144" t="s">
        <v>1696</v>
      </c>
      <c r="C120" s="144" t="s">
        <v>1789</v>
      </c>
      <c r="D120" s="174" t="s">
        <v>1806</v>
      </c>
      <c r="E120" s="172" t="s">
        <v>454</v>
      </c>
      <c r="F120" s="159" t="s">
        <v>454</v>
      </c>
      <c r="G120" s="159" t="s">
        <v>454</v>
      </c>
      <c r="H120" s="159" t="s">
        <v>454</v>
      </c>
      <c r="I120" s="159" t="s">
        <v>454</v>
      </c>
      <c r="J120" s="159" t="s">
        <v>454</v>
      </c>
      <c r="K120" s="167"/>
      <c r="L120" s="167" t="s">
        <v>1684</v>
      </c>
      <c r="M120" s="167"/>
      <c r="N120" s="149" t="s">
        <v>10</v>
      </c>
      <c r="O120" s="169">
        <v>103.89</v>
      </c>
      <c r="P120" s="169">
        <v>159.94999999999999</v>
      </c>
      <c r="Q120" s="195">
        <v>0.1</v>
      </c>
      <c r="R120" s="169">
        <f t="shared" si="2"/>
        <v>125</v>
      </c>
      <c r="S120" s="153">
        <f t="shared" si="3"/>
        <v>172.45</v>
      </c>
    </row>
    <row r="121" spans="1:22" s="7" customFormat="1" ht="12.75">
      <c r="A121" s="162" t="s">
        <v>1692</v>
      </c>
      <c r="B121" s="168" t="s">
        <v>1697</v>
      </c>
      <c r="C121" s="144" t="s">
        <v>1786</v>
      </c>
      <c r="D121" s="174" t="s">
        <v>1985</v>
      </c>
      <c r="E121" s="172" t="s">
        <v>454</v>
      </c>
      <c r="F121" s="159" t="s">
        <v>454</v>
      </c>
      <c r="G121" s="159" t="s">
        <v>454</v>
      </c>
      <c r="H121" s="159" t="s">
        <v>454</v>
      </c>
      <c r="I121" s="159" t="s">
        <v>454</v>
      </c>
      <c r="J121" s="159" t="s">
        <v>454</v>
      </c>
      <c r="K121" s="167"/>
      <c r="L121" s="167" t="s">
        <v>1684</v>
      </c>
      <c r="M121" s="167"/>
      <c r="N121" s="149" t="s">
        <v>10</v>
      </c>
      <c r="O121" s="169">
        <v>470.97</v>
      </c>
      <c r="P121" s="169">
        <v>784.95</v>
      </c>
      <c r="Q121" s="188">
        <v>2.5</v>
      </c>
      <c r="R121" s="169">
        <f t="shared" si="2"/>
        <v>125</v>
      </c>
      <c r="S121" s="153">
        <f t="shared" si="3"/>
        <v>1097.45</v>
      </c>
    </row>
    <row r="122" spans="1:22" s="7" customFormat="1" ht="12.75">
      <c r="A122" s="283" t="s">
        <v>2205</v>
      </c>
      <c r="B122" s="165" t="s">
        <v>1693</v>
      </c>
      <c r="C122" s="165" t="s">
        <v>2095</v>
      </c>
      <c r="D122" s="216" t="s">
        <v>1924</v>
      </c>
      <c r="E122" s="204" t="s">
        <v>454</v>
      </c>
      <c r="F122" s="205" t="s">
        <v>454</v>
      </c>
      <c r="G122" s="205" t="s">
        <v>454</v>
      </c>
      <c r="H122" s="205" t="s">
        <v>454</v>
      </c>
      <c r="I122" s="205" t="s">
        <v>454</v>
      </c>
      <c r="J122" s="205" t="s">
        <v>454</v>
      </c>
      <c r="K122" s="181"/>
      <c r="L122" s="181" t="s">
        <v>1684</v>
      </c>
      <c r="M122" s="181"/>
      <c r="N122" s="182" t="s">
        <v>10</v>
      </c>
      <c r="O122" s="183">
        <v>134.5</v>
      </c>
      <c r="P122" s="183">
        <v>224.95</v>
      </c>
      <c r="Q122" s="207">
        <v>1</v>
      </c>
      <c r="R122" s="183">
        <f t="shared" si="2"/>
        <v>125</v>
      </c>
      <c r="S122" s="185">
        <f t="shared" si="3"/>
        <v>349.95</v>
      </c>
    </row>
    <row r="123" spans="1:22" s="7" customFormat="1" ht="12.75">
      <c r="A123" s="164" t="s">
        <v>1675</v>
      </c>
      <c r="B123" s="165" t="s">
        <v>2221</v>
      </c>
      <c r="C123" s="176" t="s">
        <v>2222</v>
      </c>
      <c r="D123" s="184" t="s">
        <v>2147</v>
      </c>
      <c r="E123" s="205" t="s">
        <v>454</v>
      </c>
      <c r="F123" s="205" t="s">
        <v>454</v>
      </c>
      <c r="G123" s="205" t="s">
        <v>454</v>
      </c>
      <c r="H123" s="205" t="s">
        <v>454</v>
      </c>
      <c r="I123" s="205" t="s">
        <v>454</v>
      </c>
      <c r="J123" s="205" t="s">
        <v>454</v>
      </c>
      <c r="K123" s="181" t="s">
        <v>768</v>
      </c>
      <c r="L123" s="181"/>
      <c r="M123" s="181"/>
      <c r="N123" s="182" t="s">
        <v>16</v>
      </c>
      <c r="O123" s="183">
        <v>114</v>
      </c>
      <c r="P123" s="183">
        <v>174.95</v>
      </c>
      <c r="Q123" s="207">
        <v>0</v>
      </c>
      <c r="R123" s="183">
        <f t="shared" si="2"/>
        <v>125</v>
      </c>
      <c r="S123" s="185">
        <f t="shared" si="3"/>
        <v>174.95</v>
      </c>
    </row>
    <row r="124" spans="1:22" s="7" customFormat="1" ht="12.95" customHeight="1">
      <c r="A124" s="164" t="s">
        <v>1676</v>
      </c>
      <c r="B124" s="165" t="s">
        <v>1678</v>
      </c>
      <c r="C124" s="176" t="s">
        <v>1677</v>
      </c>
      <c r="D124" s="184" t="s">
        <v>2148</v>
      </c>
      <c r="E124" s="205" t="s">
        <v>454</v>
      </c>
      <c r="F124" s="205" t="s">
        <v>454</v>
      </c>
      <c r="G124" s="205" t="s">
        <v>454</v>
      </c>
      <c r="H124" s="205" t="s">
        <v>454</v>
      </c>
      <c r="I124" s="205" t="s">
        <v>454</v>
      </c>
      <c r="J124" s="205" t="s">
        <v>454</v>
      </c>
      <c r="K124" s="181" t="s">
        <v>768</v>
      </c>
      <c r="L124" s="181"/>
      <c r="M124" s="181"/>
      <c r="N124" s="182" t="s">
        <v>16</v>
      </c>
      <c r="O124" s="183">
        <v>105</v>
      </c>
      <c r="P124" s="183">
        <v>159.94999999999999</v>
      </c>
      <c r="Q124" s="207">
        <v>0</v>
      </c>
      <c r="R124" s="183">
        <f t="shared" si="2"/>
        <v>125</v>
      </c>
      <c r="S124" s="185">
        <f t="shared" si="3"/>
        <v>159.94999999999999</v>
      </c>
    </row>
    <row r="125" spans="1:22" s="7" customFormat="1" ht="12.75">
      <c r="A125" s="162" t="s">
        <v>17</v>
      </c>
      <c r="B125" s="144" t="s">
        <v>644</v>
      </c>
      <c r="C125" s="144" t="s">
        <v>1962</v>
      </c>
      <c r="D125" s="264"/>
      <c r="E125" s="172" t="s">
        <v>454</v>
      </c>
      <c r="F125" s="159" t="s">
        <v>454</v>
      </c>
      <c r="G125" s="159" t="s">
        <v>454</v>
      </c>
      <c r="H125" s="159" t="s">
        <v>454</v>
      </c>
      <c r="I125" s="159" t="s">
        <v>454</v>
      </c>
      <c r="J125" s="159" t="s">
        <v>454</v>
      </c>
      <c r="K125" s="148" t="s">
        <v>768</v>
      </c>
      <c r="L125" s="148"/>
      <c r="M125" s="148"/>
      <c r="N125" s="149" t="s">
        <v>16</v>
      </c>
      <c r="O125" s="150">
        <v>39.99</v>
      </c>
      <c r="P125" s="150">
        <v>59.95</v>
      </c>
      <c r="Q125" s="188">
        <v>0</v>
      </c>
      <c r="R125" s="150">
        <f t="shared" si="2"/>
        <v>125</v>
      </c>
      <c r="S125" s="152">
        <f t="shared" si="3"/>
        <v>59.95</v>
      </c>
    </row>
    <row r="126" spans="1:22" s="14" customFormat="1" ht="12.95" customHeight="1">
      <c r="A126" s="162" t="s">
        <v>1487</v>
      </c>
      <c r="B126" s="144" t="s">
        <v>1485</v>
      </c>
      <c r="C126" s="144" t="s">
        <v>1486</v>
      </c>
      <c r="D126" s="174" t="s">
        <v>1708</v>
      </c>
      <c r="E126" s="172" t="s">
        <v>454</v>
      </c>
      <c r="F126" s="159" t="s">
        <v>454</v>
      </c>
      <c r="G126" s="159" t="s">
        <v>454</v>
      </c>
      <c r="H126" s="159" t="s">
        <v>454</v>
      </c>
      <c r="I126" s="159" t="s">
        <v>454</v>
      </c>
      <c r="J126" s="159" t="s">
        <v>454</v>
      </c>
      <c r="K126" s="148" t="s">
        <v>768</v>
      </c>
      <c r="L126" s="148"/>
      <c r="M126" s="148"/>
      <c r="N126" s="149" t="s">
        <v>0</v>
      </c>
      <c r="O126" s="150">
        <v>47</v>
      </c>
      <c r="P126" s="150">
        <v>64.95</v>
      </c>
      <c r="Q126" s="188">
        <v>0</v>
      </c>
      <c r="R126" s="150">
        <f t="shared" si="2"/>
        <v>125</v>
      </c>
      <c r="S126" s="152">
        <f t="shared" si="3"/>
        <v>64.95</v>
      </c>
      <c r="T126" s="7"/>
      <c r="V126" s="7"/>
    </row>
    <row r="127" spans="1:22" s="14" customFormat="1" ht="12.95" customHeight="1">
      <c r="A127" s="162" t="s">
        <v>294</v>
      </c>
      <c r="B127" s="144" t="s">
        <v>295</v>
      </c>
      <c r="C127" s="144" t="s">
        <v>296</v>
      </c>
      <c r="D127" s="174" t="s">
        <v>1752</v>
      </c>
      <c r="E127" s="172" t="s">
        <v>454</v>
      </c>
      <c r="F127" s="159" t="s">
        <v>454</v>
      </c>
      <c r="G127" s="159" t="s">
        <v>454</v>
      </c>
      <c r="H127" s="159" t="s">
        <v>454</v>
      </c>
      <c r="I127" s="159" t="s">
        <v>454</v>
      </c>
      <c r="J127" s="159" t="s">
        <v>454</v>
      </c>
      <c r="K127" s="148" t="s">
        <v>768</v>
      </c>
      <c r="L127" s="148"/>
      <c r="M127" s="148"/>
      <c r="N127" s="149" t="s">
        <v>0</v>
      </c>
      <c r="O127" s="150">
        <v>60</v>
      </c>
      <c r="P127" s="150">
        <v>79.95</v>
      </c>
      <c r="Q127" s="195">
        <v>0</v>
      </c>
      <c r="R127" s="150">
        <f t="shared" si="2"/>
        <v>125</v>
      </c>
      <c r="S127" s="152">
        <f t="shared" si="3"/>
        <v>79.95</v>
      </c>
      <c r="V127" s="7"/>
    </row>
    <row r="128" spans="1:22" s="7" customFormat="1" ht="12.75">
      <c r="A128" s="162" t="s">
        <v>522</v>
      </c>
      <c r="B128" s="144" t="s">
        <v>854</v>
      </c>
      <c r="C128" s="144" t="s">
        <v>1811</v>
      </c>
      <c r="D128" s="174" t="s">
        <v>1709</v>
      </c>
      <c r="E128" s="172" t="s">
        <v>454</v>
      </c>
      <c r="F128" s="159" t="s">
        <v>454</v>
      </c>
      <c r="G128" s="159" t="s">
        <v>454</v>
      </c>
      <c r="H128" s="159" t="s">
        <v>454</v>
      </c>
      <c r="I128" s="159" t="s">
        <v>454</v>
      </c>
      <c r="J128" s="159" t="s">
        <v>454</v>
      </c>
      <c r="K128" s="148"/>
      <c r="L128" s="148"/>
      <c r="M128" s="148"/>
      <c r="N128" s="149" t="s">
        <v>10</v>
      </c>
      <c r="O128" s="150">
        <v>53</v>
      </c>
      <c r="P128" s="150">
        <v>88.95</v>
      </c>
      <c r="Q128" s="195">
        <v>0</v>
      </c>
      <c r="R128" s="150">
        <f t="shared" si="2"/>
        <v>125</v>
      </c>
      <c r="S128" s="152">
        <f t="shared" si="3"/>
        <v>88.95</v>
      </c>
      <c r="T128" s="14"/>
    </row>
    <row r="129" spans="1:20" s="7" customFormat="1" ht="12.95" customHeight="1">
      <c r="A129" s="162" t="s">
        <v>1059</v>
      </c>
      <c r="B129" s="144" t="s">
        <v>1060</v>
      </c>
      <c r="C129" s="144" t="s">
        <v>1963</v>
      </c>
      <c r="D129" s="264" t="s">
        <v>2160</v>
      </c>
      <c r="E129" s="172" t="s">
        <v>454</v>
      </c>
      <c r="F129" s="159" t="s">
        <v>454</v>
      </c>
      <c r="G129" s="159" t="s">
        <v>454</v>
      </c>
      <c r="H129" s="159" t="s">
        <v>454</v>
      </c>
      <c r="I129" s="159" t="s">
        <v>454</v>
      </c>
      <c r="J129" s="159" t="s">
        <v>454</v>
      </c>
      <c r="K129" s="148" t="s">
        <v>768</v>
      </c>
      <c r="L129" s="148"/>
      <c r="M129" s="148"/>
      <c r="N129" s="149" t="s">
        <v>4</v>
      </c>
      <c r="O129" s="150">
        <v>2.5</v>
      </c>
      <c r="P129" s="150">
        <v>4.95</v>
      </c>
      <c r="Q129" s="195">
        <v>0</v>
      </c>
      <c r="R129" s="150">
        <f t="shared" si="2"/>
        <v>125</v>
      </c>
      <c r="S129" s="152">
        <f t="shared" si="3"/>
        <v>4.95</v>
      </c>
    </row>
    <row r="130" spans="1:20" s="7" customFormat="1" ht="12.95" customHeight="1">
      <c r="A130" s="162" t="s">
        <v>1061</v>
      </c>
      <c r="B130" s="144" t="s">
        <v>1646</v>
      </c>
      <c r="C130" s="144" t="s">
        <v>1964</v>
      </c>
      <c r="D130" s="264" t="s">
        <v>2161</v>
      </c>
      <c r="E130" s="172" t="s">
        <v>454</v>
      </c>
      <c r="F130" s="159" t="s">
        <v>454</v>
      </c>
      <c r="G130" s="159" t="s">
        <v>454</v>
      </c>
      <c r="H130" s="159" t="s">
        <v>454</v>
      </c>
      <c r="I130" s="159" t="s">
        <v>454</v>
      </c>
      <c r="J130" s="159" t="s">
        <v>454</v>
      </c>
      <c r="K130" s="148" t="s">
        <v>768</v>
      </c>
      <c r="L130" s="148"/>
      <c r="M130" s="148"/>
      <c r="N130" s="149" t="s">
        <v>4</v>
      </c>
      <c r="O130" s="150">
        <v>2.5</v>
      </c>
      <c r="P130" s="150">
        <v>4.95</v>
      </c>
      <c r="Q130" s="188">
        <v>0</v>
      </c>
      <c r="R130" s="150">
        <f t="shared" si="2"/>
        <v>125</v>
      </c>
      <c r="S130" s="152">
        <f t="shared" si="3"/>
        <v>4.95</v>
      </c>
    </row>
    <row r="131" spans="1:20" s="7" customFormat="1" ht="12.95" customHeight="1">
      <c r="A131" s="162" t="s">
        <v>1070</v>
      </c>
      <c r="B131" s="144" t="s">
        <v>1064</v>
      </c>
      <c r="C131" s="144" t="s">
        <v>1965</v>
      </c>
      <c r="D131" s="264" t="s">
        <v>2162</v>
      </c>
      <c r="E131" s="172" t="s">
        <v>454</v>
      </c>
      <c r="F131" s="159" t="s">
        <v>454</v>
      </c>
      <c r="G131" s="159" t="s">
        <v>454</v>
      </c>
      <c r="H131" s="159" t="s">
        <v>454</v>
      </c>
      <c r="I131" s="159" t="s">
        <v>454</v>
      </c>
      <c r="J131" s="159" t="s">
        <v>454</v>
      </c>
      <c r="K131" s="148" t="s">
        <v>768</v>
      </c>
      <c r="L131" s="148"/>
      <c r="M131" s="148"/>
      <c r="N131" s="149" t="s">
        <v>4</v>
      </c>
      <c r="O131" s="150">
        <v>2.5</v>
      </c>
      <c r="P131" s="150">
        <v>4.95</v>
      </c>
      <c r="Q131" s="188">
        <v>0</v>
      </c>
      <c r="R131" s="150">
        <f t="shared" ref="R131:R134" si="4">$N$1</f>
        <v>125</v>
      </c>
      <c r="S131" s="152">
        <f t="shared" ref="S131:S134" si="5">Q131*R131+P131</f>
        <v>4.95</v>
      </c>
    </row>
    <row r="132" spans="1:20" s="7" customFormat="1" ht="12.95" customHeight="1">
      <c r="A132" s="162" t="s">
        <v>1071</v>
      </c>
      <c r="B132" s="144" t="s">
        <v>1065</v>
      </c>
      <c r="C132" s="144" t="s">
        <v>1966</v>
      </c>
      <c r="D132" s="264" t="s">
        <v>2162</v>
      </c>
      <c r="E132" s="172" t="s">
        <v>454</v>
      </c>
      <c r="F132" s="159" t="s">
        <v>454</v>
      </c>
      <c r="G132" s="159" t="s">
        <v>454</v>
      </c>
      <c r="H132" s="159" t="s">
        <v>454</v>
      </c>
      <c r="I132" s="159" t="s">
        <v>454</v>
      </c>
      <c r="J132" s="159" t="s">
        <v>454</v>
      </c>
      <c r="K132" s="148" t="s">
        <v>768</v>
      </c>
      <c r="L132" s="148"/>
      <c r="M132" s="148"/>
      <c r="N132" s="149" t="s">
        <v>4</v>
      </c>
      <c r="O132" s="150">
        <v>2.5</v>
      </c>
      <c r="P132" s="150">
        <v>4.95</v>
      </c>
      <c r="Q132" s="188">
        <v>0</v>
      </c>
      <c r="R132" s="150">
        <f t="shared" si="4"/>
        <v>125</v>
      </c>
      <c r="S132" s="152">
        <f t="shared" si="5"/>
        <v>4.95</v>
      </c>
    </row>
    <row r="133" spans="1:20" s="7" customFormat="1" ht="12.75">
      <c r="A133" s="162" t="s">
        <v>1929</v>
      </c>
      <c r="B133" s="144" t="s">
        <v>1931</v>
      </c>
      <c r="C133" s="144" t="s">
        <v>1933</v>
      </c>
      <c r="D133" s="174" t="s">
        <v>1062</v>
      </c>
      <c r="E133" s="172" t="s">
        <v>454</v>
      </c>
      <c r="F133" s="159" t="s">
        <v>454</v>
      </c>
      <c r="G133" s="159" t="s">
        <v>454</v>
      </c>
      <c r="H133" s="159" t="s">
        <v>454</v>
      </c>
      <c r="I133" s="159" t="s">
        <v>454</v>
      </c>
      <c r="J133" s="159" t="s">
        <v>454</v>
      </c>
      <c r="K133" s="167" t="s">
        <v>2149</v>
      </c>
      <c r="L133" s="167" t="s">
        <v>2149</v>
      </c>
      <c r="M133" s="167"/>
      <c r="N133" s="149" t="s">
        <v>4</v>
      </c>
      <c r="O133" s="169" t="e">
        <v>#N/A</v>
      </c>
      <c r="P133" s="169" t="e">
        <v>#N/A</v>
      </c>
      <c r="Q133" s="188">
        <v>0</v>
      </c>
      <c r="R133" s="169">
        <f t="shared" si="4"/>
        <v>125</v>
      </c>
      <c r="S133" s="153" t="e">
        <f t="shared" si="5"/>
        <v>#N/A</v>
      </c>
      <c r="T133" s="14"/>
    </row>
    <row r="134" spans="1:20" s="7" customFormat="1" ht="12.75">
      <c r="A134" s="162" t="s">
        <v>1930</v>
      </c>
      <c r="B134" s="144" t="s">
        <v>1932</v>
      </c>
      <c r="C134" s="144" t="s">
        <v>1967</v>
      </c>
      <c r="D134" s="174" t="s">
        <v>1063</v>
      </c>
      <c r="E134" s="172" t="s">
        <v>454</v>
      </c>
      <c r="F134" s="159" t="s">
        <v>454</v>
      </c>
      <c r="G134" s="159" t="s">
        <v>454</v>
      </c>
      <c r="H134" s="159" t="s">
        <v>454</v>
      </c>
      <c r="I134" s="159" t="s">
        <v>454</v>
      </c>
      <c r="J134" s="159" t="s">
        <v>454</v>
      </c>
      <c r="K134" s="167" t="s">
        <v>2149</v>
      </c>
      <c r="L134" s="167" t="s">
        <v>2149</v>
      </c>
      <c r="M134" s="167"/>
      <c r="N134" s="149" t="s">
        <v>4</v>
      </c>
      <c r="O134" s="169" t="e">
        <v>#N/A</v>
      </c>
      <c r="P134" s="169" t="e">
        <v>#N/A</v>
      </c>
      <c r="Q134" s="188">
        <v>0</v>
      </c>
      <c r="R134" s="169">
        <f t="shared" si="4"/>
        <v>125</v>
      </c>
      <c r="S134" s="153" t="e">
        <f t="shared" si="5"/>
        <v>#N/A</v>
      </c>
      <c r="T134" s="14"/>
    </row>
  </sheetData>
  <sortState xmlns:xlrd2="http://schemas.microsoft.com/office/spreadsheetml/2017/richdata2" ref="A3:R133">
    <sortCondition ref="B3:B133"/>
  </sortState>
  <mergeCells count="3">
    <mergeCell ref="D1:M1"/>
    <mergeCell ref="R1:S1"/>
    <mergeCell ref="L2:M2"/>
  </mergeCells>
  <conditionalFormatting sqref="O15:P15">
    <cfRule type="cellIs" dxfId="8" priority="2" operator="lessThan">
      <formula>0.02</formula>
    </cfRule>
  </conditionalFormatting>
  <hyperlinks>
    <hyperlink ref="K3" r:id="rId1" xr:uid="{65762710-6F0B-4E71-A8E2-FA7A69F23E7B}"/>
    <hyperlink ref="K57" r:id="rId2" xr:uid="{44CD1FA8-2D2C-4913-BDAB-F4B4D36D148F}"/>
    <hyperlink ref="K67:K71" r:id="rId3" display="PHOTO" xr:uid="{E1243253-FF90-43A2-AFFE-23726DAD91C5}"/>
    <hyperlink ref="K93:K99" r:id="rId4" display="PHOTO" xr:uid="{41A5D9B2-54C9-47D3-A222-74552D1811FB}"/>
    <hyperlink ref="K4" r:id="rId5" xr:uid="{F8B9AE81-BD14-4847-8309-4BF601B0A31F}"/>
    <hyperlink ref="K5" r:id="rId6" xr:uid="{E816B420-B213-4718-B1E5-68D81E1C16D6}"/>
    <hyperlink ref="K10" r:id="rId7" xr:uid="{B5E6CB83-4211-47A3-980A-C00DBAF32226}"/>
    <hyperlink ref="K7" r:id="rId8" xr:uid="{9F27066D-8D06-4919-8607-81FDDC2CB174}"/>
    <hyperlink ref="K65" r:id="rId9" display="PHOTO" xr:uid="{B25EC167-3B6A-4612-9258-2885EE758047}"/>
    <hyperlink ref="K13" r:id="rId10" xr:uid="{AE4545D0-42F5-4167-AE6F-E7523C1CC58A}"/>
    <hyperlink ref="L3" r:id="rId11" xr:uid="{0AA7327A-689C-4155-9658-E08905F1240E}"/>
    <hyperlink ref="L5" r:id="rId12" xr:uid="{62D1532E-7899-4E56-B5B2-5A98C0EA25FA}"/>
    <hyperlink ref="L7" r:id="rId13" xr:uid="{C7F1350B-87EE-407A-BC84-B18B1FCA1B14}"/>
    <hyperlink ref="L9" r:id="rId14" xr:uid="{195AC2B9-3259-46CF-AA67-AE875806B6D1}"/>
    <hyperlink ref="L10" r:id="rId15" xr:uid="{FD62D5FE-A3EC-4671-A286-95D6A116E571}"/>
    <hyperlink ref="L13" r:id="rId16" xr:uid="{044A59D9-E693-48FB-8570-21689CD896CE}"/>
    <hyperlink ref="L28" r:id="rId17" display="SHEET" xr:uid="{0139D735-735D-4400-ABA8-7418C59588F9}"/>
    <hyperlink ref="L57" r:id="rId18" xr:uid="{FDCDE0B7-0B71-4BE2-8650-2731A0E620C3}"/>
    <hyperlink ref="L55" r:id="rId19" xr:uid="{4CD96A29-C025-41C1-BAB1-0F912FB22575}"/>
    <hyperlink ref="L80:L82" r:id="rId20" display="SHEET" xr:uid="{2CD0DFA3-A49A-4065-914F-FC2192A1E51A}"/>
    <hyperlink ref="K6" r:id="rId21" xr:uid="{375B836C-0502-489E-8E0F-67F87B9835C2}"/>
    <hyperlink ref="L87" r:id="rId22" xr:uid="{ACA46BD0-5900-404D-B2BC-EB149756BB38}"/>
    <hyperlink ref="L59" r:id="rId23" xr:uid="{5D0C840E-F254-4714-B71B-962DBD19D14A}"/>
    <hyperlink ref="L21" r:id="rId24" display="SHEET" xr:uid="{A5AFABC5-7FF6-4869-AB1B-B4AA809C93D3}"/>
    <hyperlink ref="K33" r:id="rId25" xr:uid="{A9BE73EB-392C-4836-95B5-4F5B9266A2AC}"/>
    <hyperlink ref="L33" r:id="rId26" xr:uid="{2D958D6C-B674-493C-8BB7-8816709268F1}"/>
    <hyperlink ref="K29" r:id="rId27" xr:uid="{415A8B03-901E-4DBD-BE52-0F30C8CC8A97}"/>
    <hyperlink ref="L29" r:id="rId28" xr:uid="{2B43ED69-3797-4F99-9E9F-2B7BA9E59356}"/>
    <hyperlink ref="K31" r:id="rId29" xr:uid="{69147088-7973-4EC2-87AB-8D96897EEAB1}"/>
    <hyperlink ref="L31" r:id="rId30" xr:uid="{4D7604D9-0C9A-4440-9D18-95B608C47E75}"/>
    <hyperlink ref="K37" r:id="rId31" xr:uid="{342E49F1-E80A-4DD9-A133-A0DF4CB486A0}"/>
    <hyperlink ref="K40" r:id="rId32" xr:uid="{5F14A7D0-3815-4B14-AC39-1672116B9AFC}"/>
    <hyperlink ref="K42" r:id="rId33" xr:uid="{5706A15B-1EEE-4F27-990B-2F64100A1864}"/>
    <hyperlink ref="K41" r:id="rId34" xr:uid="{FFF75611-8E96-4D24-A1A2-B37293D700C3}"/>
    <hyperlink ref="K38" r:id="rId35" xr:uid="{4404734C-5DAA-4362-9DC1-6F1E663F2F3A}"/>
    <hyperlink ref="K39" r:id="rId36" xr:uid="{7B977DF6-DA97-4911-A66C-9A2299949EF8}"/>
    <hyperlink ref="K19" r:id="rId37" xr:uid="{8C59F8F7-07BB-4371-BF44-B083BA249D35}"/>
    <hyperlink ref="K18" r:id="rId38" xr:uid="{8FCA2FFC-8D3D-414F-B409-22DB08B16DEC}"/>
    <hyperlink ref="L18" r:id="rId39" xr:uid="{96998F25-5B0F-4682-B75D-6433CCB8C50A}"/>
    <hyperlink ref="L19" r:id="rId40" xr:uid="{1558F1E8-4C6A-41C6-8208-90AB4840BA21}"/>
    <hyperlink ref="K131" r:id="rId41" xr:uid="{1289D93A-3D55-4216-B3FF-0B6F5432D74A}"/>
    <hyperlink ref="K132" r:id="rId42" xr:uid="{831E5453-BB2D-4DCD-B74A-11BDCF4B13C3}"/>
    <hyperlink ref="K129" r:id="rId43" xr:uid="{FDC99678-85B6-4CBB-A266-3548D422652C}"/>
    <hyperlink ref="K130" r:id="rId44" xr:uid="{4E26065F-0B82-4C06-9E07-10FD532D1FE2}"/>
    <hyperlink ref="K126" r:id="rId45" xr:uid="{7F278344-F7B5-410D-A466-33924D7C9A22}"/>
    <hyperlink ref="K127" r:id="rId46" xr:uid="{4A1444F6-C400-4CB9-AF81-22868CD7B1F9}"/>
    <hyperlink ref="K125" r:id="rId47" xr:uid="{18BB0AA0-0FC0-4B86-B052-BFF48C410D3C}"/>
    <hyperlink ref="K95:K101" r:id="rId48" display="PHOTO" xr:uid="{406516E2-A02F-4013-918B-53A92537ADEE}"/>
    <hyperlink ref="L121" r:id="rId49" xr:uid="{9E347BE0-2C4B-42F5-A4C8-8FDB3EB2E8E9}"/>
    <hyperlink ref="K100" r:id="rId50" xr:uid="{67CD7278-4994-4A25-A633-044EB37D2304}"/>
    <hyperlink ref="K102" r:id="rId51" xr:uid="{BD8217D2-8C93-4F97-8803-AAD459A9D000}"/>
    <hyperlink ref="K103" r:id="rId52" xr:uid="{DF9DEBEC-8723-4746-8355-8EE379EC466E}"/>
    <hyperlink ref="K104" r:id="rId53" xr:uid="{FB848F75-324A-4F64-A63E-FA9C78645F90}"/>
    <hyperlink ref="K105" r:id="rId54" xr:uid="{F96E63FF-4ABF-423A-B720-541EF1367743}"/>
    <hyperlink ref="K106" r:id="rId55" xr:uid="{F40DEECA-2CEF-477F-A3F4-A09B242413FF}"/>
    <hyperlink ref="K107" r:id="rId56" xr:uid="{56C3AFF2-A2C0-4CDE-8E6C-E39A126D7BCE}"/>
    <hyperlink ref="K108" r:id="rId57" xr:uid="{DB07ED46-C425-4B92-B64D-06B3254E7B42}"/>
    <hyperlink ref="K109" r:id="rId58" xr:uid="{D8BF1592-463C-4659-A1A6-A7F4F25B3DB5}"/>
    <hyperlink ref="K110" r:id="rId59" xr:uid="{142952FE-B91E-4EF9-BA12-C155BBC9BBA4}"/>
    <hyperlink ref="L103" r:id="rId60" xr:uid="{D2EB4F8C-A38C-4563-971D-BE20C09B58FE}"/>
    <hyperlink ref="L102" r:id="rId61" xr:uid="{44C5213C-2D6F-475E-9301-AD5E3E8654F4}"/>
    <hyperlink ref="L107" r:id="rId62" xr:uid="{02D4B5BB-350C-462D-92D7-7AEAD5A7D2DB}"/>
    <hyperlink ref="L108" r:id="rId63" xr:uid="{E17CD86D-4A64-4ADB-96C8-684947EA6B63}"/>
    <hyperlink ref="L109" r:id="rId64" xr:uid="{70A533AB-C0C2-4F62-9B8F-0CD0318E7194}"/>
    <hyperlink ref="L96" r:id="rId65" xr:uid="{8C1A4638-82C4-4C63-A4FB-F91C5B48631D}"/>
    <hyperlink ref="K90" r:id="rId66" xr:uid="{15BA8D23-CAFE-4A89-8485-BC2A55A7B505}"/>
    <hyperlink ref="L90" r:id="rId67" xr:uid="{145D2FC5-AE94-4133-8D40-BD30C8DE8CFD}"/>
    <hyperlink ref="K89" r:id="rId68" xr:uid="{1F0C7EE1-8F7C-4D76-8626-BBE378D86656}"/>
    <hyperlink ref="L89" r:id="rId69" xr:uid="{D7873DF5-120D-416A-BAD2-C5FCE9FC4169}"/>
    <hyperlink ref="K88" r:id="rId70" xr:uid="{E8B8A62E-E81C-49BF-9F31-395982934B12}"/>
    <hyperlink ref="L88" r:id="rId71" xr:uid="{F36DAAC9-FFF7-4C12-85C8-96F84D581358}"/>
    <hyperlink ref="K79" r:id="rId72" xr:uid="{E419D2CF-8728-40D5-9D9B-8E67F41DA34D}"/>
    <hyperlink ref="L79" r:id="rId73" xr:uid="{0ADB381C-DDDE-4EE9-A384-1C4424E1F4A4}"/>
    <hyperlink ref="K78" r:id="rId74" xr:uid="{A728866C-4740-48B6-99BB-F7323F3BF19F}"/>
    <hyperlink ref="L78" r:id="rId75" xr:uid="{A2D45E46-15A5-4D9D-B7D4-64336D5B1BA1}"/>
    <hyperlink ref="K75" r:id="rId76" xr:uid="{5E5EB2A2-88B2-4D5E-AC1A-E40E30ADE23D}"/>
    <hyperlink ref="K76" r:id="rId77" xr:uid="{A0EB8465-AC3A-4249-B687-6039549EB4CB}"/>
    <hyperlink ref="L75" r:id="rId78" xr:uid="{4CBE7711-E3AE-471E-A1EF-1E17F8192FF3}"/>
    <hyperlink ref="L76" r:id="rId79" xr:uid="{8166DA97-1AE0-4AE3-8F5F-9BEEC03195B8}"/>
    <hyperlink ref="K71" r:id="rId80" xr:uid="{E19933B8-82ED-4859-B86E-790304379ADA}"/>
    <hyperlink ref="K70" r:id="rId81" xr:uid="{E2F7A503-0857-424B-8CED-AE563FFE041E}"/>
    <hyperlink ref="L70" r:id="rId82" xr:uid="{9DB424F9-F540-4E11-9FAC-EBDAD30FC5E1}"/>
    <hyperlink ref="L71" r:id="rId83" xr:uid="{BF3336F1-B7E5-4F09-9B48-1784C6EC0443}"/>
    <hyperlink ref="K73" r:id="rId84" xr:uid="{80F829C7-21E9-49DD-AC00-E9234FD80426}"/>
    <hyperlink ref="K72" r:id="rId85" xr:uid="{12E0DEE7-7633-44DF-9202-6BD379F3C1C6}"/>
    <hyperlink ref="L73" r:id="rId86" xr:uid="{5A015089-7DFF-4349-A749-5B187FFC88B1}"/>
    <hyperlink ref="L72" r:id="rId87" xr:uid="{3C51EE35-A6A7-4E3C-AC7C-169779690824}"/>
    <hyperlink ref="K60" r:id="rId88" xr:uid="{C6EDE158-F91F-4E98-A89A-51E804386CDF}"/>
    <hyperlink ref="K62" r:id="rId89" xr:uid="{876E4D57-6AE4-4137-B151-5D6CF0A853D1}"/>
    <hyperlink ref="K69" r:id="rId90" xr:uid="{21AB5B7C-F9EA-4233-AD8D-B739C053C723}"/>
    <hyperlink ref="K66" r:id="rId91" xr:uid="{370271ED-44EB-42A9-93BD-BDF4BB7C1F26}"/>
    <hyperlink ref="K64" r:id="rId92" xr:uid="{0B36F376-5B7B-4916-9430-26F137FA3C37}"/>
    <hyperlink ref="K67" r:id="rId93" xr:uid="{1B013461-3CF3-4E22-A834-FD195CDFDD23}"/>
    <hyperlink ref="K68" r:id="rId94" xr:uid="{E90927B8-C312-4C24-8EA4-D2811A2B717C}"/>
    <hyperlink ref="K61" r:id="rId95" xr:uid="{943229D5-041B-4390-B649-5C0BD433480E}"/>
    <hyperlink ref="K52" r:id="rId96" xr:uid="{15FA22F5-DD10-4E55-B6D1-A99ED9313463}"/>
    <hyperlink ref="L52" r:id="rId97" xr:uid="{FB1A61EA-8DB3-4A72-9467-B9123CAA26AF}"/>
    <hyperlink ref="K50" r:id="rId98" xr:uid="{E3FCCDBB-0132-4600-A387-61EAC0DC42B3}"/>
    <hyperlink ref="K49" r:id="rId99" xr:uid="{45A93BF6-FFBC-4D34-B7B6-2B87511BEF81}"/>
    <hyperlink ref="L49" r:id="rId100" xr:uid="{F1839433-AFE3-4550-B504-B91C011D1E39}"/>
    <hyperlink ref="L50" r:id="rId101" xr:uid="{B0F22BA2-BCA1-4CC5-9B90-4F6E0CBF38A8}"/>
    <hyperlink ref="K45" r:id="rId102" xr:uid="{634789A7-FE53-49EB-87FD-CFEE04F76392}"/>
    <hyperlink ref="K44" r:id="rId103" xr:uid="{058254C6-EDED-4475-88B9-716A0DEA83CB}"/>
    <hyperlink ref="K43" r:id="rId104" xr:uid="{F37014BF-7C8F-4A28-8DFE-356BCE1B72C2}"/>
    <hyperlink ref="L43" r:id="rId105" xr:uid="{01E5623B-1369-42C8-B3D2-FD92739804B4}"/>
    <hyperlink ref="L40:L41" r:id="rId106" display="SHEET" xr:uid="{A338BA46-86DA-4650-B9B1-B2A667E0F3E2}"/>
    <hyperlink ref="K11" r:id="rId107" xr:uid="{D97E323B-8056-4AF4-8A84-F91CDCB24A2B}"/>
    <hyperlink ref="L11" r:id="rId108" xr:uid="{B0661702-4C5A-4BF9-A9F9-9743F172263B}"/>
    <hyperlink ref="K15" r:id="rId109" xr:uid="{1BAB9F3B-D074-4C3A-9DC3-274FF91B1D6F}"/>
    <hyperlink ref="K17" r:id="rId110" xr:uid="{EEC48B0C-A4E2-4078-B1C0-D68E0E6D7AAC}"/>
    <hyperlink ref="L15" r:id="rId111" xr:uid="{456FA97D-F906-4E0D-AF31-3ADA0AA763F9}"/>
    <hyperlink ref="L17" r:id="rId112" xr:uid="{077D6347-95EA-494B-A79F-EB5CB57B4A9D}"/>
    <hyperlink ref="K22" r:id="rId113" xr:uid="{0DDACA96-9C98-4F71-BF23-2F958064E78F}"/>
    <hyperlink ref="K23" r:id="rId114" xr:uid="{A477E268-FDF5-4A06-8356-D97A7962AF35}"/>
    <hyperlink ref="L22" r:id="rId115" xr:uid="{E3852064-05AD-4799-BCA9-3D1F56CC046E}"/>
    <hyperlink ref="L95" r:id="rId116" xr:uid="{7594A8FF-20D3-43EE-9EEC-02C917108B92}"/>
    <hyperlink ref="K111" r:id="rId117" xr:uid="{C7756945-C5FD-4B3D-AEFD-A47D1FF04050}"/>
    <hyperlink ref="K34" r:id="rId118" xr:uid="{746DDE76-F24A-42EF-8134-C2D7A67B0CF1}"/>
    <hyperlink ref="K35" r:id="rId119" xr:uid="{EF6A54D7-B42F-4C5F-BA23-15FC5D916D64}"/>
    <hyperlink ref="K24" r:id="rId120" xr:uid="{E5855803-5E39-4DBA-B82A-1D01CEDA803D}"/>
    <hyperlink ref="K25" r:id="rId121" xr:uid="{4EC829A8-F979-4352-BE2D-09B51E3051D3}"/>
    <hyperlink ref="K26" r:id="rId122" xr:uid="{2D2BA57E-943C-4085-AB67-9E5E493AA4BF}"/>
    <hyperlink ref="K80" r:id="rId123" xr:uid="{E27799EC-D327-44D4-9899-221DC4AA81C6}"/>
    <hyperlink ref="K58" r:id="rId124" xr:uid="{8CEE5144-FEE6-4628-81D0-B77D75ECC691}"/>
    <hyperlink ref="K30" r:id="rId125" xr:uid="{4239F52E-CB64-4E9E-A9CC-3013D17F5ABE}"/>
    <hyperlink ref="K47" r:id="rId126" xr:uid="{F90B39E2-B3D1-49EF-80E7-7CB87D988D26}"/>
    <hyperlink ref="K46" r:id="rId127" xr:uid="{D3DE5915-77E7-49FE-B492-AEA480ED4042}"/>
    <hyperlink ref="K27" r:id="rId128" xr:uid="{D812E465-D164-400A-9160-B609996CA0C3}"/>
    <hyperlink ref="K21" r:id="rId129" xr:uid="{942D2181-E648-4F08-A90A-13778FB68E61}"/>
    <hyperlink ref="K20" r:id="rId130" xr:uid="{F1E032D9-F129-448A-9C09-FC884C1AC370}"/>
    <hyperlink ref="K28" r:id="rId131" xr:uid="{40CE2D09-D1C9-4D72-953B-0BD806BFB5A7}"/>
    <hyperlink ref="K14" r:id="rId132" xr:uid="{DDE04EBF-BF12-4BEA-A1F7-070DF7A59197}"/>
    <hyperlink ref="K48" r:id="rId133" xr:uid="{E2BBA4B2-6957-4527-8774-DF372A60EE1D}"/>
    <hyperlink ref="L48" r:id="rId134" xr:uid="{8AFD0F55-2450-40A3-A08D-FC5358D56CE4}"/>
    <hyperlink ref="K87" r:id="rId135" xr:uid="{C54DB132-D64E-4379-9229-5A47163CD640}"/>
    <hyperlink ref="K86" r:id="rId136" xr:uid="{9A5EE6E3-509A-4894-AC83-793D21CBA2F5}"/>
    <hyperlink ref="K85" r:id="rId137" xr:uid="{FED2475A-E05F-439B-B67B-995A26077481}"/>
    <hyperlink ref="K84" r:id="rId138" xr:uid="{739014B4-D8BE-47E2-9F8D-C147E2CC2E19}"/>
    <hyperlink ref="K83" r:id="rId139" xr:uid="{DEB9D6E7-B662-49A5-ADD5-5C4FA788158C}"/>
    <hyperlink ref="K82" r:id="rId140" xr:uid="{B44EB7AF-0385-43C7-A653-7A967DBCF7A8}"/>
    <hyperlink ref="K81" r:id="rId141" xr:uid="{48D989DA-1CB7-497F-9A02-6CD751A9CBF2}"/>
    <hyperlink ref="K56" r:id="rId142" xr:uid="{51661F65-A2EE-4D95-BB26-5B8905A8ABA0}"/>
    <hyperlink ref="K55" r:id="rId143" xr:uid="{99AA546A-CD1B-4AD2-9760-FC0646F79885}"/>
    <hyperlink ref="K98" r:id="rId144" xr:uid="{ED160DA8-158E-44C6-96F4-5475A7C4D2F4}"/>
    <hyperlink ref="K87:K93" r:id="rId145" display="PHOTO" xr:uid="{E14A2746-C50C-4EDB-92CA-93C0C0471CFA}"/>
    <hyperlink ref="K107:K113" r:id="rId146" display="PHOTO" xr:uid="{4F29BF9B-F9EE-43DF-AC0D-1D06A7FC5912}"/>
    <hyperlink ref="K32" r:id="rId147" xr:uid="{2D8C5F2A-57D6-4A49-ADF7-123C7FA94C2B}"/>
    <hyperlink ref="L32" r:id="rId148" xr:uid="{02AEDB2F-ECF3-4B5A-9666-C8B8A7EC1701}"/>
    <hyperlink ref="K91" r:id="rId149" xr:uid="{CA4B7E57-4F97-431C-A899-73852A6F8B2D}"/>
    <hyperlink ref="L120" r:id="rId150" xr:uid="{9DA04490-B2FE-4D54-8D65-57D2CEA02509}"/>
    <hyperlink ref="L122" r:id="rId151" xr:uid="{49CB2CD6-CBD5-4E84-B637-E74B9CB7E5F1}"/>
    <hyperlink ref="L53" r:id="rId152" xr:uid="{2864A111-B0E5-40A2-934E-5A3CD783C7BA}"/>
    <hyperlink ref="L54" r:id="rId153" xr:uid="{34D52A33-6D1E-4B14-B646-C41482CF28D8}"/>
    <hyperlink ref="L74" r:id="rId154" xr:uid="{E3F40590-07C1-4B70-8EB8-223F619AF5DE}"/>
    <hyperlink ref="K101" r:id="rId155" xr:uid="{903DA0D9-A648-4296-A571-AA9A7EA7804C}"/>
    <hyperlink ref="L101" r:id="rId156" xr:uid="{6265DA4D-97C3-44C3-8BD1-734C4BBD423F}"/>
    <hyperlink ref="K133" r:id="rId157" xr:uid="{38B87422-D470-4DF0-8447-2CB00B214DCC}"/>
    <hyperlink ref="L133" r:id="rId158" xr:uid="{0A92DD8A-EEF0-4200-9179-F6E172C69AF6}"/>
    <hyperlink ref="K134" r:id="rId159" xr:uid="{D84D673A-997E-4135-931B-B50A0F274C16}"/>
    <hyperlink ref="L134" r:id="rId160" xr:uid="{04B8A3D3-F640-4F08-AAFF-43F314986961}"/>
    <hyperlink ref="J16" r:id="rId161" display="PHOTO" xr:uid="{ADED7F4D-F4FD-49A5-89F0-7326BF0E5FDC}"/>
    <hyperlink ref="K16" r:id="rId162" display="SHEET" xr:uid="{F42C7E39-FAB8-4090-98DC-97E37151EAAC}"/>
    <hyperlink ref="L36" r:id="rId163" xr:uid="{DC2A81D7-B720-4821-8A5F-7D36121DDA4B}"/>
    <hyperlink ref="K36" r:id="rId164" xr:uid="{1F40640D-EF10-4029-B10B-E1DAA97C9A69}"/>
    <hyperlink ref="K63" r:id="rId165" xr:uid="{6BFEB25D-8C25-43A8-97F4-5DC06D5E8CB2}"/>
    <hyperlink ref="L63" r:id="rId166" xr:uid="{80126579-0A35-43C1-8A85-BC799EB8D921}"/>
    <hyperlink ref="K123" r:id="rId167" xr:uid="{856D7F6D-1C05-4207-8940-C900947E56FD}"/>
    <hyperlink ref="K124" r:id="rId168" xr:uid="{F7CA738D-EA36-4709-BBF6-798B6A2F4342}"/>
  </hyperlinks>
  <pageMargins left="0.7" right="0.7" top="0.75" bottom="0.75" header="0.3" footer="0.3"/>
  <pageSetup orientation="portrait" r:id="rId169"/>
  <legacyDrawing r:id="rId17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D9A2-2154-4F37-A1FA-C22E3BA2DB4D}">
  <sheetPr published="0">
    <tabColor theme="8" tint="0.39997558519241921"/>
  </sheetPr>
  <dimension ref="A1:BA137"/>
  <sheetViews>
    <sheetView zoomScale="85" zoomScaleNormal="85" workbookViewId="0">
      <pane xSplit="2" ySplit="2" topLeftCell="C3" activePane="bottomRight" state="frozenSplit"/>
      <selection pane="topRight" activeCell="C1" sqref="C1"/>
      <selection pane="bottomLeft" activeCell="A17" sqref="A17"/>
      <selection pane="bottomRight" activeCell="A2" sqref="A2"/>
    </sheetView>
  </sheetViews>
  <sheetFormatPr defaultRowHeight="15"/>
  <cols>
    <col min="1" max="1" width="26" customWidth="1"/>
    <col min="2" max="2" width="82.85546875" customWidth="1"/>
    <col min="3" max="3" width="113.5703125" style="7" customWidth="1"/>
    <col min="4" max="4" width="113.140625" style="18" customWidth="1"/>
    <col min="5" max="6" width="4" style="135" customWidth="1"/>
    <col min="7" max="7" width="4" style="17" bestFit="1" customWidth="1"/>
    <col min="8" max="8" width="5.28515625" style="17" bestFit="1" customWidth="1"/>
    <col min="9" max="9" width="4" style="17" bestFit="1" customWidth="1"/>
    <col min="10" max="10" width="6.7109375" style="17" bestFit="1" customWidth="1"/>
    <col min="11" max="11" width="6.7109375" style="17" customWidth="1"/>
    <col min="12" max="12" width="11.140625" style="133" customWidth="1"/>
    <col min="13" max="13" width="6.5703125" style="133" bestFit="1" customWidth="1"/>
    <col min="14" max="14" width="4.7109375" style="133" customWidth="1"/>
    <col min="15" max="15" width="12" style="18" bestFit="1" customWidth="1"/>
    <col min="16" max="16" width="11.85546875" style="20" bestFit="1" customWidth="1"/>
    <col min="17" max="17" width="11.5703125" style="69" bestFit="1" customWidth="1"/>
    <col min="18" max="18" width="8.5703125" style="18" bestFit="1" customWidth="1"/>
    <col min="19" max="19" width="9.5703125" bestFit="1" customWidth="1"/>
    <col min="20" max="20" width="12" style="142" bestFit="1" customWidth="1"/>
    <col min="21" max="21" width="3.5703125" customWidth="1"/>
  </cols>
  <sheetData>
    <row r="1" spans="1:21" s="2" customFormat="1" ht="45">
      <c r="A1" s="346" t="s">
        <v>2229</v>
      </c>
      <c r="B1" s="347"/>
      <c r="C1" s="347"/>
      <c r="D1" s="348" t="s">
        <v>1039</v>
      </c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9">
        <v>125</v>
      </c>
      <c r="P1" s="54"/>
      <c r="Q1" s="68"/>
      <c r="R1" s="229"/>
      <c r="S1" s="349" t="s">
        <v>213</v>
      </c>
      <c r="T1" s="350"/>
    </row>
    <row r="2" spans="1:21" s="12" customFormat="1" ht="31.5">
      <c r="A2" s="10" t="s">
        <v>140</v>
      </c>
      <c r="B2" s="10" t="s">
        <v>141</v>
      </c>
      <c r="C2" s="10" t="s">
        <v>142</v>
      </c>
      <c r="D2" s="10" t="s">
        <v>143</v>
      </c>
      <c r="E2" s="134" t="s">
        <v>450</v>
      </c>
      <c r="F2" s="134" t="s">
        <v>451</v>
      </c>
      <c r="G2" s="4" t="s">
        <v>452</v>
      </c>
      <c r="H2" s="4" t="s">
        <v>455</v>
      </c>
      <c r="I2" s="4" t="s">
        <v>453</v>
      </c>
      <c r="J2" s="4" t="s">
        <v>1581</v>
      </c>
      <c r="K2" s="4" t="s">
        <v>1863</v>
      </c>
      <c r="L2" s="141" t="s">
        <v>1859</v>
      </c>
      <c r="M2" s="351" t="s">
        <v>1860</v>
      </c>
      <c r="N2" s="352"/>
      <c r="O2" s="10" t="s">
        <v>144</v>
      </c>
      <c r="P2" s="219" t="s">
        <v>145</v>
      </c>
      <c r="Q2" s="261" t="s">
        <v>146</v>
      </c>
      <c r="R2" s="10" t="s">
        <v>147</v>
      </c>
      <c r="S2" s="202" t="s">
        <v>148</v>
      </c>
      <c r="T2" s="219" t="s">
        <v>149</v>
      </c>
    </row>
    <row r="3" spans="1:21" s="14" customFormat="1" ht="12.75">
      <c r="A3" s="284" t="s">
        <v>521</v>
      </c>
      <c r="B3" s="151" t="s">
        <v>555</v>
      </c>
      <c r="C3" s="156" t="s">
        <v>967</v>
      </c>
      <c r="D3" s="174" t="s">
        <v>855</v>
      </c>
      <c r="E3" s="146" t="s">
        <v>454</v>
      </c>
      <c r="F3" s="146" t="s">
        <v>454</v>
      </c>
      <c r="G3" s="147"/>
      <c r="H3" s="147"/>
      <c r="I3" s="147"/>
      <c r="J3" s="147"/>
      <c r="K3" s="147"/>
      <c r="L3" s="148" t="s">
        <v>768</v>
      </c>
      <c r="M3" s="148" t="s">
        <v>1684</v>
      </c>
      <c r="N3" s="148"/>
      <c r="O3" s="149" t="s">
        <v>10</v>
      </c>
      <c r="P3" s="150">
        <v>463.77</v>
      </c>
      <c r="Q3" s="150">
        <v>772.95</v>
      </c>
      <c r="R3" s="188">
        <v>0.5</v>
      </c>
      <c r="S3" s="199">
        <f t="shared" ref="S3:S66" si="0">$O$1</f>
        <v>125</v>
      </c>
      <c r="T3" s="152">
        <f t="shared" ref="T3:T66" si="1">R3*S3+Q3</f>
        <v>835.45</v>
      </c>
    </row>
    <row r="4" spans="1:21" s="14" customFormat="1" ht="12.75">
      <c r="A4" s="162" t="s">
        <v>871</v>
      </c>
      <c r="B4" s="144" t="s">
        <v>1009</v>
      </c>
      <c r="C4" s="151" t="s">
        <v>966</v>
      </c>
      <c r="D4" s="174" t="s">
        <v>2114</v>
      </c>
      <c r="E4" s="146" t="s">
        <v>454</v>
      </c>
      <c r="F4" s="146" t="s">
        <v>454</v>
      </c>
      <c r="G4" s="147" t="s">
        <v>454</v>
      </c>
      <c r="H4" s="147" t="s">
        <v>454</v>
      </c>
      <c r="I4" s="147" t="s">
        <v>454</v>
      </c>
      <c r="J4" s="147" t="s">
        <v>454</v>
      </c>
      <c r="K4" s="147" t="s">
        <v>454</v>
      </c>
      <c r="L4" s="148" t="s">
        <v>768</v>
      </c>
      <c r="M4" s="148"/>
      <c r="N4" s="148"/>
      <c r="O4" s="149" t="s">
        <v>59</v>
      </c>
      <c r="P4" s="150">
        <v>1750</v>
      </c>
      <c r="Q4" s="150">
        <v>2295.9499999999998</v>
      </c>
      <c r="R4" s="188">
        <v>1.5</v>
      </c>
      <c r="S4" s="199">
        <f t="shared" si="0"/>
        <v>125</v>
      </c>
      <c r="T4" s="152">
        <f t="shared" si="1"/>
        <v>2483.4499999999998</v>
      </c>
    </row>
    <row r="5" spans="1:21" s="7" customFormat="1" ht="12.75">
      <c r="A5" s="285" t="s">
        <v>1571</v>
      </c>
      <c r="B5" s="244" t="s">
        <v>1845</v>
      </c>
      <c r="C5" s="286" t="s">
        <v>1846</v>
      </c>
      <c r="D5" s="174" t="s">
        <v>1828</v>
      </c>
      <c r="E5" s="146" t="s">
        <v>454</v>
      </c>
      <c r="F5" s="146" t="s">
        <v>454</v>
      </c>
      <c r="G5" s="147" t="s">
        <v>454</v>
      </c>
      <c r="H5" s="147" t="s">
        <v>454</v>
      </c>
      <c r="I5" s="147" t="s">
        <v>454</v>
      </c>
      <c r="J5" s="147" t="s">
        <v>454</v>
      </c>
      <c r="K5" s="147" t="s">
        <v>454</v>
      </c>
      <c r="L5" s="148"/>
      <c r="M5" s="148" t="s">
        <v>1684</v>
      </c>
      <c r="N5" s="148"/>
      <c r="O5" s="149" t="s">
        <v>0</v>
      </c>
      <c r="P5" s="150">
        <v>127.17</v>
      </c>
      <c r="Q5" s="150">
        <v>211.95</v>
      </c>
      <c r="R5" s="188">
        <v>0</v>
      </c>
      <c r="S5" s="199">
        <f t="shared" si="0"/>
        <v>125</v>
      </c>
      <c r="T5" s="152">
        <f t="shared" si="1"/>
        <v>211.95</v>
      </c>
      <c r="U5" s="14"/>
    </row>
    <row r="6" spans="1:21" s="7" customFormat="1" ht="12.75">
      <c r="A6" s="250" t="s">
        <v>523</v>
      </c>
      <c r="B6" s="151" t="s">
        <v>797</v>
      </c>
      <c r="C6" s="156" t="s">
        <v>968</v>
      </c>
      <c r="D6" s="174" t="s">
        <v>856</v>
      </c>
      <c r="E6" s="146" t="s">
        <v>454</v>
      </c>
      <c r="F6" s="146" t="s">
        <v>454</v>
      </c>
      <c r="G6" s="147" t="s">
        <v>454</v>
      </c>
      <c r="H6" s="147" t="s">
        <v>454</v>
      </c>
      <c r="I6" s="147" t="s">
        <v>454</v>
      </c>
      <c r="J6" s="147" t="s">
        <v>454</v>
      </c>
      <c r="K6" s="147" t="s">
        <v>454</v>
      </c>
      <c r="L6" s="148" t="s">
        <v>768</v>
      </c>
      <c r="M6" s="148"/>
      <c r="N6" s="148"/>
      <c r="O6" s="149" t="s">
        <v>4</v>
      </c>
      <c r="P6" s="150">
        <v>232.17</v>
      </c>
      <c r="Q6" s="150">
        <v>386.95</v>
      </c>
      <c r="R6" s="188">
        <v>0.4</v>
      </c>
      <c r="S6" s="199">
        <f t="shared" si="0"/>
        <v>125</v>
      </c>
      <c r="T6" s="152">
        <f t="shared" si="1"/>
        <v>436.95</v>
      </c>
      <c r="U6" s="14"/>
    </row>
    <row r="7" spans="1:21" s="7" customFormat="1" ht="12.75">
      <c r="A7" s="284" t="s">
        <v>480</v>
      </c>
      <c r="B7" s="151" t="s">
        <v>1841</v>
      </c>
      <c r="C7" s="156" t="s">
        <v>1868</v>
      </c>
      <c r="D7" s="174"/>
      <c r="E7" s="146" t="s">
        <v>454</v>
      </c>
      <c r="F7" s="146" t="s">
        <v>454</v>
      </c>
      <c r="G7" s="147" t="s">
        <v>454</v>
      </c>
      <c r="H7" s="147" t="s">
        <v>454</v>
      </c>
      <c r="I7" s="147" t="s">
        <v>454</v>
      </c>
      <c r="J7" s="147" t="s">
        <v>454</v>
      </c>
      <c r="K7" s="147" t="s">
        <v>454</v>
      </c>
      <c r="L7" s="148" t="s">
        <v>768</v>
      </c>
      <c r="M7" s="148" t="s">
        <v>1684</v>
      </c>
      <c r="N7" s="148"/>
      <c r="O7" s="149" t="s">
        <v>10</v>
      </c>
      <c r="P7" s="150">
        <v>203.37</v>
      </c>
      <c r="Q7" s="150">
        <v>338.95</v>
      </c>
      <c r="R7" s="188">
        <v>0.3</v>
      </c>
      <c r="S7" s="199">
        <f t="shared" si="0"/>
        <v>125</v>
      </c>
      <c r="T7" s="152">
        <f t="shared" si="1"/>
        <v>376.45</v>
      </c>
      <c r="U7" s="14"/>
    </row>
    <row r="8" spans="1:21" s="7" customFormat="1" ht="12.75">
      <c r="A8" s="284" t="s">
        <v>1839</v>
      </c>
      <c r="B8" s="151" t="s">
        <v>1840</v>
      </c>
      <c r="C8" s="156" t="s">
        <v>1869</v>
      </c>
      <c r="D8" s="174"/>
      <c r="E8" s="146" t="s">
        <v>454</v>
      </c>
      <c r="F8" s="146" t="s">
        <v>454</v>
      </c>
      <c r="G8" s="147" t="s">
        <v>454</v>
      </c>
      <c r="H8" s="147" t="s">
        <v>454</v>
      </c>
      <c r="I8" s="147" t="s">
        <v>454</v>
      </c>
      <c r="J8" s="147" t="s">
        <v>454</v>
      </c>
      <c r="K8" s="147" t="s">
        <v>454</v>
      </c>
      <c r="L8" s="167" t="s">
        <v>768</v>
      </c>
      <c r="M8" s="167" t="s">
        <v>1684</v>
      </c>
      <c r="N8" s="167"/>
      <c r="O8" s="149" t="s">
        <v>10</v>
      </c>
      <c r="P8" s="169">
        <v>193.5</v>
      </c>
      <c r="Q8" s="169">
        <v>322.95</v>
      </c>
      <c r="R8" s="188">
        <v>0.3</v>
      </c>
      <c r="S8" s="199">
        <f t="shared" si="0"/>
        <v>125</v>
      </c>
      <c r="T8" s="153">
        <f t="shared" si="1"/>
        <v>360.45</v>
      </c>
      <c r="U8" s="14"/>
    </row>
    <row r="9" spans="1:21" s="7" customFormat="1" ht="12.75">
      <c r="A9" s="284" t="s">
        <v>1621</v>
      </c>
      <c r="B9" s="151" t="s">
        <v>118</v>
      </c>
      <c r="C9" s="156" t="s">
        <v>389</v>
      </c>
      <c r="D9" s="174" t="s">
        <v>2170</v>
      </c>
      <c r="E9" s="146" t="s">
        <v>454</v>
      </c>
      <c r="F9" s="146" t="s">
        <v>454</v>
      </c>
      <c r="G9" s="147" t="s">
        <v>454</v>
      </c>
      <c r="H9" s="147" t="s">
        <v>454</v>
      </c>
      <c r="I9" s="147" t="s">
        <v>454</v>
      </c>
      <c r="J9" s="147" t="s">
        <v>454</v>
      </c>
      <c r="K9" s="147" t="s">
        <v>454</v>
      </c>
      <c r="L9" s="148"/>
      <c r="M9" s="148" t="s">
        <v>1684</v>
      </c>
      <c r="N9" s="148"/>
      <c r="O9" s="149" t="s">
        <v>16</v>
      </c>
      <c r="P9" s="150">
        <v>84.57</v>
      </c>
      <c r="Q9" s="150">
        <v>140.94999999999999</v>
      </c>
      <c r="R9" s="188">
        <v>0.3</v>
      </c>
      <c r="S9" s="199">
        <f t="shared" si="0"/>
        <v>125</v>
      </c>
      <c r="T9" s="152">
        <f t="shared" si="1"/>
        <v>178.45</v>
      </c>
      <c r="U9" s="14"/>
    </row>
    <row r="10" spans="1:21" s="7" customFormat="1" ht="12.75">
      <c r="A10" s="284" t="s">
        <v>1619</v>
      </c>
      <c r="B10" s="151" t="s">
        <v>1847</v>
      </c>
      <c r="C10" s="156" t="s">
        <v>1848</v>
      </c>
      <c r="D10" s="174" t="s">
        <v>1620</v>
      </c>
      <c r="E10" s="146" t="s">
        <v>454</v>
      </c>
      <c r="F10" s="146" t="s">
        <v>454</v>
      </c>
      <c r="G10" s="147" t="s">
        <v>454</v>
      </c>
      <c r="H10" s="147" t="s">
        <v>454</v>
      </c>
      <c r="I10" s="147" t="s">
        <v>454</v>
      </c>
      <c r="J10" s="147" t="s">
        <v>454</v>
      </c>
      <c r="K10" s="147" t="s">
        <v>454</v>
      </c>
      <c r="L10" s="148"/>
      <c r="M10" s="148" t="s">
        <v>1684</v>
      </c>
      <c r="N10" s="148"/>
      <c r="O10" s="149" t="s">
        <v>16</v>
      </c>
      <c r="P10" s="150">
        <v>107.97</v>
      </c>
      <c r="Q10" s="150">
        <v>179.95</v>
      </c>
      <c r="R10" s="188">
        <v>0.3</v>
      </c>
      <c r="S10" s="199">
        <f t="shared" si="0"/>
        <v>125</v>
      </c>
      <c r="T10" s="152">
        <f t="shared" si="1"/>
        <v>217.45</v>
      </c>
      <c r="U10" s="14"/>
    </row>
    <row r="11" spans="1:21" s="7" customFormat="1" ht="12.75">
      <c r="A11" s="284" t="s">
        <v>1578</v>
      </c>
      <c r="B11" s="151" t="s">
        <v>539</v>
      </c>
      <c r="C11" s="156" t="s">
        <v>94</v>
      </c>
      <c r="D11" s="174" t="s">
        <v>128</v>
      </c>
      <c r="E11" s="146" t="s">
        <v>454</v>
      </c>
      <c r="F11" s="146" t="s">
        <v>454</v>
      </c>
      <c r="G11" s="147" t="s">
        <v>454</v>
      </c>
      <c r="H11" s="147" t="s">
        <v>454</v>
      </c>
      <c r="I11" s="147" t="s">
        <v>454</v>
      </c>
      <c r="J11" s="147" t="s">
        <v>454</v>
      </c>
      <c r="K11" s="147" t="s">
        <v>454</v>
      </c>
      <c r="L11" s="148"/>
      <c r="M11" s="148" t="s">
        <v>1684</v>
      </c>
      <c r="N11" s="148"/>
      <c r="O11" s="149" t="s">
        <v>16</v>
      </c>
      <c r="P11" s="150">
        <v>92.97</v>
      </c>
      <c r="Q11" s="150">
        <v>154.94999999999999</v>
      </c>
      <c r="R11" s="188">
        <v>0.6</v>
      </c>
      <c r="S11" s="199">
        <f t="shared" si="0"/>
        <v>125</v>
      </c>
      <c r="T11" s="152">
        <f t="shared" si="1"/>
        <v>229.95</v>
      </c>
      <c r="U11" s="14"/>
    </row>
    <row r="12" spans="1:21" s="7" customFormat="1" ht="12.75">
      <c r="A12" s="284" t="s">
        <v>527</v>
      </c>
      <c r="B12" s="151" t="s">
        <v>795</v>
      </c>
      <c r="C12" s="151" t="s">
        <v>794</v>
      </c>
      <c r="D12" s="174" t="s">
        <v>857</v>
      </c>
      <c r="E12" s="146" t="s">
        <v>454</v>
      </c>
      <c r="F12" s="146" t="s">
        <v>454</v>
      </c>
      <c r="G12" s="147" t="s">
        <v>454</v>
      </c>
      <c r="H12" s="147" t="s">
        <v>454</v>
      </c>
      <c r="I12" s="147" t="s">
        <v>454</v>
      </c>
      <c r="J12" s="147" t="s">
        <v>454</v>
      </c>
      <c r="K12" s="147" t="s">
        <v>454</v>
      </c>
      <c r="L12" s="148" t="s">
        <v>768</v>
      </c>
      <c r="M12" s="148" t="s">
        <v>1684</v>
      </c>
      <c r="N12" s="148"/>
      <c r="O12" s="149" t="s">
        <v>16</v>
      </c>
      <c r="P12" s="150">
        <v>363.57</v>
      </c>
      <c r="Q12" s="150">
        <v>605.95000000000005</v>
      </c>
      <c r="R12" s="188">
        <v>0.5</v>
      </c>
      <c r="S12" s="199">
        <f t="shared" si="0"/>
        <v>125</v>
      </c>
      <c r="T12" s="152">
        <f t="shared" si="1"/>
        <v>668.45</v>
      </c>
      <c r="U12" s="14"/>
    </row>
    <row r="13" spans="1:21" s="7" customFormat="1" ht="12.75">
      <c r="A13" s="284" t="s">
        <v>1681</v>
      </c>
      <c r="B13" s="151" t="s">
        <v>1682</v>
      </c>
      <c r="C13" s="151" t="s">
        <v>1683</v>
      </c>
      <c r="D13" s="174"/>
      <c r="E13" s="146" t="s">
        <v>454</v>
      </c>
      <c r="F13" s="146" t="s">
        <v>454</v>
      </c>
      <c r="G13" s="147" t="s">
        <v>454</v>
      </c>
      <c r="H13" s="147" t="s">
        <v>454</v>
      </c>
      <c r="I13" s="147" t="s">
        <v>454</v>
      </c>
      <c r="J13" s="147" t="s">
        <v>454</v>
      </c>
      <c r="K13" s="147" t="s">
        <v>454</v>
      </c>
      <c r="L13" s="148" t="s">
        <v>768</v>
      </c>
      <c r="M13" s="148" t="s">
        <v>1684</v>
      </c>
      <c r="N13" s="148"/>
      <c r="O13" s="149" t="s">
        <v>0</v>
      </c>
      <c r="P13" s="150">
        <v>56.69</v>
      </c>
      <c r="Q13" s="150">
        <v>94.95</v>
      </c>
      <c r="R13" s="188">
        <v>0</v>
      </c>
      <c r="S13" s="199">
        <f t="shared" si="0"/>
        <v>125</v>
      </c>
      <c r="T13" s="152">
        <f t="shared" si="1"/>
        <v>94.95</v>
      </c>
      <c r="U13" s="14"/>
    </row>
    <row r="14" spans="1:21" s="7" customFormat="1" ht="12.75">
      <c r="A14" s="226" t="s">
        <v>1575</v>
      </c>
      <c r="B14" s="151" t="s">
        <v>1576</v>
      </c>
      <c r="C14" s="156" t="s">
        <v>2175</v>
      </c>
      <c r="D14" s="174" t="s">
        <v>732</v>
      </c>
      <c r="E14" s="146" t="s">
        <v>454</v>
      </c>
      <c r="F14" s="146" t="s">
        <v>454</v>
      </c>
      <c r="G14" s="147" t="s">
        <v>454</v>
      </c>
      <c r="H14" s="147" t="s">
        <v>454</v>
      </c>
      <c r="I14" s="147" t="s">
        <v>454</v>
      </c>
      <c r="J14" s="147" t="s">
        <v>454</v>
      </c>
      <c r="K14" s="147" t="s">
        <v>454</v>
      </c>
      <c r="L14" s="148" t="s">
        <v>768</v>
      </c>
      <c r="M14" s="148" t="s">
        <v>1684</v>
      </c>
      <c r="N14" s="148"/>
      <c r="O14" s="149" t="s">
        <v>0</v>
      </c>
      <c r="P14" s="150">
        <v>137.37</v>
      </c>
      <c r="Q14" s="150">
        <v>228.95</v>
      </c>
      <c r="R14" s="188">
        <v>0.2</v>
      </c>
      <c r="S14" s="199">
        <f t="shared" si="0"/>
        <v>125</v>
      </c>
      <c r="T14" s="152">
        <f t="shared" si="1"/>
        <v>253.95</v>
      </c>
      <c r="U14" s="14"/>
    </row>
    <row r="15" spans="1:21" s="7" customFormat="1" ht="12.75">
      <c r="A15" s="250" t="s">
        <v>535</v>
      </c>
      <c r="B15" s="151" t="s">
        <v>542</v>
      </c>
      <c r="C15" s="156" t="s">
        <v>970</v>
      </c>
      <c r="D15" s="174" t="s">
        <v>128</v>
      </c>
      <c r="E15" s="146" t="s">
        <v>454</v>
      </c>
      <c r="F15" s="146" t="s">
        <v>454</v>
      </c>
      <c r="G15" s="147" t="s">
        <v>454</v>
      </c>
      <c r="H15" s="147" t="s">
        <v>454</v>
      </c>
      <c r="I15" s="147" t="s">
        <v>454</v>
      </c>
      <c r="J15" s="147" t="s">
        <v>454</v>
      </c>
      <c r="K15" s="147" t="s">
        <v>454</v>
      </c>
      <c r="L15" s="148" t="s">
        <v>768</v>
      </c>
      <c r="M15" s="148" t="s">
        <v>1684</v>
      </c>
      <c r="N15" s="148"/>
      <c r="O15" s="149" t="s">
        <v>59</v>
      </c>
      <c r="P15" s="150">
        <v>265.77</v>
      </c>
      <c r="Q15" s="150">
        <v>442.95</v>
      </c>
      <c r="R15" s="188">
        <v>1</v>
      </c>
      <c r="S15" s="199">
        <f t="shared" si="0"/>
        <v>125</v>
      </c>
      <c r="T15" s="152">
        <f t="shared" si="1"/>
        <v>567.95000000000005</v>
      </c>
      <c r="U15" s="14"/>
    </row>
    <row r="16" spans="1:21" s="7" customFormat="1" ht="12.75">
      <c r="A16" s="284" t="s">
        <v>1758</v>
      </c>
      <c r="B16" s="151" t="s">
        <v>1755</v>
      </c>
      <c r="C16" s="156" t="s">
        <v>2199</v>
      </c>
      <c r="D16" s="174" t="s">
        <v>1759</v>
      </c>
      <c r="E16" s="146" t="s">
        <v>454</v>
      </c>
      <c r="F16" s="146" t="s">
        <v>454</v>
      </c>
      <c r="G16" s="147" t="s">
        <v>454</v>
      </c>
      <c r="H16" s="147" t="s">
        <v>454</v>
      </c>
      <c r="I16" s="147" t="s">
        <v>454</v>
      </c>
      <c r="J16" s="147" t="s">
        <v>454</v>
      </c>
      <c r="K16" s="147" t="s">
        <v>454</v>
      </c>
      <c r="L16" s="148" t="s">
        <v>768</v>
      </c>
      <c r="M16" s="148" t="s">
        <v>1684</v>
      </c>
      <c r="N16" s="148"/>
      <c r="O16" s="149" t="s">
        <v>59</v>
      </c>
      <c r="P16" s="150">
        <v>225</v>
      </c>
      <c r="Q16" s="150">
        <v>319.95</v>
      </c>
      <c r="R16" s="188">
        <v>0.7</v>
      </c>
      <c r="S16" s="199">
        <f t="shared" si="0"/>
        <v>125</v>
      </c>
      <c r="T16" s="152">
        <f t="shared" si="1"/>
        <v>407.45</v>
      </c>
      <c r="U16" s="14"/>
    </row>
    <row r="17" spans="1:53" s="7" customFormat="1" ht="12.75">
      <c r="A17" s="170" t="s">
        <v>2187</v>
      </c>
      <c r="B17" s="171" t="s">
        <v>2213</v>
      </c>
      <c r="C17" s="209" t="s">
        <v>2201</v>
      </c>
      <c r="D17" s="182" t="s">
        <v>2188</v>
      </c>
      <c r="E17" s="180" t="s">
        <v>454</v>
      </c>
      <c r="F17" s="180" t="s">
        <v>454</v>
      </c>
      <c r="G17" s="180" t="s">
        <v>454</v>
      </c>
      <c r="H17" s="180" t="s">
        <v>454</v>
      </c>
      <c r="I17" s="180" t="s">
        <v>454</v>
      </c>
      <c r="J17" s="180" t="s">
        <v>454</v>
      </c>
      <c r="K17" s="180" t="s">
        <v>454</v>
      </c>
      <c r="L17" s="180"/>
      <c r="M17" s="180"/>
      <c r="N17" s="180"/>
      <c r="O17" s="182" t="s">
        <v>59</v>
      </c>
      <c r="P17" s="211">
        <v>489.99</v>
      </c>
      <c r="Q17" s="211">
        <v>699.95</v>
      </c>
      <c r="R17" s="212">
        <v>0.7</v>
      </c>
      <c r="S17" s="211">
        <f t="shared" si="0"/>
        <v>125</v>
      </c>
      <c r="T17" s="213">
        <f t="shared" si="1"/>
        <v>787.45</v>
      </c>
    </row>
    <row r="18" spans="1:53" s="201" customFormat="1" ht="12.75">
      <c r="A18" s="284" t="s">
        <v>1757</v>
      </c>
      <c r="B18" s="151" t="s">
        <v>1756</v>
      </c>
      <c r="C18" s="156" t="s">
        <v>2200</v>
      </c>
      <c r="D18" s="174" t="s">
        <v>1759</v>
      </c>
      <c r="E18" s="146" t="s">
        <v>454</v>
      </c>
      <c r="F18" s="146" t="s">
        <v>454</v>
      </c>
      <c r="G18" s="147" t="s">
        <v>454</v>
      </c>
      <c r="H18" s="147" t="s">
        <v>454</v>
      </c>
      <c r="I18" s="147" t="s">
        <v>454</v>
      </c>
      <c r="J18" s="147" t="s">
        <v>454</v>
      </c>
      <c r="K18" s="147" t="s">
        <v>454</v>
      </c>
      <c r="L18" s="148" t="s">
        <v>768</v>
      </c>
      <c r="M18" s="148" t="s">
        <v>1684</v>
      </c>
      <c r="N18" s="262"/>
      <c r="O18" s="189" t="s">
        <v>59</v>
      </c>
      <c r="P18" s="150">
        <v>598</v>
      </c>
      <c r="Q18" s="150">
        <v>849.95</v>
      </c>
      <c r="R18" s="188">
        <v>0.7</v>
      </c>
      <c r="S18" s="199">
        <f t="shared" si="0"/>
        <v>125</v>
      </c>
      <c r="T18" s="152">
        <f t="shared" si="1"/>
        <v>937.45</v>
      </c>
      <c r="U18" s="14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s="7" customFormat="1" ht="12.75">
      <c r="A19" s="284" t="s">
        <v>514</v>
      </c>
      <c r="B19" s="151" t="s">
        <v>550</v>
      </c>
      <c r="C19" s="227" t="s">
        <v>1875</v>
      </c>
      <c r="D19" s="174" t="s">
        <v>58</v>
      </c>
      <c r="E19" s="146" t="s">
        <v>454</v>
      </c>
      <c r="F19" s="146" t="s">
        <v>454</v>
      </c>
      <c r="G19" s="147" t="s">
        <v>454</v>
      </c>
      <c r="H19" s="147" t="s">
        <v>454</v>
      </c>
      <c r="I19" s="147" t="s">
        <v>454</v>
      </c>
      <c r="J19" s="147" t="s">
        <v>454</v>
      </c>
      <c r="K19" s="147" t="s">
        <v>454</v>
      </c>
      <c r="L19" s="148" t="s">
        <v>768</v>
      </c>
      <c r="M19" s="148" t="s">
        <v>1684</v>
      </c>
      <c r="N19" s="148"/>
      <c r="O19" s="149" t="s">
        <v>10</v>
      </c>
      <c r="P19" s="150">
        <v>76.17</v>
      </c>
      <c r="Q19" s="150">
        <v>126.95</v>
      </c>
      <c r="R19" s="188">
        <v>0.2</v>
      </c>
      <c r="S19" s="199">
        <f t="shared" si="0"/>
        <v>125</v>
      </c>
      <c r="T19" s="152">
        <f t="shared" si="1"/>
        <v>151.94999999999999</v>
      </c>
      <c r="U19" s="14"/>
    </row>
    <row r="20" spans="1:53" s="7" customFormat="1" ht="12.75">
      <c r="A20" s="284" t="s">
        <v>157</v>
      </c>
      <c r="B20" s="151" t="s">
        <v>207</v>
      </c>
      <c r="C20" s="190" t="s">
        <v>1876</v>
      </c>
      <c r="D20" s="174" t="s">
        <v>1038</v>
      </c>
      <c r="E20" s="146" t="s">
        <v>454</v>
      </c>
      <c r="F20" s="146" t="s">
        <v>454</v>
      </c>
      <c r="G20" s="147" t="s">
        <v>454</v>
      </c>
      <c r="H20" s="147" t="s">
        <v>454</v>
      </c>
      <c r="I20" s="147" t="s">
        <v>454</v>
      </c>
      <c r="J20" s="147" t="s">
        <v>454</v>
      </c>
      <c r="K20" s="147" t="s">
        <v>454</v>
      </c>
      <c r="L20" s="148" t="s">
        <v>768</v>
      </c>
      <c r="M20" s="148" t="s">
        <v>1684</v>
      </c>
      <c r="N20" s="148"/>
      <c r="O20" s="149" t="s">
        <v>10</v>
      </c>
      <c r="P20" s="150">
        <v>141.57</v>
      </c>
      <c r="Q20" s="150">
        <v>235.95</v>
      </c>
      <c r="R20" s="188">
        <v>0.2</v>
      </c>
      <c r="S20" s="199">
        <f t="shared" si="0"/>
        <v>125</v>
      </c>
      <c r="T20" s="152">
        <f t="shared" si="1"/>
        <v>260.95</v>
      </c>
      <c r="U20" s="14"/>
    </row>
    <row r="21" spans="1:53" s="7" customFormat="1" ht="12.75">
      <c r="A21" s="284" t="s">
        <v>1080</v>
      </c>
      <c r="B21" s="151" t="s">
        <v>1081</v>
      </c>
      <c r="C21" s="156" t="s">
        <v>1082</v>
      </c>
      <c r="D21" s="174" t="s">
        <v>732</v>
      </c>
      <c r="E21" s="146" t="s">
        <v>454</v>
      </c>
      <c r="F21" s="146" t="s">
        <v>454</v>
      </c>
      <c r="G21" s="147" t="s">
        <v>454</v>
      </c>
      <c r="H21" s="147" t="s">
        <v>454</v>
      </c>
      <c r="I21" s="147" t="s">
        <v>454</v>
      </c>
      <c r="J21" s="147" t="s">
        <v>454</v>
      </c>
      <c r="K21" s="147" t="s">
        <v>454</v>
      </c>
      <c r="L21" s="148" t="s">
        <v>768</v>
      </c>
      <c r="M21" s="148" t="s">
        <v>1684</v>
      </c>
      <c r="N21" s="148"/>
      <c r="O21" s="149" t="s">
        <v>0</v>
      </c>
      <c r="P21" s="150">
        <v>173.37</v>
      </c>
      <c r="Q21" s="150">
        <v>288.95</v>
      </c>
      <c r="R21" s="188">
        <v>0.2</v>
      </c>
      <c r="S21" s="199">
        <f t="shared" si="0"/>
        <v>125</v>
      </c>
      <c r="T21" s="152">
        <f t="shared" si="1"/>
        <v>313.95</v>
      </c>
      <c r="U21" s="14"/>
    </row>
    <row r="22" spans="1:53" s="7" customFormat="1" ht="12.75">
      <c r="A22" s="284" t="s">
        <v>1086</v>
      </c>
      <c r="B22" s="151" t="s">
        <v>1087</v>
      </c>
      <c r="C22" s="151" t="s">
        <v>1088</v>
      </c>
      <c r="D22" s="174" t="s">
        <v>1710</v>
      </c>
      <c r="E22" s="146" t="s">
        <v>454</v>
      </c>
      <c r="F22" s="146" t="s">
        <v>454</v>
      </c>
      <c r="G22" s="147" t="s">
        <v>454</v>
      </c>
      <c r="H22" s="147" t="s">
        <v>454</v>
      </c>
      <c r="I22" s="147" t="s">
        <v>454</v>
      </c>
      <c r="J22" s="147" t="s">
        <v>454</v>
      </c>
      <c r="K22" s="147" t="s">
        <v>454</v>
      </c>
      <c r="L22" s="148" t="s">
        <v>768</v>
      </c>
      <c r="M22" s="148" t="s">
        <v>1684</v>
      </c>
      <c r="N22" s="148"/>
      <c r="O22" s="149" t="s">
        <v>10</v>
      </c>
      <c r="P22" s="150">
        <v>450</v>
      </c>
      <c r="Q22" s="150">
        <v>749.95</v>
      </c>
      <c r="R22" s="188">
        <v>2</v>
      </c>
      <c r="S22" s="199">
        <f t="shared" si="0"/>
        <v>125</v>
      </c>
      <c r="T22" s="152">
        <f t="shared" si="1"/>
        <v>999.95</v>
      </c>
      <c r="U22" s="14"/>
    </row>
    <row r="23" spans="1:53" s="7" customFormat="1" ht="12.75">
      <c r="A23" s="162" t="s">
        <v>1816</v>
      </c>
      <c r="B23" s="154" t="s">
        <v>1072</v>
      </c>
      <c r="C23" s="155" t="s">
        <v>1076</v>
      </c>
      <c r="D23" s="174" t="s">
        <v>1819</v>
      </c>
      <c r="E23" s="146" t="s">
        <v>454</v>
      </c>
      <c r="F23" s="146" t="s">
        <v>454</v>
      </c>
      <c r="G23" s="147" t="s">
        <v>454</v>
      </c>
      <c r="H23" s="147" t="s">
        <v>454</v>
      </c>
      <c r="I23" s="147" t="s">
        <v>454</v>
      </c>
      <c r="J23" s="147" t="s">
        <v>454</v>
      </c>
      <c r="K23" s="147" t="s">
        <v>454</v>
      </c>
      <c r="L23" s="148" t="s">
        <v>768</v>
      </c>
      <c r="M23" s="148" t="s">
        <v>1684</v>
      </c>
      <c r="N23" s="148"/>
      <c r="O23" s="149" t="s">
        <v>4</v>
      </c>
      <c r="P23" s="150">
        <v>75.268299999999996</v>
      </c>
      <c r="Q23" s="150">
        <v>112.95</v>
      </c>
      <c r="R23" s="188">
        <v>1</v>
      </c>
      <c r="S23" s="199">
        <f t="shared" si="0"/>
        <v>125</v>
      </c>
      <c r="T23" s="152">
        <f t="shared" si="1"/>
        <v>237.95</v>
      </c>
      <c r="U23" s="192"/>
    </row>
    <row r="24" spans="1:53" s="16" customFormat="1" ht="12.75">
      <c r="A24" s="162" t="s">
        <v>1074</v>
      </c>
      <c r="B24" s="154" t="s">
        <v>1073</v>
      </c>
      <c r="C24" s="155" t="s">
        <v>1077</v>
      </c>
      <c r="D24" s="174" t="s">
        <v>1818</v>
      </c>
      <c r="E24" s="146" t="s">
        <v>454</v>
      </c>
      <c r="F24" s="146" t="s">
        <v>454</v>
      </c>
      <c r="G24" s="147" t="s">
        <v>454</v>
      </c>
      <c r="H24" s="147" t="s">
        <v>454</v>
      </c>
      <c r="I24" s="147" t="s">
        <v>454</v>
      </c>
      <c r="J24" s="147" t="s">
        <v>454</v>
      </c>
      <c r="K24" s="147" t="s">
        <v>454</v>
      </c>
      <c r="L24" s="148" t="s">
        <v>768</v>
      </c>
      <c r="M24" s="148"/>
      <c r="N24" s="148"/>
      <c r="O24" s="149" t="s">
        <v>4</v>
      </c>
      <c r="P24" s="150">
        <v>65.727199999999996</v>
      </c>
      <c r="Q24" s="150">
        <v>98.95</v>
      </c>
      <c r="R24" s="188">
        <v>0</v>
      </c>
      <c r="S24" s="199">
        <f t="shared" si="0"/>
        <v>125</v>
      </c>
      <c r="T24" s="152">
        <f t="shared" si="1"/>
        <v>98.95</v>
      </c>
      <c r="U24" s="192"/>
    </row>
    <row r="25" spans="1:53" s="16" customFormat="1" ht="12.75">
      <c r="A25" s="284" t="s">
        <v>483</v>
      </c>
      <c r="B25" s="151" t="s">
        <v>293</v>
      </c>
      <c r="C25" s="156" t="s">
        <v>751</v>
      </c>
      <c r="D25" s="174" t="s">
        <v>1706</v>
      </c>
      <c r="E25" s="146" t="s">
        <v>454</v>
      </c>
      <c r="F25" s="146" t="s">
        <v>454</v>
      </c>
      <c r="G25" s="147" t="s">
        <v>454</v>
      </c>
      <c r="H25" s="147" t="s">
        <v>454</v>
      </c>
      <c r="I25" s="147" t="s">
        <v>454</v>
      </c>
      <c r="J25" s="147" t="s">
        <v>454</v>
      </c>
      <c r="K25" s="147" t="s">
        <v>454</v>
      </c>
      <c r="L25" s="148" t="s">
        <v>768</v>
      </c>
      <c r="M25" s="148" t="s">
        <v>1684</v>
      </c>
      <c r="N25" s="148"/>
      <c r="O25" s="149" t="s">
        <v>10</v>
      </c>
      <c r="P25" s="150">
        <v>89.37</v>
      </c>
      <c r="Q25" s="150">
        <v>148.94999999999999</v>
      </c>
      <c r="R25" s="188">
        <v>0.3</v>
      </c>
      <c r="S25" s="199">
        <f t="shared" si="0"/>
        <v>125</v>
      </c>
      <c r="T25" s="152">
        <f t="shared" si="1"/>
        <v>186.45</v>
      </c>
      <c r="U25" s="14"/>
    </row>
    <row r="26" spans="1:53" s="7" customFormat="1" ht="12.75">
      <c r="A26" s="284" t="s">
        <v>481</v>
      </c>
      <c r="B26" s="151" t="s">
        <v>545</v>
      </c>
      <c r="C26" s="156" t="s">
        <v>1488</v>
      </c>
      <c r="D26" s="174" t="s">
        <v>1706</v>
      </c>
      <c r="E26" s="146" t="s">
        <v>454</v>
      </c>
      <c r="F26" s="146" t="s">
        <v>454</v>
      </c>
      <c r="G26" s="147" t="s">
        <v>454</v>
      </c>
      <c r="H26" s="147" t="s">
        <v>454</v>
      </c>
      <c r="I26" s="147" t="s">
        <v>454</v>
      </c>
      <c r="J26" s="147" t="s">
        <v>454</v>
      </c>
      <c r="K26" s="147" t="s">
        <v>454</v>
      </c>
      <c r="L26" s="148" t="s">
        <v>768</v>
      </c>
      <c r="M26" s="148" t="s">
        <v>1684</v>
      </c>
      <c r="N26" s="148"/>
      <c r="O26" s="149" t="s">
        <v>10</v>
      </c>
      <c r="P26" s="150">
        <v>89.37</v>
      </c>
      <c r="Q26" s="150">
        <v>148.94999999999999</v>
      </c>
      <c r="R26" s="188">
        <v>0.3</v>
      </c>
      <c r="S26" s="199">
        <f t="shared" si="0"/>
        <v>125</v>
      </c>
      <c r="T26" s="152">
        <f t="shared" si="1"/>
        <v>186.45</v>
      </c>
      <c r="U26" s="14"/>
    </row>
    <row r="27" spans="1:53" s="7" customFormat="1" ht="12.75">
      <c r="A27" s="284" t="s">
        <v>482</v>
      </c>
      <c r="B27" s="151" t="s">
        <v>546</v>
      </c>
      <c r="C27" s="156" t="s">
        <v>760</v>
      </c>
      <c r="D27" s="174" t="s">
        <v>1706</v>
      </c>
      <c r="E27" s="146" t="s">
        <v>454</v>
      </c>
      <c r="F27" s="146" t="s">
        <v>454</v>
      </c>
      <c r="G27" s="147" t="s">
        <v>454</v>
      </c>
      <c r="H27" s="147" t="s">
        <v>454</v>
      </c>
      <c r="I27" s="147" t="s">
        <v>454</v>
      </c>
      <c r="J27" s="147" t="s">
        <v>454</v>
      </c>
      <c r="K27" s="147" t="s">
        <v>454</v>
      </c>
      <c r="L27" s="148" t="s">
        <v>768</v>
      </c>
      <c r="M27" s="148" t="s">
        <v>1684</v>
      </c>
      <c r="N27" s="148"/>
      <c r="O27" s="149" t="s">
        <v>10</v>
      </c>
      <c r="P27" s="150">
        <v>89.37</v>
      </c>
      <c r="Q27" s="150">
        <v>148.94999999999999</v>
      </c>
      <c r="R27" s="188">
        <v>0.3</v>
      </c>
      <c r="S27" s="199">
        <f t="shared" si="0"/>
        <v>125</v>
      </c>
      <c r="T27" s="152">
        <f t="shared" si="1"/>
        <v>186.45</v>
      </c>
      <c r="U27" s="14"/>
    </row>
    <row r="28" spans="1:53" s="7" customFormat="1" ht="12.75">
      <c r="A28" s="284" t="s">
        <v>533</v>
      </c>
      <c r="B28" s="151" t="s">
        <v>852</v>
      </c>
      <c r="C28" s="156" t="s">
        <v>208</v>
      </c>
      <c r="D28" s="174"/>
      <c r="E28" s="146" t="s">
        <v>454</v>
      </c>
      <c r="F28" s="146" t="s">
        <v>454</v>
      </c>
      <c r="G28" s="147" t="s">
        <v>454</v>
      </c>
      <c r="H28" s="147" t="s">
        <v>454</v>
      </c>
      <c r="I28" s="147" t="s">
        <v>454</v>
      </c>
      <c r="J28" s="147" t="s">
        <v>454</v>
      </c>
      <c r="K28" s="147" t="s">
        <v>454</v>
      </c>
      <c r="L28" s="148" t="s">
        <v>768</v>
      </c>
      <c r="M28" s="148" t="s">
        <v>1684</v>
      </c>
      <c r="N28" s="148"/>
      <c r="O28" s="149" t="s">
        <v>0</v>
      </c>
      <c r="P28" s="150">
        <v>160.77000000000001</v>
      </c>
      <c r="Q28" s="150">
        <v>267.95</v>
      </c>
      <c r="R28" s="188">
        <v>1.5</v>
      </c>
      <c r="S28" s="199">
        <f t="shared" si="0"/>
        <v>125</v>
      </c>
      <c r="T28" s="152">
        <f t="shared" si="1"/>
        <v>455.45</v>
      </c>
      <c r="U28" s="14"/>
    </row>
    <row r="29" spans="1:53" s="7" customFormat="1" ht="14.25">
      <c r="A29" s="284" t="s">
        <v>1618</v>
      </c>
      <c r="B29" s="151" t="s">
        <v>1849</v>
      </c>
      <c r="C29" s="156" t="s">
        <v>1850</v>
      </c>
      <c r="D29" s="174" t="s">
        <v>1642</v>
      </c>
      <c r="E29" s="146" t="s">
        <v>454</v>
      </c>
      <c r="F29" s="146" t="s">
        <v>454</v>
      </c>
      <c r="G29" s="147" t="s">
        <v>454</v>
      </c>
      <c r="H29" s="147" t="s">
        <v>454</v>
      </c>
      <c r="I29" s="147" t="s">
        <v>454</v>
      </c>
      <c r="J29" s="147" t="s">
        <v>454</v>
      </c>
      <c r="K29" s="147" t="s">
        <v>454</v>
      </c>
      <c r="L29" s="148" t="s">
        <v>768</v>
      </c>
      <c r="M29" s="148" t="s">
        <v>1684</v>
      </c>
      <c r="N29" s="148"/>
      <c r="O29" s="149" t="s">
        <v>0</v>
      </c>
      <c r="P29" s="150">
        <v>126.31</v>
      </c>
      <c r="Q29" s="150">
        <v>211.95</v>
      </c>
      <c r="R29" s="188">
        <v>0.8</v>
      </c>
      <c r="S29" s="199">
        <f t="shared" si="0"/>
        <v>125</v>
      </c>
      <c r="T29" s="152">
        <f t="shared" si="1"/>
        <v>311.95</v>
      </c>
      <c r="U29" s="14"/>
    </row>
    <row r="30" spans="1:53" s="7" customFormat="1" ht="12.75">
      <c r="A30" s="284" t="s">
        <v>532</v>
      </c>
      <c r="B30" s="151" t="s">
        <v>1851</v>
      </c>
      <c r="C30" s="156" t="s">
        <v>2176</v>
      </c>
      <c r="D30" s="174" t="s">
        <v>1568</v>
      </c>
      <c r="E30" s="146" t="s">
        <v>454</v>
      </c>
      <c r="F30" s="146" t="s">
        <v>454</v>
      </c>
      <c r="G30" s="147" t="s">
        <v>454</v>
      </c>
      <c r="H30" s="147" t="s">
        <v>454</v>
      </c>
      <c r="I30" s="147" t="s">
        <v>454</v>
      </c>
      <c r="J30" s="147" t="s">
        <v>454</v>
      </c>
      <c r="K30" s="147" t="s">
        <v>454</v>
      </c>
      <c r="L30" s="148" t="s">
        <v>768</v>
      </c>
      <c r="M30" s="148" t="s">
        <v>1684</v>
      </c>
      <c r="N30" s="148"/>
      <c r="O30" s="149" t="s">
        <v>10</v>
      </c>
      <c r="P30" s="150">
        <v>364.17</v>
      </c>
      <c r="Q30" s="150">
        <v>606.95000000000005</v>
      </c>
      <c r="R30" s="188">
        <v>0.6</v>
      </c>
      <c r="S30" s="199">
        <f t="shared" si="0"/>
        <v>125</v>
      </c>
      <c r="T30" s="152">
        <f t="shared" si="1"/>
        <v>681.95</v>
      </c>
      <c r="U30" s="14"/>
    </row>
    <row r="31" spans="1:53" s="7" customFormat="1" ht="12.75">
      <c r="A31" s="284" t="s">
        <v>488</v>
      </c>
      <c r="B31" s="151" t="s">
        <v>941</v>
      </c>
      <c r="C31" s="156" t="s">
        <v>973</v>
      </c>
      <c r="D31" s="174"/>
      <c r="E31" s="146" t="s">
        <v>410</v>
      </c>
      <c r="F31" s="146" t="s">
        <v>410</v>
      </c>
      <c r="G31" s="147" t="s">
        <v>454</v>
      </c>
      <c r="H31" s="147" t="s">
        <v>454</v>
      </c>
      <c r="I31" s="147" t="s">
        <v>454</v>
      </c>
      <c r="J31" s="147" t="s">
        <v>454</v>
      </c>
      <c r="K31" s="147" t="s">
        <v>454</v>
      </c>
      <c r="L31" s="148" t="s">
        <v>768</v>
      </c>
      <c r="M31" s="148" t="s">
        <v>1684</v>
      </c>
      <c r="N31" s="148"/>
      <c r="O31" s="149" t="s">
        <v>10</v>
      </c>
      <c r="P31" s="150">
        <v>218.13</v>
      </c>
      <c r="Q31" s="150">
        <v>349.95</v>
      </c>
      <c r="R31" s="188">
        <v>0.6</v>
      </c>
      <c r="S31" s="199">
        <f t="shared" si="0"/>
        <v>125</v>
      </c>
      <c r="T31" s="152">
        <f t="shared" si="1"/>
        <v>424.95</v>
      </c>
      <c r="U31" s="14"/>
    </row>
    <row r="32" spans="1:53" s="7" customFormat="1" ht="12.75">
      <c r="A32" s="284" t="s">
        <v>491</v>
      </c>
      <c r="B32" s="151" t="s">
        <v>942</v>
      </c>
      <c r="C32" s="156" t="s">
        <v>974</v>
      </c>
      <c r="D32" s="174"/>
      <c r="E32" s="146" t="s">
        <v>454</v>
      </c>
      <c r="F32" s="146" t="s">
        <v>454</v>
      </c>
      <c r="G32" s="147" t="s">
        <v>454</v>
      </c>
      <c r="H32" s="147" t="s">
        <v>454</v>
      </c>
      <c r="I32" s="147" t="s">
        <v>454</v>
      </c>
      <c r="J32" s="147" t="s">
        <v>410</v>
      </c>
      <c r="K32" s="147" t="s">
        <v>410</v>
      </c>
      <c r="L32" s="148" t="s">
        <v>768</v>
      </c>
      <c r="M32" s="148" t="s">
        <v>1684</v>
      </c>
      <c r="N32" s="148"/>
      <c r="O32" s="149" t="s">
        <v>10</v>
      </c>
      <c r="P32" s="150">
        <v>218.13</v>
      </c>
      <c r="Q32" s="150">
        <v>349.95</v>
      </c>
      <c r="R32" s="188">
        <v>0.6</v>
      </c>
      <c r="S32" s="199">
        <f t="shared" si="0"/>
        <v>125</v>
      </c>
      <c r="T32" s="152">
        <f t="shared" si="1"/>
        <v>424.95</v>
      </c>
      <c r="U32" s="14"/>
    </row>
    <row r="33" spans="1:21" s="7" customFormat="1" ht="12.75">
      <c r="A33" s="287" t="s">
        <v>1833</v>
      </c>
      <c r="B33" s="151" t="s">
        <v>1834</v>
      </c>
      <c r="C33" s="156" t="s">
        <v>1867</v>
      </c>
      <c r="D33" s="174"/>
      <c r="E33" s="146" t="s">
        <v>454</v>
      </c>
      <c r="F33" s="146" t="s">
        <v>454</v>
      </c>
      <c r="G33" s="147" t="s">
        <v>454</v>
      </c>
      <c r="H33" s="147" t="s">
        <v>454</v>
      </c>
      <c r="I33" s="147" t="s">
        <v>454</v>
      </c>
      <c r="J33" s="147" t="s">
        <v>454</v>
      </c>
      <c r="K33" s="147" t="s">
        <v>454</v>
      </c>
      <c r="L33" s="167" t="s">
        <v>768</v>
      </c>
      <c r="M33" s="167" t="s">
        <v>1684</v>
      </c>
      <c r="N33" s="167"/>
      <c r="O33" s="149" t="s">
        <v>10</v>
      </c>
      <c r="P33" s="169">
        <v>218.13</v>
      </c>
      <c r="Q33" s="169">
        <v>349.95</v>
      </c>
      <c r="R33" s="188">
        <v>0.6</v>
      </c>
      <c r="S33" s="199">
        <f t="shared" si="0"/>
        <v>125</v>
      </c>
      <c r="T33" s="153">
        <f t="shared" si="1"/>
        <v>424.95</v>
      </c>
      <c r="U33" s="14"/>
    </row>
    <row r="34" spans="1:21" s="7" customFormat="1" ht="12.75">
      <c r="A34" s="284" t="s">
        <v>487</v>
      </c>
      <c r="B34" s="151" t="s">
        <v>1021</v>
      </c>
      <c r="C34" s="156" t="s">
        <v>1030</v>
      </c>
      <c r="D34" s="174"/>
      <c r="E34" s="146" t="s">
        <v>454</v>
      </c>
      <c r="F34" s="146" t="s">
        <v>454</v>
      </c>
      <c r="G34" s="147" t="s">
        <v>410</v>
      </c>
      <c r="H34" s="147" t="s">
        <v>410</v>
      </c>
      <c r="I34" s="147" t="s">
        <v>410</v>
      </c>
      <c r="J34" s="147" t="s">
        <v>410</v>
      </c>
      <c r="K34" s="147" t="s">
        <v>410</v>
      </c>
      <c r="L34" s="148" t="s">
        <v>768</v>
      </c>
      <c r="M34" s="148" t="s">
        <v>1684</v>
      </c>
      <c r="N34" s="148"/>
      <c r="O34" s="149" t="s">
        <v>10</v>
      </c>
      <c r="P34" s="150">
        <v>218.13</v>
      </c>
      <c r="Q34" s="150">
        <v>349.95</v>
      </c>
      <c r="R34" s="188">
        <v>0.6</v>
      </c>
      <c r="S34" s="199">
        <f t="shared" si="0"/>
        <v>125</v>
      </c>
      <c r="T34" s="152">
        <f t="shared" si="1"/>
        <v>424.95</v>
      </c>
      <c r="U34" s="14"/>
    </row>
    <row r="35" spans="1:21" s="7" customFormat="1" ht="12.75">
      <c r="A35" s="284" t="s">
        <v>489</v>
      </c>
      <c r="B35" s="151" t="s">
        <v>943</v>
      </c>
      <c r="C35" s="156" t="s">
        <v>976</v>
      </c>
      <c r="D35" s="174"/>
      <c r="E35" s="146" t="s">
        <v>454</v>
      </c>
      <c r="F35" s="146" t="s">
        <v>454</v>
      </c>
      <c r="G35" s="147" t="s">
        <v>454</v>
      </c>
      <c r="H35" s="147" t="s">
        <v>454</v>
      </c>
      <c r="I35" s="147" t="s">
        <v>454</v>
      </c>
      <c r="J35" s="147" t="s">
        <v>410</v>
      </c>
      <c r="K35" s="147" t="s">
        <v>410</v>
      </c>
      <c r="L35" s="148" t="s">
        <v>768</v>
      </c>
      <c r="M35" s="148" t="s">
        <v>1684</v>
      </c>
      <c r="N35" s="148"/>
      <c r="O35" s="149" t="s">
        <v>10</v>
      </c>
      <c r="P35" s="150">
        <v>218.13</v>
      </c>
      <c r="Q35" s="150">
        <v>349.95</v>
      </c>
      <c r="R35" s="188">
        <v>0.6</v>
      </c>
      <c r="S35" s="199">
        <f t="shared" si="0"/>
        <v>125</v>
      </c>
      <c r="T35" s="152">
        <f t="shared" si="1"/>
        <v>424.95</v>
      </c>
      <c r="U35" s="14"/>
    </row>
    <row r="36" spans="1:21" s="7" customFormat="1" ht="12.75">
      <c r="A36" s="284" t="s">
        <v>485</v>
      </c>
      <c r="B36" s="151" t="s">
        <v>1018</v>
      </c>
      <c r="C36" s="156" t="s">
        <v>1022</v>
      </c>
      <c r="D36" s="174"/>
      <c r="E36" s="146" t="s">
        <v>454</v>
      </c>
      <c r="F36" s="146" t="s">
        <v>454</v>
      </c>
      <c r="G36" s="147" t="s">
        <v>454</v>
      </c>
      <c r="H36" s="147" t="s">
        <v>454</v>
      </c>
      <c r="I36" s="147" t="s">
        <v>454</v>
      </c>
      <c r="J36" s="147" t="s">
        <v>454</v>
      </c>
      <c r="K36" s="147"/>
      <c r="L36" s="148" t="s">
        <v>768</v>
      </c>
      <c r="M36" s="148" t="s">
        <v>1684</v>
      </c>
      <c r="N36" s="148"/>
      <c r="O36" s="149" t="s">
        <v>10</v>
      </c>
      <c r="P36" s="150">
        <v>218.13</v>
      </c>
      <c r="Q36" s="150">
        <v>349.95</v>
      </c>
      <c r="R36" s="188">
        <v>0.6</v>
      </c>
      <c r="S36" s="199">
        <f t="shared" si="0"/>
        <v>125</v>
      </c>
      <c r="T36" s="152">
        <f t="shared" si="1"/>
        <v>424.95</v>
      </c>
      <c r="U36" s="14"/>
    </row>
    <row r="37" spans="1:21" s="7" customFormat="1" ht="12.75">
      <c r="A37" s="284" t="s">
        <v>484</v>
      </c>
      <c r="B37" s="151" t="s">
        <v>944</v>
      </c>
      <c r="C37" s="156" t="s">
        <v>977</v>
      </c>
      <c r="D37" s="174"/>
      <c r="E37" s="146" t="s">
        <v>454</v>
      </c>
      <c r="F37" s="146" t="s">
        <v>454</v>
      </c>
      <c r="G37" s="147" t="s">
        <v>454</v>
      </c>
      <c r="H37" s="147" t="s">
        <v>454</v>
      </c>
      <c r="I37" s="147" t="s">
        <v>454</v>
      </c>
      <c r="J37" s="147" t="s">
        <v>454</v>
      </c>
      <c r="K37" s="147"/>
      <c r="L37" s="148" t="s">
        <v>768</v>
      </c>
      <c r="M37" s="148" t="s">
        <v>1684</v>
      </c>
      <c r="N37" s="148"/>
      <c r="O37" s="149" t="s">
        <v>10</v>
      </c>
      <c r="P37" s="150">
        <v>218.13</v>
      </c>
      <c r="Q37" s="150">
        <v>349.95</v>
      </c>
      <c r="R37" s="188">
        <v>0.5</v>
      </c>
      <c r="S37" s="199">
        <f t="shared" si="0"/>
        <v>125</v>
      </c>
      <c r="T37" s="152">
        <f t="shared" si="1"/>
        <v>412.45</v>
      </c>
      <c r="U37" s="14"/>
    </row>
    <row r="38" spans="1:21" s="7" customFormat="1" ht="12.75">
      <c r="A38" s="284" t="s">
        <v>508</v>
      </c>
      <c r="B38" s="151" t="s">
        <v>547</v>
      </c>
      <c r="C38" s="151" t="s">
        <v>978</v>
      </c>
      <c r="D38" s="174" t="s">
        <v>538</v>
      </c>
      <c r="E38" s="146" t="s">
        <v>454</v>
      </c>
      <c r="F38" s="146" t="s">
        <v>454</v>
      </c>
      <c r="G38" s="147" t="s">
        <v>454</v>
      </c>
      <c r="H38" s="147" t="s">
        <v>454</v>
      </c>
      <c r="I38" s="147" t="s">
        <v>454</v>
      </c>
      <c r="J38" s="147" t="s">
        <v>454</v>
      </c>
      <c r="K38" s="147" t="s">
        <v>454</v>
      </c>
      <c r="L38" s="148" t="s">
        <v>768</v>
      </c>
      <c r="M38" s="148" t="s">
        <v>1684</v>
      </c>
      <c r="N38" s="148"/>
      <c r="O38" s="149" t="s">
        <v>10</v>
      </c>
      <c r="P38" s="150">
        <v>266.37</v>
      </c>
      <c r="Q38" s="150">
        <v>443.95</v>
      </c>
      <c r="R38" s="188">
        <v>0.2</v>
      </c>
      <c r="S38" s="199">
        <f t="shared" si="0"/>
        <v>125</v>
      </c>
      <c r="T38" s="152">
        <f t="shared" si="1"/>
        <v>468.95</v>
      </c>
      <c r="U38" s="14"/>
    </row>
    <row r="39" spans="1:21" s="7" customFormat="1" ht="12.75">
      <c r="A39" s="288" t="s">
        <v>1572</v>
      </c>
      <c r="B39" s="151" t="s">
        <v>1579</v>
      </c>
      <c r="C39" s="151" t="s">
        <v>1580</v>
      </c>
      <c r="D39" s="174"/>
      <c r="E39" s="146" t="s">
        <v>454</v>
      </c>
      <c r="F39" s="146" t="s">
        <v>454</v>
      </c>
      <c r="G39" s="147" t="s">
        <v>454</v>
      </c>
      <c r="H39" s="147" t="s">
        <v>454</v>
      </c>
      <c r="I39" s="147" t="s">
        <v>454</v>
      </c>
      <c r="J39" s="147" t="s">
        <v>454</v>
      </c>
      <c r="K39" s="147" t="s">
        <v>454</v>
      </c>
      <c r="L39" s="148" t="s">
        <v>768</v>
      </c>
      <c r="M39" s="148" t="s">
        <v>1684</v>
      </c>
      <c r="N39" s="148"/>
      <c r="O39" s="149" t="s">
        <v>10</v>
      </c>
      <c r="P39" s="150">
        <v>173.82</v>
      </c>
      <c r="Q39" s="150">
        <v>289.95</v>
      </c>
      <c r="R39" s="188">
        <v>0.5</v>
      </c>
      <c r="S39" s="199">
        <f t="shared" si="0"/>
        <v>125</v>
      </c>
      <c r="T39" s="152">
        <f t="shared" si="1"/>
        <v>352.45</v>
      </c>
      <c r="U39" s="14"/>
    </row>
    <row r="40" spans="1:21" s="7" customFormat="1" ht="12.75">
      <c r="A40" s="250" t="s">
        <v>519</v>
      </c>
      <c r="B40" s="151" t="s">
        <v>554</v>
      </c>
      <c r="C40" s="156" t="s">
        <v>656</v>
      </c>
      <c r="D40" s="174" t="s">
        <v>1712</v>
      </c>
      <c r="E40" s="146" t="s">
        <v>454</v>
      </c>
      <c r="F40" s="146" t="s">
        <v>454</v>
      </c>
      <c r="G40" s="147" t="s">
        <v>454</v>
      </c>
      <c r="H40" s="147" t="s">
        <v>454</v>
      </c>
      <c r="I40" s="147" t="s">
        <v>454</v>
      </c>
      <c r="J40" s="147" t="s">
        <v>454</v>
      </c>
      <c r="K40" s="147" t="s">
        <v>454</v>
      </c>
      <c r="L40" s="148" t="s">
        <v>768</v>
      </c>
      <c r="M40" s="148" t="s">
        <v>1684</v>
      </c>
      <c r="N40" s="148"/>
      <c r="O40" s="149" t="s">
        <v>10</v>
      </c>
      <c r="P40" s="150">
        <v>140.37</v>
      </c>
      <c r="Q40" s="150">
        <v>233.95</v>
      </c>
      <c r="R40" s="188">
        <v>0.5</v>
      </c>
      <c r="S40" s="199">
        <f t="shared" si="0"/>
        <v>125</v>
      </c>
      <c r="T40" s="152">
        <f t="shared" si="1"/>
        <v>296.45</v>
      </c>
      <c r="U40" s="14"/>
    </row>
    <row r="41" spans="1:21" s="7" customFormat="1" ht="12.75">
      <c r="A41" s="284" t="s">
        <v>1688</v>
      </c>
      <c r="B41" s="151" t="s">
        <v>1689</v>
      </c>
      <c r="C41" s="156" t="s">
        <v>1790</v>
      </c>
      <c r="D41" s="174"/>
      <c r="E41" s="146" t="s">
        <v>454</v>
      </c>
      <c r="F41" s="146" t="s">
        <v>454</v>
      </c>
      <c r="G41" s="147" t="s">
        <v>454</v>
      </c>
      <c r="H41" s="147" t="s">
        <v>454</v>
      </c>
      <c r="I41" s="147" t="s">
        <v>454</v>
      </c>
      <c r="J41" s="147" t="s">
        <v>454</v>
      </c>
      <c r="K41" s="147" t="s">
        <v>454</v>
      </c>
      <c r="L41" s="148" t="s">
        <v>768</v>
      </c>
      <c r="M41" s="148" t="s">
        <v>1684</v>
      </c>
      <c r="N41" s="148"/>
      <c r="O41" s="149" t="s">
        <v>0</v>
      </c>
      <c r="P41" s="150">
        <v>155.37</v>
      </c>
      <c r="Q41" s="150">
        <v>258.95</v>
      </c>
      <c r="R41" s="188">
        <v>0.5</v>
      </c>
      <c r="S41" s="199">
        <f t="shared" si="0"/>
        <v>125</v>
      </c>
      <c r="T41" s="152">
        <f t="shared" si="1"/>
        <v>321.45</v>
      </c>
      <c r="U41" s="14"/>
    </row>
    <row r="42" spans="1:21" s="7" customFormat="1" ht="12.75">
      <c r="A42" s="221" t="s">
        <v>561</v>
      </c>
      <c r="B42" s="156" t="s">
        <v>563</v>
      </c>
      <c r="C42" s="156" t="s">
        <v>566</v>
      </c>
      <c r="D42" s="174" t="s">
        <v>1829</v>
      </c>
      <c r="E42" s="146" t="s">
        <v>454</v>
      </c>
      <c r="F42" s="146" t="s">
        <v>454</v>
      </c>
      <c r="G42" s="147" t="s">
        <v>454</v>
      </c>
      <c r="H42" s="147" t="s">
        <v>454</v>
      </c>
      <c r="I42" s="147" t="s">
        <v>454</v>
      </c>
      <c r="J42" s="147" t="s">
        <v>454</v>
      </c>
      <c r="K42" s="147" t="s">
        <v>454</v>
      </c>
      <c r="L42" s="148" t="s">
        <v>768</v>
      </c>
      <c r="M42" s="148"/>
      <c r="N42" s="148"/>
      <c r="O42" s="149" t="s">
        <v>10</v>
      </c>
      <c r="P42" s="150">
        <v>14.77</v>
      </c>
      <c r="Q42" s="150">
        <v>39.950000000000003</v>
      </c>
      <c r="R42" s="188">
        <v>0</v>
      </c>
      <c r="S42" s="199">
        <f t="shared" si="0"/>
        <v>125</v>
      </c>
      <c r="T42" s="152">
        <f t="shared" si="1"/>
        <v>39.950000000000003</v>
      </c>
      <c r="U42" s="14"/>
    </row>
    <row r="43" spans="1:21" s="7" customFormat="1" ht="12.75">
      <c r="A43" s="162" t="s">
        <v>1046</v>
      </c>
      <c r="B43" s="156" t="s">
        <v>1047</v>
      </c>
      <c r="C43" s="156" t="s">
        <v>1050</v>
      </c>
      <c r="D43" s="174" t="s">
        <v>1829</v>
      </c>
      <c r="E43" s="146" t="s">
        <v>454</v>
      </c>
      <c r="F43" s="146" t="s">
        <v>454</v>
      </c>
      <c r="G43" s="147" t="s">
        <v>454</v>
      </c>
      <c r="H43" s="147" t="s">
        <v>454</v>
      </c>
      <c r="I43" s="147" t="s">
        <v>454</v>
      </c>
      <c r="J43" s="147" t="s">
        <v>454</v>
      </c>
      <c r="K43" s="147" t="s">
        <v>454</v>
      </c>
      <c r="L43" s="148" t="s">
        <v>768</v>
      </c>
      <c r="M43" s="148"/>
      <c r="N43" s="148"/>
      <c r="O43" s="149" t="s">
        <v>10</v>
      </c>
      <c r="P43" s="150">
        <v>18.5</v>
      </c>
      <c r="Q43" s="150">
        <v>0</v>
      </c>
      <c r="R43" s="188">
        <v>0</v>
      </c>
      <c r="S43" s="199">
        <f t="shared" si="0"/>
        <v>125</v>
      </c>
      <c r="T43" s="152">
        <f t="shared" si="1"/>
        <v>0</v>
      </c>
      <c r="U43" s="14"/>
    </row>
    <row r="44" spans="1:21" s="7" customFormat="1" ht="12.75">
      <c r="A44" s="162" t="s">
        <v>1048</v>
      </c>
      <c r="B44" s="156" t="s">
        <v>1049</v>
      </c>
      <c r="C44" s="156" t="s">
        <v>1051</v>
      </c>
      <c r="D44" s="174" t="s">
        <v>1829</v>
      </c>
      <c r="E44" s="146" t="s">
        <v>454</v>
      </c>
      <c r="F44" s="146" t="s">
        <v>454</v>
      </c>
      <c r="G44" s="147" t="s">
        <v>454</v>
      </c>
      <c r="H44" s="147" t="s">
        <v>454</v>
      </c>
      <c r="I44" s="147" t="s">
        <v>454</v>
      </c>
      <c r="J44" s="147" t="s">
        <v>454</v>
      </c>
      <c r="K44" s="147" t="s">
        <v>454</v>
      </c>
      <c r="L44" s="148" t="s">
        <v>768</v>
      </c>
      <c r="M44" s="148"/>
      <c r="N44" s="148"/>
      <c r="O44" s="149" t="s">
        <v>10</v>
      </c>
      <c r="P44" s="150">
        <v>14.25</v>
      </c>
      <c r="Q44" s="150">
        <v>0</v>
      </c>
      <c r="R44" s="188">
        <v>0</v>
      </c>
      <c r="S44" s="199">
        <f t="shared" si="0"/>
        <v>125</v>
      </c>
      <c r="T44" s="152">
        <f t="shared" si="1"/>
        <v>0</v>
      </c>
      <c r="U44" s="14"/>
    </row>
    <row r="45" spans="1:21" s="7" customFormat="1" ht="12.75">
      <c r="A45" s="221" t="s">
        <v>562</v>
      </c>
      <c r="B45" s="156" t="s">
        <v>565</v>
      </c>
      <c r="C45" s="156" t="s">
        <v>980</v>
      </c>
      <c r="D45" s="174" t="s">
        <v>1829</v>
      </c>
      <c r="E45" s="146" t="s">
        <v>454</v>
      </c>
      <c r="F45" s="146" t="s">
        <v>454</v>
      </c>
      <c r="G45" s="147" t="s">
        <v>454</v>
      </c>
      <c r="H45" s="147" t="s">
        <v>454</v>
      </c>
      <c r="I45" s="147" t="s">
        <v>454</v>
      </c>
      <c r="J45" s="147" t="s">
        <v>454</v>
      </c>
      <c r="K45" s="147" t="s">
        <v>454</v>
      </c>
      <c r="L45" s="148" t="s">
        <v>768</v>
      </c>
      <c r="M45" s="148"/>
      <c r="N45" s="148"/>
      <c r="O45" s="149" t="s">
        <v>10</v>
      </c>
      <c r="P45" s="150">
        <v>18.09</v>
      </c>
      <c r="Q45" s="150">
        <v>0</v>
      </c>
      <c r="R45" s="188">
        <v>0</v>
      </c>
      <c r="S45" s="199">
        <f t="shared" si="0"/>
        <v>125</v>
      </c>
      <c r="T45" s="152">
        <f t="shared" si="1"/>
        <v>0</v>
      </c>
      <c r="U45" s="14"/>
    </row>
    <row r="46" spans="1:21" s="7" customFormat="1" ht="12.75">
      <c r="A46" s="221" t="s">
        <v>560</v>
      </c>
      <c r="B46" s="156" t="s">
        <v>885</v>
      </c>
      <c r="C46" s="156" t="s">
        <v>905</v>
      </c>
      <c r="D46" s="174" t="s">
        <v>1829</v>
      </c>
      <c r="E46" s="146" t="s">
        <v>454</v>
      </c>
      <c r="F46" s="146" t="s">
        <v>454</v>
      </c>
      <c r="G46" s="147" t="s">
        <v>454</v>
      </c>
      <c r="H46" s="147" t="s">
        <v>454</v>
      </c>
      <c r="I46" s="147" t="s">
        <v>454</v>
      </c>
      <c r="J46" s="147" t="s">
        <v>454</v>
      </c>
      <c r="K46" s="147" t="s">
        <v>454</v>
      </c>
      <c r="L46" s="148" t="s">
        <v>768</v>
      </c>
      <c r="M46" s="148"/>
      <c r="N46" s="148"/>
      <c r="O46" s="149" t="s">
        <v>10</v>
      </c>
      <c r="P46" s="150">
        <v>16.45</v>
      </c>
      <c r="Q46" s="150">
        <v>39.950000000000003</v>
      </c>
      <c r="R46" s="188">
        <v>0</v>
      </c>
      <c r="S46" s="199">
        <f t="shared" si="0"/>
        <v>125</v>
      </c>
      <c r="T46" s="152">
        <f t="shared" si="1"/>
        <v>39.950000000000003</v>
      </c>
      <c r="U46" s="14"/>
    </row>
    <row r="47" spans="1:21" s="7" customFormat="1" ht="12.75">
      <c r="A47" s="221" t="s">
        <v>570</v>
      </c>
      <c r="B47" s="156" t="s">
        <v>564</v>
      </c>
      <c r="C47" s="156" t="s">
        <v>981</v>
      </c>
      <c r="D47" s="174" t="s">
        <v>1829</v>
      </c>
      <c r="E47" s="146" t="s">
        <v>454</v>
      </c>
      <c r="F47" s="146" t="s">
        <v>454</v>
      </c>
      <c r="G47" s="147" t="s">
        <v>454</v>
      </c>
      <c r="H47" s="147" t="s">
        <v>454</v>
      </c>
      <c r="I47" s="147" t="s">
        <v>454</v>
      </c>
      <c r="J47" s="147" t="s">
        <v>454</v>
      </c>
      <c r="K47" s="147" t="s">
        <v>454</v>
      </c>
      <c r="L47" s="148" t="s">
        <v>768</v>
      </c>
      <c r="M47" s="148"/>
      <c r="N47" s="148"/>
      <c r="O47" s="149" t="s">
        <v>10</v>
      </c>
      <c r="P47" s="150">
        <v>99.95</v>
      </c>
      <c r="Q47" s="150">
        <v>39.950000000000003</v>
      </c>
      <c r="R47" s="188">
        <v>0</v>
      </c>
      <c r="S47" s="199">
        <f t="shared" si="0"/>
        <v>125</v>
      </c>
      <c r="T47" s="152">
        <f t="shared" si="1"/>
        <v>39.950000000000003</v>
      </c>
      <c r="U47" s="14"/>
    </row>
    <row r="48" spans="1:21" s="7" customFormat="1" ht="12.75">
      <c r="A48" s="284" t="s">
        <v>530</v>
      </c>
      <c r="B48" s="151" t="s">
        <v>540</v>
      </c>
      <c r="C48" s="156" t="s">
        <v>982</v>
      </c>
      <c r="D48" s="174" t="s">
        <v>128</v>
      </c>
      <c r="E48" s="146" t="s">
        <v>454</v>
      </c>
      <c r="F48" s="146" t="s">
        <v>454</v>
      </c>
      <c r="G48" s="147" t="s">
        <v>454</v>
      </c>
      <c r="H48" s="147" t="s">
        <v>454</v>
      </c>
      <c r="I48" s="147" t="s">
        <v>454</v>
      </c>
      <c r="J48" s="147" t="s">
        <v>454</v>
      </c>
      <c r="K48" s="147" t="s">
        <v>454</v>
      </c>
      <c r="L48" s="148" t="s">
        <v>768</v>
      </c>
      <c r="M48" s="148"/>
      <c r="N48" s="148"/>
      <c r="O48" s="149" t="s">
        <v>0</v>
      </c>
      <c r="P48" s="150">
        <v>85.77</v>
      </c>
      <c r="Q48" s="150">
        <v>142.94999999999999</v>
      </c>
      <c r="R48" s="188">
        <v>0</v>
      </c>
      <c r="S48" s="199">
        <f t="shared" si="0"/>
        <v>125</v>
      </c>
      <c r="T48" s="152">
        <f t="shared" si="1"/>
        <v>142.94999999999999</v>
      </c>
      <c r="U48" s="14"/>
    </row>
    <row r="49" spans="1:21" s="7" customFormat="1" ht="12.75">
      <c r="A49" s="284" t="s">
        <v>512</v>
      </c>
      <c r="B49" s="151" t="s">
        <v>762</v>
      </c>
      <c r="C49" s="158" t="s">
        <v>1042</v>
      </c>
      <c r="D49" s="174" t="s">
        <v>1878</v>
      </c>
      <c r="E49" s="146" t="s">
        <v>454</v>
      </c>
      <c r="F49" s="146" t="s">
        <v>454</v>
      </c>
      <c r="G49" s="147" t="s">
        <v>454</v>
      </c>
      <c r="H49" s="147" t="s">
        <v>454</v>
      </c>
      <c r="I49" s="147" t="s">
        <v>454</v>
      </c>
      <c r="J49" s="147" t="s">
        <v>454</v>
      </c>
      <c r="K49" s="147" t="s">
        <v>454</v>
      </c>
      <c r="L49" s="148" t="s">
        <v>768</v>
      </c>
      <c r="M49" s="148" t="s">
        <v>1684</v>
      </c>
      <c r="N49" s="148"/>
      <c r="O49" s="149" t="s">
        <v>10</v>
      </c>
      <c r="P49" s="150">
        <v>178.77</v>
      </c>
      <c r="Q49" s="150">
        <v>297.95</v>
      </c>
      <c r="R49" s="188">
        <v>0.3</v>
      </c>
      <c r="S49" s="199">
        <f t="shared" si="0"/>
        <v>125</v>
      </c>
      <c r="T49" s="152">
        <f t="shared" si="1"/>
        <v>335.45</v>
      </c>
      <c r="U49" s="14"/>
    </row>
    <row r="50" spans="1:21" s="7" customFormat="1" ht="12.75">
      <c r="A50" s="284" t="s">
        <v>511</v>
      </c>
      <c r="B50" s="151" t="s">
        <v>548</v>
      </c>
      <c r="C50" s="158" t="s">
        <v>1043</v>
      </c>
      <c r="D50" s="174" t="s">
        <v>1878</v>
      </c>
      <c r="E50" s="146" t="s">
        <v>454</v>
      </c>
      <c r="F50" s="146" t="s">
        <v>454</v>
      </c>
      <c r="G50" s="147" t="s">
        <v>454</v>
      </c>
      <c r="H50" s="147" t="s">
        <v>454</v>
      </c>
      <c r="I50" s="147" t="s">
        <v>454</v>
      </c>
      <c r="J50" s="147" t="s">
        <v>454</v>
      </c>
      <c r="K50" s="147" t="s">
        <v>454</v>
      </c>
      <c r="L50" s="148" t="s">
        <v>768</v>
      </c>
      <c r="M50" s="148" t="s">
        <v>1684</v>
      </c>
      <c r="N50" s="148"/>
      <c r="O50" s="149" t="s">
        <v>10</v>
      </c>
      <c r="P50" s="150">
        <v>117.57</v>
      </c>
      <c r="Q50" s="150">
        <v>195.95</v>
      </c>
      <c r="R50" s="188">
        <v>0.3</v>
      </c>
      <c r="S50" s="199">
        <f t="shared" si="0"/>
        <v>125</v>
      </c>
      <c r="T50" s="152">
        <f t="shared" si="1"/>
        <v>233.45</v>
      </c>
      <c r="U50" s="14"/>
    </row>
    <row r="51" spans="1:21" s="7" customFormat="1" ht="12.75">
      <c r="A51" s="284" t="s">
        <v>513</v>
      </c>
      <c r="B51" s="151" t="s">
        <v>549</v>
      </c>
      <c r="C51" s="158" t="s">
        <v>1044</v>
      </c>
      <c r="D51" s="174" t="s">
        <v>1878</v>
      </c>
      <c r="E51" s="146" t="s">
        <v>454</v>
      </c>
      <c r="F51" s="146" t="s">
        <v>454</v>
      </c>
      <c r="G51" s="147" t="s">
        <v>454</v>
      </c>
      <c r="H51" s="147" t="s">
        <v>454</v>
      </c>
      <c r="I51" s="147" t="s">
        <v>454</v>
      </c>
      <c r="J51" s="147" t="s">
        <v>454</v>
      </c>
      <c r="K51" s="147" t="s">
        <v>454</v>
      </c>
      <c r="L51" s="148" t="s">
        <v>768</v>
      </c>
      <c r="M51" s="148" t="s">
        <v>1684</v>
      </c>
      <c r="N51" s="148"/>
      <c r="O51" s="149" t="s">
        <v>10</v>
      </c>
      <c r="P51" s="150">
        <v>145.77000000000001</v>
      </c>
      <c r="Q51" s="150">
        <v>242.95</v>
      </c>
      <c r="R51" s="188">
        <v>0.4</v>
      </c>
      <c r="S51" s="199">
        <f t="shared" si="0"/>
        <v>125</v>
      </c>
      <c r="T51" s="152">
        <f t="shared" si="1"/>
        <v>292.95</v>
      </c>
      <c r="U51" s="14"/>
    </row>
    <row r="52" spans="1:21" s="7" customFormat="1" ht="12.75">
      <c r="A52" s="162" t="s">
        <v>1820</v>
      </c>
      <c r="B52" s="154" t="s">
        <v>1822</v>
      </c>
      <c r="C52" s="155" t="s">
        <v>1821</v>
      </c>
      <c r="D52" s="174" t="s">
        <v>2173</v>
      </c>
      <c r="E52" s="146" t="s">
        <v>454</v>
      </c>
      <c r="F52" s="146" t="s">
        <v>454</v>
      </c>
      <c r="G52" s="147" t="s">
        <v>454</v>
      </c>
      <c r="H52" s="147" t="s">
        <v>454</v>
      </c>
      <c r="I52" s="147" t="s">
        <v>454</v>
      </c>
      <c r="J52" s="147" t="s">
        <v>454</v>
      </c>
      <c r="K52" s="147" t="s">
        <v>454</v>
      </c>
      <c r="L52" s="148"/>
      <c r="M52" s="148"/>
      <c r="N52" s="148"/>
      <c r="O52" s="149" t="s">
        <v>10</v>
      </c>
      <c r="P52" s="150">
        <v>75.56</v>
      </c>
      <c r="Q52" s="150">
        <v>125.95</v>
      </c>
      <c r="R52" s="188">
        <v>0.8</v>
      </c>
      <c r="S52" s="199">
        <f t="shared" si="0"/>
        <v>125</v>
      </c>
      <c r="T52" s="152">
        <f t="shared" si="1"/>
        <v>225.95</v>
      </c>
      <c r="U52" s="192"/>
    </row>
    <row r="53" spans="1:21" s="7" customFormat="1" ht="12.75">
      <c r="A53" s="284" t="s">
        <v>471</v>
      </c>
      <c r="B53" s="151" t="s">
        <v>945</v>
      </c>
      <c r="C53" s="156" t="s">
        <v>753</v>
      </c>
      <c r="D53" s="174" t="s">
        <v>2171</v>
      </c>
      <c r="E53" s="146" t="s">
        <v>454</v>
      </c>
      <c r="F53" s="146" t="s">
        <v>454</v>
      </c>
      <c r="G53" s="147" t="s">
        <v>454</v>
      </c>
      <c r="H53" s="147" t="s">
        <v>454</v>
      </c>
      <c r="I53" s="147" t="s">
        <v>454</v>
      </c>
      <c r="J53" s="147" t="s">
        <v>454</v>
      </c>
      <c r="K53" s="147" t="s">
        <v>454</v>
      </c>
      <c r="L53" s="148" t="s">
        <v>768</v>
      </c>
      <c r="M53" s="148" t="s">
        <v>1684</v>
      </c>
      <c r="N53" s="148"/>
      <c r="O53" s="149" t="s">
        <v>10</v>
      </c>
      <c r="P53" s="150">
        <v>38.97</v>
      </c>
      <c r="Q53" s="150">
        <v>64.95</v>
      </c>
      <c r="R53" s="188">
        <v>0.4</v>
      </c>
      <c r="S53" s="199">
        <f t="shared" si="0"/>
        <v>125</v>
      </c>
      <c r="T53" s="152">
        <f t="shared" si="1"/>
        <v>114.95</v>
      </c>
      <c r="U53" s="14"/>
    </row>
    <row r="54" spans="1:21" s="7" customFormat="1" ht="12.75">
      <c r="A54" s="284" t="s">
        <v>826</v>
      </c>
      <c r="B54" s="151" t="s">
        <v>824</v>
      </c>
      <c r="C54" s="156" t="s">
        <v>983</v>
      </c>
      <c r="D54" s="174" t="s">
        <v>2172</v>
      </c>
      <c r="E54" s="146" t="s">
        <v>454</v>
      </c>
      <c r="F54" s="146" t="s">
        <v>454</v>
      </c>
      <c r="G54" s="147" t="s">
        <v>454</v>
      </c>
      <c r="H54" s="147" t="s">
        <v>454</v>
      </c>
      <c r="I54" s="147" t="s">
        <v>454</v>
      </c>
      <c r="J54" s="147" t="s">
        <v>454</v>
      </c>
      <c r="K54" s="147" t="s">
        <v>454</v>
      </c>
      <c r="L54" s="148" t="s">
        <v>768</v>
      </c>
      <c r="M54" s="148" t="s">
        <v>1684</v>
      </c>
      <c r="N54" s="148"/>
      <c r="O54" s="149" t="s">
        <v>10</v>
      </c>
      <c r="P54" s="150">
        <v>38.97</v>
      </c>
      <c r="Q54" s="150">
        <v>64.95</v>
      </c>
      <c r="R54" s="188">
        <v>0.4</v>
      </c>
      <c r="S54" s="199">
        <f t="shared" si="0"/>
        <v>125</v>
      </c>
      <c r="T54" s="152">
        <f t="shared" si="1"/>
        <v>114.95</v>
      </c>
      <c r="U54" s="14"/>
    </row>
    <row r="55" spans="1:21" s="16" customFormat="1" ht="12.75">
      <c r="A55" s="162" t="s">
        <v>872</v>
      </c>
      <c r="B55" s="144" t="s">
        <v>873</v>
      </c>
      <c r="C55" s="151" t="s">
        <v>875</v>
      </c>
      <c r="D55" s="174" t="s">
        <v>2033</v>
      </c>
      <c r="E55" s="146" t="s">
        <v>454</v>
      </c>
      <c r="F55" s="146" t="s">
        <v>454</v>
      </c>
      <c r="G55" s="147" t="s">
        <v>454</v>
      </c>
      <c r="H55" s="147" t="s">
        <v>454</v>
      </c>
      <c r="I55" s="147" t="s">
        <v>454</v>
      </c>
      <c r="J55" s="147" t="s">
        <v>454</v>
      </c>
      <c r="K55" s="147" t="s">
        <v>454</v>
      </c>
      <c r="L55" s="148"/>
      <c r="M55" s="148"/>
      <c r="N55" s="148"/>
      <c r="O55" s="149" t="s">
        <v>59</v>
      </c>
      <c r="P55" s="150">
        <v>84</v>
      </c>
      <c r="Q55" s="150">
        <v>119.95</v>
      </c>
      <c r="R55" s="188">
        <v>0</v>
      </c>
      <c r="S55" s="199">
        <f t="shared" si="0"/>
        <v>125</v>
      </c>
      <c r="T55" s="152">
        <f t="shared" si="1"/>
        <v>119.95</v>
      </c>
      <c r="U55" s="14"/>
    </row>
    <row r="56" spans="1:21" s="7" customFormat="1" ht="12.75">
      <c r="A56" s="284" t="s">
        <v>528</v>
      </c>
      <c r="B56" s="151" t="s">
        <v>853</v>
      </c>
      <c r="C56" s="151" t="s">
        <v>984</v>
      </c>
      <c r="D56" s="174" t="s">
        <v>1054</v>
      </c>
      <c r="E56" s="146" t="s">
        <v>454</v>
      </c>
      <c r="F56" s="146" t="s">
        <v>454</v>
      </c>
      <c r="G56" s="147" t="s">
        <v>454</v>
      </c>
      <c r="H56" s="147" t="s">
        <v>454</v>
      </c>
      <c r="I56" s="147" t="s">
        <v>454</v>
      </c>
      <c r="J56" s="147" t="s">
        <v>454</v>
      </c>
      <c r="K56" s="147" t="s">
        <v>454</v>
      </c>
      <c r="L56" s="148" t="s">
        <v>768</v>
      </c>
      <c r="M56" s="148" t="s">
        <v>1684</v>
      </c>
      <c r="N56" s="148"/>
      <c r="O56" s="149" t="s">
        <v>0</v>
      </c>
      <c r="P56" s="150">
        <v>269.97000000000003</v>
      </c>
      <c r="Q56" s="150">
        <v>449.95</v>
      </c>
      <c r="R56" s="188">
        <v>0.5</v>
      </c>
      <c r="S56" s="199">
        <f t="shared" si="0"/>
        <v>125</v>
      </c>
      <c r="T56" s="152">
        <f t="shared" si="1"/>
        <v>512.45000000000005</v>
      </c>
      <c r="U56" s="14"/>
    </row>
    <row r="57" spans="1:21" s="7" customFormat="1" ht="12.75">
      <c r="A57" s="284" t="s">
        <v>1861</v>
      </c>
      <c r="B57" s="151" t="s">
        <v>1862</v>
      </c>
      <c r="C57" s="151" t="s">
        <v>1877</v>
      </c>
      <c r="D57" s="174"/>
      <c r="E57" s="146" t="s">
        <v>454</v>
      </c>
      <c r="F57" s="146" t="s">
        <v>454</v>
      </c>
      <c r="G57" s="147" t="s">
        <v>454</v>
      </c>
      <c r="H57" s="147" t="s">
        <v>454</v>
      </c>
      <c r="I57" s="147" t="s">
        <v>454</v>
      </c>
      <c r="J57" s="147" t="s">
        <v>454</v>
      </c>
      <c r="K57" s="147" t="s">
        <v>454</v>
      </c>
      <c r="L57" s="167" t="s">
        <v>768</v>
      </c>
      <c r="M57" s="167" t="s">
        <v>1684</v>
      </c>
      <c r="N57" s="167"/>
      <c r="O57" s="149" t="s">
        <v>4</v>
      </c>
      <c r="P57" s="169">
        <v>407.37</v>
      </c>
      <c r="Q57" s="169">
        <v>678.95</v>
      </c>
      <c r="R57" s="188">
        <v>1.2</v>
      </c>
      <c r="S57" s="199">
        <f t="shared" si="0"/>
        <v>125</v>
      </c>
      <c r="T57" s="153">
        <f t="shared" si="1"/>
        <v>828.95</v>
      </c>
      <c r="U57" s="14"/>
    </row>
    <row r="58" spans="1:21" s="7" customFormat="1" ht="12.75">
      <c r="A58" s="284" t="s">
        <v>509</v>
      </c>
      <c r="B58" s="151" t="s">
        <v>796</v>
      </c>
      <c r="C58" s="156" t="s">
        <v>985</v>
      </c>
      <c r="D58" s="174"/>
      <c r="E58" s="146" t="s">
        <v>454</v>
      </c>
      <c r="F58" s="146" t="s">
        <v>454</v>
      </c>
      <c r="G58" s="147" t="s">
        <v>454</v>
      </c>
      <c r="H58" s="147" t="s">
        <v>454</v>
      </c>
      <c r="I58" s="147" t="s">
        <v>454</v>
      </c>
      <c r="J58" s="147" t="s">
        <v>454</v>
      </c>
      <c r="K58" s="147" t="s">
        <v>454</v>
      </c>
      <c r="L58" s="148" t="s">
        <v>768</v>
      </c>
      <c r="M58" s="148" t="s">
        <v>1684</v>
      </c>
      <c r="N58" s="148"/>
      <c r="O58" s="149" t="s">
        <v>10</v>
      </c>
      <c r="P58" s="150">
        <v>138.57</v>
      </c>
      <c r="Q58" s="150">
        <v>230.95</v>
      </c>
      <c r="R58" s="188">
        <v>0.3</v>
      </c>
      <c r="S58" s="199">
        <f t="shared" si="0"/>
        <v>125</v>
      </c>
      <c r="T58" s="152">
        <f t="shared" si="1"/>
        <v>268.45</v>
      </c>
      <c r="U58" s="14"/>
    </row>
    <row r="59" spans="1:21" s="7" customFormat="1" ht="12.75">
      <c r="A59" s="284" t="s">
        <v>517</v>
      </c>
      <c r="B59" s="151" t="s">
        <v>552</v>
      </c>
      <c r="C59" s="156" t="s">
        <v>986</v>
      </c>
      <c r="D59" s="174"/>
      <c r="E59" s="146" t="s">
        <v>454</v>
      </c>
      <c r="F59" s="146" t="s">
        <v>454</v>
      </c>
      <c r="G59" s="147" t="s">
        <v>454</v>
      </c>
      <c r="H59" s="147" t="s">
        <v>454</v>
      </c>
      <c r="I59" s="147" t="s">
        <v>454</v>
      </c>
      <c r="J59" s="147" t="s">
        <v>454</v>
      </c>
      <c r="K59" s="147" t="s">
        <v>454</v>
      </c>
      <c r="L59" s="148" t="s">
        <v>768</v>
      </c>
      <c r="M59" s="148" t="s">
        <v>1684</v>
      </c>
      <c r="N59" s="148"/>
      <c r="O59" s="149" t="s">
        <v>10</v>
      </c>
      <c r="P59" s="150">
        <v>153.57</v>
      </c>
      <c r="Q59" s="150">
        <v>255.95</v>
      </c>
      <c r="R59" s="188">
        <v>0.8</v>
      </c>
      <c r="S59" s="199">
        <f t="shared" si="0"/>
        <v>125</v>
      </c>
      <c r="T59" s="152">
        <f t="shared" si="1"/>
        <v>355.95</v>
      </c>
      <c r="U59" s="14"/>
    </row>
    <row r="60" spans="1:21" s="7" customFormat="1" ht="12.75">
      <c r="A60" s="284" t="s">
        <v>496</v>
      </c>
      <c r="B60" s="151" t="s">
        <v>946</v>
      </c>
      <c r="C60" s="156" t="s">
        <v>1624</v>
      </c>
      <c r="D60" s="174"/>
      <c r="E60" s="146" t="s">
        <v>410</v>
      </c>
      <c r="F60" s="146" t="s">
        <v>410</v>
      </c>
      <c r="G60" s="147" t="s">
        <v>454</v>
      </c>
      <c r="H60" s="147" t="s">
        <v>454</v>
      </c>
      <c r="I60" s="147" t="s">
        <v>454</v>
      </c>
      <c r="J60" s="147" t="s">
        <v>454</v>
      </c>
      <c r="K60" s="147" t="s">
        <v>454</v>
      </c>
      <c r="L60" s="148" t="s">
        <v>768</v>
      </c>
      <c r="M60" s="148" t="s">
        <v>1684</v>
      </c>
      <c r="N60" s="148"/>
      <c r="O60" s="149" t="s">
        <v>10</v>
      </c>
      <c r="P60" s="150">
        <v>212.67</v>
      </c>
      <c r="Q60" s="150">
        <v>349.95</v>
      </c>
      <c r="R60" s="188">
        <v>0.8</v>
      </c>
      <c r="S60" s="199">
        <f t="shared" si="0"/>
        <v>125</v>
      </c>
      <c r="T60" s="152">
        <f t="shared" si="1"/>
        <v>449.95</v>
      </c>
      <c r="U60" s="14"/>
    </row>
    <row r="61" spans="1:21" s="7" customFormat="1" ht="12.75">
      <c r="A61" s="284" t="s">
        <v>499</v>
      </c>
      <c r="B61" s="151" t="s">
        <v>947</v>
      </c>
      <c r="C61" s="156" t="s">
        <v>987</v>
      </c>
      <c r="D61" s="174"/>
      <c r="E61" s="146" t="s">
        <v>454</v>
      </c>
      <c r="F61" s="146" t="s">
        <v>454</v>
      </c>
      <c r="G61" s="147" t="s">
        <v>454</v>
      </c>
      <c r="H61" s="147" t="s">
        <v>454</v>
      </c>
      <c r="I61" s="147" t="s">
        <v>454</v>
      </c>
      <c r="J61" s="147" t="s">
        <v>410</v>
      </c>
      <c r="K61" s="147" t="s">
        <v>410</v>
      </c>
      <c r="L61" s="148" t="s">
        <v>768</v>
      </c>
      <c r="M61" s="148" t="s">
        <v>1684</v>
      </c>
      <c r="N61" s="148"/>
      <c r="O61" s="149" t="s">
        <v>10</v>
      </c>
      <c r="P61" s="150">
        <v>212.67</v>
      </c>
      <c r="Q61" s="150">
        <v>349.95</v>
      </c>
      <c r="R61" s="188">
        <v>0.8</v>
      </c>
      <c r="S61" s="199">
        <f t="shared" si="0"/>
        <v>125</v>
      </c>
      <c r="T61" s="152">
        <f t="shared" si="1"/>
        <v>449.95</v>
      </c>
      <c r="U61" s="14"/>
    </row>
    <row r="62" spans="1:21" s="7" customFormat="1" ht="12.75">
      <c r="A62" s="284" t="s">
        <v>1836</v>
      </c>
      <c r="B62" s="151" t="s">
        <v>1835</v>
      </c>
      <c r="C62" s="156" t="s">
        <v>1870</v>
      </c>
      <c r="D62" s="174"/>
      <c r="E62" s="146" t="s">
        <v>454</v>
      </c>
      <c r="F62" s="146" t="s">
        <v>454</v>
      </c>
      <c r="G62" s="147" t="s">
        <v>454</v>
      </c>
      <c r="H62" s="147" t="s">
        <v>454</v>
      </c>
      <c r="I62" s="147" t="s">
        <v>454</v>
      </c>
      <c r="J62" s="147" t="s">
        <v>454</v>
      </c>
      <c r="K62" s="147" t="s">
        <v>454</v>
      </c>
      <c r="L62" s="167" t="s">
        <v>768</v>
      </c>
      <c r="M62" s="167" t="s">
        <v>1684</v>
      </c>
      <c r="N62" s="167"/>
      <c r="O62" s="149" t="s">
        <v>10</v>
      </c>
      <c r="P62" s="169">
        <v>212.67</v>
      </c>
      <c r="Q62" s="169">
        <v>349.95</v>
      </c>
      <c r="R62" s="188">
        <v>0.8</v>
      </c>
      <c r="S62" s="199">
        <f t="shared" si="0"/>
        <v>125</v>
      </c>
      <c r="T62" s="153">
        <f t="shared" si="1"/>
        <v>449.95</v>
      </c>
      <c r="U62" s="14"/>
    </row>
    <row r="63" spans="1:21" s="7" customFormat="1" ht="12.75">
      <c r="A63" s="284" t="s">
        <v>495</v>
      </c>
      <c r="B63" s="151" t="s">
        <v>1026</v>
      </c>
      <c r="C63" s="156" t="s">
        <v>1031</v>
      </c>
      <c r="D63" s="174"/>
      <c r="E63" s="146" t="s">
        <v>454</v>
      </c>
      <c r="F63" s="146" t="s">
        <v>454</v>
      </c>
      <c r="G63" s="147" t="s">
        <v>410</v>
      </c>
      <c r="H63" s="147" t="s">
        <v>410</v>
      </c>
      <c r="I63" s="147" t="s">
        <v>410</v>
      </c>
      <c r="J63" s="147" t="s">
        <v>410</v>
      </c>
      <c r="K63" s="147" t="s">
        <v>410</v>
      </c>
      <c r="L63" s="148" t="s">
        <v>768</v>
      </c>
      <c r="M63" s="148" t="s">
        <v>1684</v>
      </c>
      <c r="N63" s="148"/>
      <c r="O63" s="149" t="s">
        <v>10</v>
      </c>
      <c r="P63" s="150">
        <v>212.67</v>
      </c>
      <c r="Q63" s="150">
        <v>349.95</v>
      </c>
      <c r="R63" s="188">
        <v>0.8</v>
      </c>
      <c r="S63" s="199">
        <f t="shared" si="0"/>
        <v>125</v>
      </c>
      <c r="T63" s="152">
        <f t="shared" si="1"/>
        <v>449.95</v>
      </c>
      <c r="U63" s="14"/>
    </row>
    <row r="64" spans="1:21" s="7" customFormat="1" ht="12.75">
      <c r="A64" s="284" t="s">
        <v>497</v>
      </c>
      <c r="B64" s="151" t="s">
        <v>948</v>
      </c>
      <c r="C64" s="156" t="s">
        <v>989</v>
      </c>
      <c r="D64" s="174"/>
      <c r="E64" s="146" t="s">
        <v>454</v>
      </c>
      <c r="F64" s="146" t="s">
        <v>454</v>
      </c>
      <c r="G64" s="147" t="s">
        <v>454</v>
      </c>
      <c r="H64" s="147" t="s">
        <v>454</v>
      </c>
      <c r="I64" s="147" t="s">
        <v>454</v>
      </c>
      <c r="J64" s="147" t="s">
        <v>410</v>
      </c>
      <c r="K64" s="147" t="s">
        <v>410</v>
      </c>
      <c r="L64" s="148" t="s">
        <v>768</v>
      </c>
      <c r="M64" s="148" t="s">
        <v>1684</v>
      </c>
      <c r="N64" s="148"/>
      <c r="O64" s="149" t="s">
        <v>10</v>
      </c>
      <c r="P64" s="150">
        <v>212.67</v>
      </c>
      <c r="Q64" s="150">
        <v>349.95</v>
      </c>
      <c r="R64" s="188">
        <v>0.8</v>
      </c>
      <c r="S64" s="199">
        <f t="shared" si="0"/>
        <v>125</v>
      </c>
      <c r="T64" s="152">
        <f t="shared" si="1"/>
        <v>449.95</v>
      </c>
      <c r="U64" s="14"/>
    </row>
    <row r="65" spans="1:21" s="7" customFormat="1" ht="12.75">
      <c r="A65" s="284" t="s">
        <v>493</v>
      </c>
      <c r="B65" s="151" t="s">
        <v>949</v>
      </c>
      <c r="C65" s="156" t="s">
        <v>990</v>
      </c>
      <c r="D65" s="174"/>
      <c r="E65" s="146" t="s">
        <v>454</v>
      </c>
      <c r="F65" s="146" t="s">
        <v>454</v>
      </c>
      <c r="G65" s="147" t="s">
        <v>454</v>
      </c>
      <c r="H65" s="147" t="s">
        <v>454</v>
      </c>
      <c r="I65" s="147" t="s">
        <v>454</v>
      </c>
      <c r="J65" s="147" t="s">
        <v>454</v>
      </c>
      <c r="K65" s="147"/>
      <c r="L65" s="148" t="s">
        <v>768</v>
      </c>
      <c r="M65" s="148" t="s">
        <v>1684</v>
      </c>
      <c r="N65" s="148"/>
      <c r="O65" s="149" t="s">
        <v>10</v>
      </c>
      <c r="P65" s="150">
        <v>212.67</v>
      </c>
      <c r="Q65" s="150">
        <v>349.95</v>
      </c>
      <c r="R65" s="188">
        <v>0.8</v>
      </c>
      <c r="S65" s="199">
        <f t="shared" si="0"/>
        <v>125</v>
      </c>
      <c r="T65" s="152">
        <f t="shared" si="1"/>
        <v>449.95</v>
      </c>
      <c r="U65" s="14"/>
    </row>
    <row r="66" spans="1:21" s="7" customFormat="1" ht="12.75">
      <c r="A66" s="284" t="s">
        <v>492</v>
      </c>
      <c r="B66" s="151" t="s">
        <v>950</v>
      </c>
      <c r="C66" s="156" t="s">
        <v>992</v>
      </c>
      <c r="D66" s="174"/>
      <c r="E66" s="146" t="s">
        <v>454</v>
      </c>
      <c r="F66" s="146" t="s">
        <v>454</v>
      </c>
      <c r="G66" s="147" t="s">
        <v>454</v>
      </c>
      <c r="H66" s="147" t="s">
        <v>454</v>
      </c>
      <c r="I66" s="147" t="s">
        <v>454</v>
      </c>
      <c r="J66" s="147" t="s">
        <v>454</v>
      </c>
      <c r="K66" s="147"/>
      <c r="L66" s="148" t="s">
        <v>768</v>
      </c>
      <c r="M66" s="148" t="s">
        <v>1684</v>
      </c>
      <c r="N66" s="148"/>
      <c r="O66" s="149" t="s">
        <v>10</v>
      </c>
      <c r="P66" s="150">
        <v>212.67</v>
      </c>
      <c r="Q66" s="150">
        <v>349.95</v>
      </c>
      <c r="R66" s="188">
        <v>0.8</v>
      </c>
      <c r="S66" s="199">
        <f t="shared" si="0"/>
        <v>125</v>
      </c>
      <c r="T66" s="152">
        <f t="shared" si="1"/>
        <v>449.95</v>
      </c>
      <c r="U66" s="14"/>
    </row>
    <row r="67" spans="1:21" s="7" customFormat="1" ht="12.75">
      <c r="A67" s="284" t="s">
        <v>529</v>
      </c>
      <c r="B67" s="151" t="s">
        <v>536</v>
      </c>
      <c r="C67" s="151" t="s">
        <v>993</v>
      </c>
      <c r="D67" s="174"/>
      <c r="E67" s="146" t="s">
        <v>454</v>
      </c>
      <c r="F67" s="146" t="s">
        <v>454</v>
      </c>
      <c r="G67" s="147" t="s">
        <v>454</v>
      </c>
      <c r="H67" s="147" t="s">
        <v>454</v>
      </c>
      <c r="I67" s="147" t="s">
        <v>454</v>
      </c>
      <c r="J67" s="147" t="s">
        <v>454</v>
      </c>
      <c r="K67" s="147" t="s">
        <v>454</v>
      </c>
      <c r="L67" s="148"/>
      <c r="M67" s="148" t="s">
        <v>1684</v>
      </c>
      <c r="N67" s="148"/>
      <c r="O67" s="149" t="s">
        <v>16</v>
      </c>
      <c r="P67" s="150">
        <v>34.770000000000003</v>
      </c>
      <c r="Q67" s="150">
        <v>57.95</v>
      </c>
      <c r="R67" s="188">
        <v>0.8</v>
      </c>
      <c r="S67" s="199">
        <f t="shared" ref="S67:S130" si="2">$O$1</f>
        <v>125</v>
      </c>
      <c r="T67" s="152">
        <f t="shared" ref="T67:T130" si="3">R67*S67+Q67</f>
        <v>157.94999999999999</v>
      </c>
      <c r="U67" s="14"/>
    </row>
    <row r="68" spans="1:21" ht="25.5">
      <c r="A68" s="164" t="s">
        <v>469</v>
      </c>
      <c r="B68" s="165" t="s">
        <v>779</v>
      </c>
      <c r="C68" s="165" t="s">
        <v>1939</v>
      </c>
      <c r="D68" s="184" t="s">
        <v>2002</v>
      </c>
      <c r="E68" s="204" t="s">
        <v>454</v>
      </c>
      <c r="F68" s="205" t="s">
        <v>454</v>
      </c>
      <c r="G68" s="205" t="s">
        <v>454</v>
      </c>
      <c r="H68" s="205" t="s">
        <v>454</v>
      </c>
      <c r="I68" s="205" t="s">
        <v>454</v>
      </c>
      <c r="J68" s="205" t="s">
        <v>454</v>
      </c>
      <c r="K68" s="205" t="s">
        <v>454</v>
      </c>
      <c r="L68" s="181" t="s">
        <v>768</v>
      </c>
      <c r="M68" s="181"/>
      <c r="N68" s="181"/>
      <c r="O68" s="182" t="s">
        <v>59</v>
      </c>
      <c r="P68" s="183">
        <v>60</v>
      </c>
      <c r="Q68" s="183">
        <v>84.95</v>
      </c>
      <c r="R68" s="184">
        <v>0.8</v>
      </c>
      <c r="S68" s="217">
        <f t="shared" si="2"/>
        <v>125</v>
      </c>
      <c r="T68" s="185">
        <f t="shared" si="3"/>
        <v>184.95</v>
      </c>
      <c r="U68" s="130"/>
    </row>
    <row r="69" spans="1:21">
      <c r="A69" s="164" t="s">
        <v>1680</v>
      </c>
      <c r="B69" s="165" t="s">
        <v>1800</v>
      </c>
      <c r="C69" s="165" t="s">
        <v>1970</v>
      </c>
      <c r="D69" s="184" t="s">
        <v>1804</v>
      </c>
      <c r="E69" s="204" t="s">
        <v>454</v>
      </c>
      <c r="F69" s="205" t="s">
        <v>454</v>
      </c>
      <c r="G69" s="205" t="s">
        <v>454</v>
      </c>
      <c r="H69" s="205" t="s">
        <v>454</v>
      </c>
      <c r="I69" s="205" t="s">
        <v>454</v>
      </c>
      <c r="J69" s="205" t="s">
        <v>454</v>
      </c>
      <c r="K69" s="205" t="s">
        <v>454</v>
      </c>
      <c r="L69" s="181" t="s">
        <v>768</v>
      </c>
      <c r="M69" s="181"/>
      <c r="N69" s="181"/>
      <c r="O69" s="182" t="s">
        <v>59</v>
      </c>
      <c r="P69" s="183">
        <v>258.75</v>
      </c>
      <c r="Q69" s="183">
        <v>389.95</v>
      </c>
      <c r="R69" s="184">
        <v>0.8</v>
      </c>
      <c r="S69" s="217">
        <f t="shared" si="2"/>
        <v>125</v>
      </c>
      <c r="T69" s="185">
        <f t="shared" si="3"/>
        <v>489.95</v>
      </c>
      <c r="U69" s="12"/>
    </row>
    <row r="70" spans="1:21">
      <c r="A70" s="164" t="s">
        <v>1052</v>
      </c>
      <c r="B70" s="165" t="s">
        <v>1792</v>
      </c>
      <c r="C70" s="165" t="s">
        <v>1941</v>
      </c>
      <c r="D70" s="184" t="s">
        <v>2003</v>
      </c>
      <c r="E70" s="204" t="s">
        <v>454</v>
      </c>
      <c r="F70" s="205" t="s">
        <v>454</v>
      </c>
      <c r="G70" s="205" t="s">
        <v>454</v>
      </c>
      <c r="H70" s="205" t="s">
        <v>454</v>
      </c>
      <c r="I70" s="205" t="s">
        <v>454</v>
      </c>
      <c r="J70" s="205" t="s">
        <v>454</v>
      </c>
      <c r="K70" s="205" t="s">
        <v>454</v>
      </c>
      <c r="L70" s="181" t="s">
        <v>768</v>
      </c>
      <c r="M70" s="181"/>
      <c r="N70" s="181"/>
      <c r="O70" s="182" t="s">
        <v>59</v>
      </c>
      <c r="P70" s="183">
        <v>150</v>
      </c>
      <c r="Q70" s="183">
        <v>214.95</v>
      </c>
      <c r="R70" s="184">
        <v>0.8</v>
      </c>
      <c r="S70" s="217">
        <f t="shared" si="2"/>
        <v>125</v>
      </c>
      <c r="T70" s="185">
        <f t="shared" si="3"/>
        <v>314.95</v>
      </c>
      <c r="U70" s="12"/>
    </row>
    <row r="71" spans="1:21" s="7" customFormat="1" ht="12.75">
      <c r="A71" s="164" t="s">
        <v>286</v>
      </c>
      <c r="B71" s="165" t="s">
        <v>287</v>
      </c>
      <c r="C71" s="165" t="s">
        <v>292</v>
      </c>
      <c r="D71" s="184"/>
      <c r="E71" s="204" t="s">
        <v>454</v>
      </c>
      <c r="F71" s="205" t="s">
        <v>454</v>
      </c>
      <c r="G71" s="205" t="s">
        <v>454</v>
      </c>
      <c r="H71" s="205" t="s">
        <v>454</v>
      </c>
      <c r="I71" s="205" t="s">
        <v>454</v>
      </c>
      <c r="J71" s="205" t="s">
        <v>454</v>
      </c>
      <c r="K71" s="205" t="s">
        <v>454</v>
      </c>
      <c r="L71" s="181" t="s">
        <v>768</v>
      </c>
      <c r="M71" s="181"/>
      <c r="N71" s="181"/>
      <c r="O71" s="182" t="s">
        <v>59</v>
      </c>
      <c r="P71" s="183">
        <v>230</v>
      </c>
      <c r="Q71" s="183">
        <v>329.95</v>
      </c>
      <c r="R71" s="184">
        <v>0.8</v>
      </c>
      <c r="S71" s="217">
        <f t="shared" si="2"/>
        <v>125</v>
      </c>
      <c r="T71" s="185">
        <f t="shared" si="3"/>
        <v>429.95</v>
      </c>
      <c r="U71" s="12"/>
    </row>
    <row r="72" spans="1:21" ht="25.5">
      <c r="A72" s="164" t="s">
        <v>1754</v>
      </c>
      <c r="B72" s="165" t="s">
        <v>2209</v>
      </c>
      <c r="C72" s="165" t="s">
        <v>1943</v>
      </c>
      <c r="D72" s="184" t="s">
        <v>2007</v>
      </c>
      <c r="E72" s="204" t="s">
        <v>454</v>
      </c>
      <c r="F72" s="205" t="s">
        <v>454</v>
      </c>
      <c r="G72" s="205" t="s">
        <v>454</v>
      </c>
      <c r="H72" s="205" t="s">
        <v>454</v>
      </c>
      <c r="I72" s="205" t="s">
        <v>454</v>
      </c>
      <c r="J72" s="205" t="s">
        <v>454</v>
      </c>
      <c r="K72" s="205" t="s">
        <v>454</v>
      </c>
      <c r="L72" s="181" t="s">
        <v>410</v>
      </c>
      <c r="M72" s="181"/>
      <c r="N72" s="181"/>
      <c r="O72" s="182" t="s">
        <v>59</v>
      </c>
      <c r="P72" s="183">
        <v>230</v>
      </c>
      <c r="Q72" s="183">
        <v>329.95</v>
      </c>
      <c r="R72" s="184">
        <v>0.8</v>
      </c>
      <c r="S72" s="217">
        <f t="shared" si="2"/>
        <v>125</v>
      </c>
      <c r="T72" s="185">
        <f t="shared" si="3"/>
        <v>429.95</v>
      </c>
      <c r="U72" s="130"/>
    </row>
    <row r="73" spans="1:21">
      <c r="A73" s="164" t="s">
        <v>558</v>
      </c>
      <c r="B73" s="165" t="s">
        <v>1801</v>
      </c>
      <c r="C73" s="165" t="s">
        <v>1942</v>
      </c>
      <c r="D73" s="184" t="s">
        <v>2005</v>
      </c>
      <c r="E73" s="204" t="s">
        <v>454</v>
      </c>
      <c r="F73" s="205" t="s">
        <v>454</v>
      </c>
      <c r="G73" s="205" t="s">
        <v>454</v>
      </c>
      <c r="H73" s="205" t="s">
        <v>454</v>
      </c>
      <c r="I73" s="205" t="s">
        <v>454</v>
      </c>
      <c r="J73" s="205" t="s">
        <v>454</v>
      </c>
      <c r="K73" s="205" t="s">
        <v>454</v>
      </c>
      <c r="L73" s="181" t="s">
        <v>768</v>
      </c>
      <c r="M73" s="181"/>
      <c r="N73" s="181"/>
      <c r="O73" s="182" t="s">
        <v>59</v>
      </c>
      <c r="P73" s="183">
        <v>150</v>
      </c>
      <c r="Q73" s="183">
        <v>214.95</v>
      </c>
      <c r="R73" s="184">
        <v>0.8</v>
      </c>
      <c r="S73" s="217">
        <f t="shared" si="2"/>
        <v>125</v>
      </c>
      <c r="T73" s="185">
        <f t="shared" si="3"/>
        <v>314.95</v>
      </c>
      <c r="U73" s="12"/>
    </row>
    <row r="74" spans="1:21">
      <c r="A74" s="164" t="s">
        <v>283</v>
      </c>
      <c r="B74" s="165" t="s">
        <v>284</v>
      </c>
      <c r="C74" s="165" t="s">
        <v>291</v>
      </c>
      <c r="D74" s="184" t="s">
        <v>302</v>
      </c>
      <c r="E74" s="204" t="s">
        <v>454</v>
      </c>
      <c r="F74" s="205" t="s">
        <v>454</v>
      </c>
      <c r="G74" s="205" t="s">
        <v>454</v>
      </c>
      <c r="H74" s="205" t="s">
        <v>454</v>
      </c>
      <c r="I74" s="205" t="s">
        <v>454</v>
      </c>
      <c r="J74" s="205" t="s">
        <v>454</v>
      </c>
      <c r="K74" s="205" t="s">
        <v>454</v>
      </c>
      <c r="L74" s="181" t="s">
        <v>768</v>
      </c>
      <c r="M74" s="181"/>
      <c r="N74" s="181"/>
      <c r="O74" s="182" t="s">
        <v>59</v>
      </c>
      <c r="P74" s="183">
        <v>150</v>
      </c>
      <c r="Q74" s="183">
        <v>214.95</v>
      </c>
      <c r="R74" s="184">
        <v>0.8</v>
      </c>
      <c r="S74" s="217">
        <f t="shared" si="2"/>
        <v>125</v>
      </c>
      <c r="T74" s="185">
        <f t="shared" si="3"/>
        <v>314.95</v>
      </c>
      <c r="U74" s="12"/>
    </row>
    <row r="75" spans="1:21">
      <c r="A75" s="164" t="s">
        <v>2192</v>
      </c>
      <c r="B75" s="165" t="s">
        <v>2193</v>
      </c>
      <c r="C75" s="165" t="s">
        <v>2194</v>
      </c>
      <c r="D75" s="216" t="s">
        <v>2195</v>
      </c>
      <c r="E75" s="204" t="s">
        <v>454</v>
      </c>
      <c r="F75" s="204" t="s">
        <v>454</v>
      </c>
      <c r="G75" s="205" t="s">
        <v>454</v>
      </c>
      <c r="H75" s="205" t="s">
        <v>454</v>
      </c>
      <c r="I75" s="205" t="s">
        <v>454</v>
      </c>
      <c r="J75" s="205" t="s">
        <v>454</v>
      </c>
      <c r="K75" s="205" t="s">
        <v>454</v>
      </c>
      <c r="L75" s="181" t="s">
        <v>768</v>
      </c>
      <c r="M75" s="181"/>
      <c r="N75" s="181"/>
      <c r="O75" s="182" t="s">
        <v>59</v>
      </c>
      <c r="P75" s="183">
        <v>400</v>
      </c>
      <c r="Q75" s="183">
        <v>569.95000000000005</v>
      </c>
      <c r="R75" s="207">
        <v>0.8</v>
      </c>
      <c r="S75" s="183">
        <f t="shared" si="2"/>
        <v>125</v>
      </c>
      <c r="T75" s="185">
        <f t="shared" si="3"/>
        <v>669.95</v>
      </c>
      <c r="U75" s="14"/>
    </row>
    <row r="76" spans="1:21">
      <c r="A76" s="164" t="s">
        <v>299</v>
      </c>
      <c r="B76" s="165" t="s">
        <v>300</v>
      </c>
      <c r="C76" s="165" t="s">
        <v>301</v>
      </c>
      <c r="D76" s="184"/>
      <c r="E76" s="204" t="s">
        <v>454</v>
      </c>
      <c r="F76" s="205" t="s">
        <v>454</v>
      </c>
      <c r="G76" s="205" t="s">
        <v>454</v>
      </c>
      <c r="H76" s="205" t="s">
        <v>454</v>
      </c>
      <c r="I76" s="205" t="s">
        <v>454</v>
      </c>
      <c r="J76" s="205" t="s">
        <v>454</v>
      </c>
      <c r="K76" s="205" t="s">
        <v>454</v>
      </c>
      <c r="L76" s="181" t="s">
        <v>768</v>
      </c>
      <c r="M76" s="181"/>
      <c r="N76" s="181"/>
      <c r="O76" s="182" t="s">
        <v>59</v>
      </c>
      <c r="P76" s="183">
        <v>60</v>
      </c>
      <c r="Q76" s="183">
        <v>79.95</v>
      </c>
      <c r="R76" s="184">
        <v>0.8</v>
      </c>
      <c r="S76" s="217">
        <f t="shared" si="2"/>
        <v>125</v>
      </c>
      <c r="T76" s="185">
        <f t="shared" si="3"/>
        <v>179.95</v>
      </c>
      <c r="U76" s="12"/>
    </row>
    <row r="77" spans="1:21">
      <c r="A77" s="164" t="s">
        <v>468</v>
      </c>
      <c r="B77" s="165" t="s">
        <v>1793</v>
      </c>
      <c r="C77" s="165" t="s">
        <v>1940</v>
      </c>
      <c r="D77" s="184" t="s">
        <v>2004</v>
      </c>
      <c r="E77" s="204" t="s">
        <v>454</v>
      </c>
      <c r="F77" s="205" t="s">
        <v>454</v>
      </c>
      <c r="G77" s="205" t="s">
        <v>454</v>
      </c>
      <c r="H77" s="205" t="s">
        <v>454</v>
      </c>
      <c r="I77" s="205" t="s">
        <v>454</v>
      </c>
      <c r="J77" s="205" t="s">
        <v>454</v>
      </c>
      <c r="K77" s="205" t="s">
        <v>454</v>
      </c>
      <c r="L77" s="181" t="s">
        <v>768</v>
      </c>
      <c r="M77" s="181"/>
      <c r="N77" s="181"/>
      <c r="O77" s="182" t="s">
        <v>59</v>
      </c>
      <c r="P77" s="183">
        <v>88.5</v>
      </c>
      <c r="Q77" s="183">
        <v>124.95</v>
      </c>
      <c r="R77" s="184">
        <v>0.8</v>
      </c>
      <c r="S77" s="217">
        <f t="shared" si="2"/>
        <v>125</v>
      </c>
      <c r="T77" s="185">
        <f t="shared" si="3"/>
        <v>224.95</v>
      </c>
      <c r="U77" s="12"/>
    </row>
    <row r="78" spans="1:21" s="7" customFormat="1" ht="12.75">
      <c r="A78" s="284" t="s">
        <v>524</v>
      </c>
      <c r="B78" s="151" t="s">
        <v>1637</v>
      </c>
      <c r="C78" s="151" t="s">
        <v>1638</v>
      </c>
      <c r="D78" s="174" t="s">
        <v>1085</v>
      </c>
      <c r="E78" s="146" t="s">
        <v>454</v>
      </c>
      <c r="F78" s="146" t="s">
        <v>454</v>
      </c>
      <c r="G78" s="147" t="s">
        <v>454</v>
      </c>
      <c r="H78" s="147" t="s">
        <v>454</v>
      </c>
      <c r="I78" s="147" t="s">
        <v>454</v>
      </c>
      <c r="J78" s="147" t="s">
        <v>454</v>
      </c>
      <c r="K78" s="147" t="s">
        <v>454</v>
      </c>
      <c r="L78" s="148" t="s">
        <v>768</v>
      </c>
      <c r="M78" s="148" t="s">
        <v>1684</v>
      </c>
      <c r="N78" s="148"/>
      <c r="O78" s="149" t="s">
        <v>0</v>
      </c>
      <c r="P78" s="150">
        <v>244.17</v>
      </c>
      <c r="Q78" s="150">
        <v>406.95</v>
      </c>
      <c r="R78" s="188">
        <v>0.8</v>
      </c>
      <c r="S78" s="199">
        <f t="shared" si="2"/>
        <v>125</v>
      </c>
      <c r="T78" s="152">
        <f t="shared" si="3"/>
        <v>506.95</v>
      </c>
      <c r="U78" s="14"/>
    </row>
    <row r="79" spans="1:21" s="7" customFormat="1" ht="12.75">
      <c r="A79" s="284" t="s">
        <v>520</v>
      </c>
      <c r="B79" s="151" t="s">
        <v>825</v>
      </c>
      <c r="C79" s="156" t="s">
        <v>1864</v>
      </c>
      <c r="D79" s="174"/>
      <c r="E79" s="146" t="s">
        <v>454</v>
      </c>
      <c r="F79" s="146" t="s">
        <v>454</v>
      </c>
      <c r="G79" s="147" t="s">
        <v>454</v>
      </c>
      <c r="H79" s="147" t="s">
        <v>454</v>
      </c>
      <c r="I79" s="147" t="s">
        <v>454</v>
      </c>
      <c r="J79" s="147" t="s">
        <v>454</v>
      </c>
      <c r="K79" s="147" t="s">
        <v>454</v>
      </c>
      <c r="L79" s="148" t="s">
        <v>768</v>
      </c>
      <c r="M79" s="148" t="s">
        <v>1684</v>
      </c>
      <c r="N79" s="148"/>
      <c r="O79" s="149" t="s">
        <v>10</v>
      </c>
      <c r="P79" s="150">
        <v>281.37</v>
      </c>
      <c r="Q79" s="150">
        <v>468.95</v>
      </c>
      <c r="R79" s="188">
        <v>0.5</v>
      </c>
      <c r="S79" s="199">
        <f t="shared" si="2"/>
        <v>125</v>
      </c>
      <c r="T79" s="152">
        <f t="shared" si="3"/>
        <v>531.45000000000005</v>
      </c>
      <c r="U79" s="14"/>
    </row>
    <row r="80" spans="1:21" s="7" customFormat="1" ht="12.75">
      <c r="A80" s="284" t="s">
        <v>1610</v>
      </c>
      <c r="B80" s="151" t="s">
        <v>860</v>
      </c>
      <c r="C80" s="156" t="s">
        <v>866</v>
      </c>
      <c r="D80" s="174" t="s">
        <v>1707</v>
      </c>
      <c r="E80" s="146" t="s">
        <v>454</v>
      </c>
      <c r="F80" s="146" t="s">
        <v>454</v>
      </c>
      <c r="G80" s="147" t="s">
        <v>454</v>
      </c>
      <c r="H80" s="147" t="s">
        <v>454</v>
      </c>
      <c r="I80" s="147" t="s">
        <v>454</v>
      </c>
      <c r="J80" s="147" t="s">
        <v>454</v>
      </c>
      <c r="K80" s="147" t="s">
        <v>454</v>
      </c>
      <c r="L80" s="148"/>
      <c r="M80" s="191" t="s">
        <v>1684</v>
      </c>
      <c r="N80" s="191"/>
      <c r="O80" s="149" t="s">
        <v>10</v>
      </c>
      <c r="P80" s="150">
        <v>392.67</v>
      </c>
      <c r="Q80" s="150">
        <v>560.95000000000005</v>
      </c>
      <c r="R80" s="188">
        <v>1.5</v>
      </c>
      <c r="S80" s="199">
        <f t="shared" si="2"/>
        <v>125</v>
      </c>
      <c r="T80" s="152">
        <f t="shared" si="3"/>
        <v>748.45</v>
      </c>
      <c r="U80" s="14"/>
    </row>
    <row r="81" spans="1:21" s="7" customFormat="1" ht="12.75">
      <c r="A81" s="284" t="s">
        <v>861</v>
      </c>
      <c r="B81" s="151" t="s">
        <v>2210</v>
      </c>
      <c r="C81" s="156" t="s">
        <v>1853</v>
      </c>
      <c r="D81" s="174" t="s">
        <v>1707</v>
      </c>
      <c r="E81" s="146" t="s">
        <v>454</v>
      </c>
      <c r="F81" s="146" t="s">
        <v>454</v>
      </c>
      <c r="G81" s="147" t="s">
        <v>454</v>
      </c>
      <c r="H81" s="147" t="s">
        <v>454</v>
      </c>
      <c r="I81" s="147" t="s">
        <v>454</v>
      </c>
      <c r="J81" s="147" t="s">
        <v>454</v>
      </c>
      <c r="K81" s="147" t="s">
        <v>454</v>
      </c>
      <c r="L81" s="148" t="s">
        <v>768</v>
      </c>
      <c r="M81" s="148" t="s">
        <v>1684</v>
      </c>
      <c r="N81" s="148"/>
      <c r="O81" s="149" t="s">
        <v>10</v>
      </c>
      <c r="P81" s="150">
        <v>769.97</v>
      </c>
      <c r="Q81" s="150">
        <v>1099.95</v>
      </c>
      <c r="R81" s="188">
        <v>0</v>
      </c>
      <c r="S81" s="199">
        <f t="shared" si="2"/>
        <v>125</v>
      </c>
      <c r="T81" s="152">
        <f t="shared" si="3"/>
        <v>1099.95</v>
      </c>
      <c r="U81" s="14"/>
    </row>
    <row r="82" spans="1:21" s="7" customFormat="1" ht="12.75">
      <c r="A82" s="284" t="s">
        <v>862</v>
      </c>
      <c r="B82" s="151" t="s">
        <v>1852</v>
      </c>
      <c r="C82" s="156" t="s">
        <v>2110</v>
      </c>
      <c r="D82" s="174" t="s">
        <v>1707</v>
      </c>
      <c r="E82" s="146" t="s">
        <v>454</v>
      </c>
      <c r="F82" s="146" t="s">
        <v>454</v>
      </c>
      <c r="G82" s="147" t="s">
        <v>454</v>
      </c>
      <c r="H82" s="147" t="s">
        <v>454</v>
      </c>
      <c r="I82" s="147" t="s">
        <v>454</v>
      </c>
      <c r="J82" s="147" t="s">
        <v>454</v>
      </c>
      <c r="K82" s="147" t="s">
        <v>454</v>
      </c>
      <c r="L82" s="148" t="s">
        <v>768</v>
      </c>
      <c r="M82" s="148" t="s">
        <v>1684</v>
      </c>
      <c r="N82" s="148"/>
      <c r="O82" s="149" t="s">
        <v>10</v>
      </c>
      <c r="P82" s="150">
        <v>476.43</v>
      </c>
      <c r="Q82" s="150">
        <v>669.95</v>
      </c>
      <c r="R82" s="188">
        <v>0</v>
      </c>
      <c r="S82" s="199">
        <f t="shared" si="2"/>
        <v>125</v>
      </c>
      <c r="T82" s="152">
        <f t="shared" si="3"/>
        <v>669.95</v>
      </c>
      <c r="U82" s="14"/>
    </row>
    <row r="83" spans="1:21" s="7" customFormat="1" ht="12.75">
      <c r="A83" s="284" t="s">
        <v>525</v>
      </c>
      <c r="B83" s="151" t="s">
        <v>763</v>
      </c>
      <c r="C83" s="156" t="s">
        <v>994</v>
      </c>
      <c r="D83" s="174"/>
      <c r="E83" s="146" t="s">
        <v>454</v>
      </c>
      <c r="F83" s="146" t="s">
        <v>454</v>
      </c>
      <c r="G83" s="147" t="s">
        <v>454</v>
      </c>
      <c r="H83" s="147" t="s">
        <v>454</v>
      </c>
      <c r="I83" s="147" t="s">
        <v>454</v>
      </c>
      <c r="J83" s="147" t="s">
        <v>454</v>
      </c>
      <c r="K83" s="147" t="s">
        <v>454</v>
      </c>
      <c r="L83" s="148" t="s">
        <v>768</v>
      </c>
      <c r="M83" s="148" t="s">
        <v>1684</v>
      </c>
      <c r="N83" s="148"/>
      <c r="O83" s="149" t="s">
        <v>0</v>
      </c>
      <c r="P83" s="150">
        <v>163.77000000000001</v>
      </c>
      <c r="Q83" s="150">
        <v>272.95</v>
      </c>
      <c r="R83" s="188">
        <v>1</v>
      </c>
      <c r="S83" s="199">
        <f t="shared" si="2"/>
        <v>125</v>
      </c>
      <c r="T83" s="152">
        <f t="shared" si="3"/>
        <v>397.95</v>
      </c>
      <c r="U83" s="14"/>
    </row>
    <row r="84" spans="1:21" s="7" customFormat="1" ht="12.75">
      <c r="A84" s="284" t="s">
        <v>534</v>
      </c>
      <c r="B84" s="151" t="s">
        <v>556</v>
      </c>
      <c r="C84" s="156" t="s">
        <v>995</v>
      </c>
      <c r="D84" s="174"/>
      <c r="E84" s="146" t="s">
        <v>454</v>
      </c>
      <c r="F84" s="146" t="s">
        <v>454</v>
      </c>
      <c r="G84" s="147" t="s">
        <v>454</v>
      </c>
      <c r="H84" s="147" t="s">
        <v>454</v>
      </c>
      <c r="I84" s="147" t="s">
        <v>454</v>
      </c>
      <c r="J84" s="147" t="s">
        <v>454</v>
      </c>
      <c r="K84" s="147" t="s">
        <v>454</v>
      </c>
      <c r="L84" s="148" t="s">
        <v>768</v>
      </c>
      <c r="M84" s="148" t="s">
        <v>1684</v>
      </c>
      <c r="N84" s="148"/>
      <c r="O84" s="149" t="s">
        <v>0</v>
      </c>
      <c r="P84" s="150">
        <v>334.17</v>
      </c>
      <c r="Q84" s="150">
        <v>556.95000000000005</v>
      </c>
      <c r="R84" s="188">
        <v>0.8</v>
      </c>
      <c r="S84" s="199">
        <f t="shared" si="2"/>
        <v>125</v>
      </c>
      <c r="T84" s="152">
        <f t="shared" si="3"/>
        <v>656.95</v>
      </c>
      <c r="U84" s="14"/>
    </row>
    <row r="85" spans="1:21" s="7" customFormat="1" ht="12.75">
      <c r="A85" s="284" t="s">
        <v>510</v>
      </c>
      <c r="B85" s="151" t="s">
        <v>1854</v>
      </c>
      <c r="C85" s="155" t="s">
        <v>1855</v>
      </c>
      <c r="D85" s="174" t="s">
        <v>1055</v>
      </c>
      <c r="E85" s="146" t="s">
        <v>454</v>
      </c>
      <c r="F85" s="146" t="s">
        <v>454</v>
      </c>
      <c r="G85" s="147" t="s">
        <v>454</v>
      </c>
      <c r="H85" s="147" t="s">
        <v>454</v>
      </c>
      <c r="I85" s="147" t="s">
        <v>454</v>
      </c>
      <c r="J85" s="147" t="s">
        <v>454</v>
      </c>
      <c r="K85" s="147" t="s">
        <v>454</v>
      </c>
      <c r="L85" s="148" t="s">
        <v>768</v>
      </c>
      <c r="M85" s="148" t="s">
        <v>1684</v>
      </c>
      <c r="N85" s="148"/>
      <c r="O85" s="149" t="s">
        <v>10</v>
      </c>
      <c r="P85" s="150">
        <v>578.37</v>
      </c>
      <c r="Q85" s="150">
        <v>963.95</v>
      </c>
      <c r="R85" s="188">
        <v>0.4</v>
      </c>
      <c r="S85" s="199">
        <f t="shared" si="2"/>
        <v>125</v>
      </c>
      <c r="T85" s="152">
        <f t="shared" si="3"/>
        <v>1013.95</v>
      </c>
      <c r="U85" s="14"/>
    </row>
    <row r="86" spans="1:21" s="7" customFormat="1" ht="12.75">
      <c r="A86" s="284" t="s">
        <v>518</v>
      </c>
      <c r="B86" s="151" t="s">
        <v>553</v>
      </c>
      <c r="C86" s="151" t="s">
        <v>996</v>
      </c>
      <c r="D86" s="174"/>
      <c r="E86" s="146" t="s">
        <v>454</v>
      </c>
      <c r="F86" s="146" t="s">
        <v>454</v>
      </c>
      <c r="G86" s="147" t="s">
        <v>454</v>
      </c>
      <c r="H86" s="147" t="s">
        <v>454</v>
      </c>
      <c r="I86" s="147" t="s">
        <v>454</v>
      </c>
      <c r="J86" s="147" t="s">
        <v>454</v>
      </c>
      <c r="K86" s="147" t="s">
        <v>454</v>
      </c>
      <c r="L86" s="148" t="s">
        <v>768</v>
      </c>
      <c r="M86" s="148" t="s">
        <v>1684</v>
      </c>
      <c r="N86" s="148"/>
      <c r="O86" s="149" t="s">
        <v>10</v>
      </c>
      <c r="P86" s="150">
        <v>160.16</v>
      </c>
      <c r="Q86" s="150">
        <v>266.95</v>
      </c>
      <c r="R86" s="188">
        <v>1</v>
      </c>
      <c r="S86" s="199">
        <f t="shared" si="2"/>
        <v>125</v>
      </c>
      <c r="T86" s="152">
        <f t="shared" si="3"/>
        <v>391.95</v>
      </c>
      <c r="U86" s="14"/>
    </row>
    <row r="87" spans="1:21" s="7" customFormat="1" ht="12.75">
      <c r="A87" s="284" t="s">
        <v>504</v>
      </c>
      <c r="B87" s="151" t="s">
        <v>951</v>
      </c>
      <c r="C87" s="151" t="s">
        <v>997</v>
      </c>
      <c r="D87" s="174"/>
      <c r="E87" s="146" t="s">
        <v>410</v>
      </c>
      <c r="F87" s="146" t="s">
        <v>410</v>
      </c>
      <c r="G87" s="147" t="s">
        <v>454</v>
      </c>
      <c r="H87" s="147" t="s">
        <v>454</v>
      </c>
      <c r="I87" s="147" t="s">
        <v>454</v>
      </c>
      <c r="J87" s="147" t="s">
        <v>454</v>
      </c>
      <c r="K87" s="147" t="s">
        <v>454</v>
      </c>
      <c r="L87" s="148" t="s">
        <v>768</v>
      </c>
      <c r="M87" s="148" t="s">
        <v>1684</v>
      </c>
      <c r="N87" s="148"/>
      <c r="O87" s="149" t="s">
        <v>10</v>
      </c>
      <c r="P87" s="150">
        <v>719.37</v>
      </c>
      <c r="Q87" s="150">
        <v>1198.95</v>
      </c>
      <c r="R87" s="188">
        <v>1</v>
      </c>
      <c r="S87" s="199">
        <f t="shared" si="2"/>
        <v>125</v>
      </c>
      <c r="T87" s="152">
        <f t="shared" si="3"/>
        <v>1323.95</v>
      </c>
      <c r="U87" s="14"/>
    </row>
    <row r="88" spans="1:21" s="7" customFormat="1" ht="12.75">
      <c r="A88" s="284" t="s">
        <v>507</v>
      </c>
      <c r="B88" s="151" t="s">
        <v>952</v>
      </c>
      <c r="C88" s="151" t="s">
        <v>998</v>
      </c>
      <c r="D88" s="174"/>
      <c r="E88" s="146" t="s">
        <v>454</v>
      </c>
      <c r="F88" s="146" t="s">
        <v>454</v>
      </c>
      <c r="G88" s="147" t="s">
        <v>454</v>
      </c>
      <c r="H88" s="147" t="s">
        <v>454</v>
      </c>
      <c r="I88" s="147" t="s">
        <v>454</v>
      </c>
      <c r="J88" s="147" t="s">
        <v>410</v>
      </c>
      <c r="K88" s="147" t="s">
        <v>410</v>
      </c>
      <c r="L88" s="148" t="s">
        <v>768</v>
      </c>
      <c r="M88" s="148" t="s">
        <v>1684</v>
      </c>
      <c r="N88" s="148"/>
      <c r="O88" s="149" t="s">
        <v>10</v>
      </c>
      <c r="P88" s="150">
        <v>719.37</v>
      </c>
      <c r="Q88" s="150">
        <v>1198.95</v>
      </c>
      <c r="R88" s="188">
        <v>1</v>
      </c>
      <c r="S88" s="199">
        <f t="shared" si="2"/>
        <v>125</v>
      </c>
      <c r="T88" s="152">
        <f t="shared" si="3"/>
        <v>1323.95</v>
      </c>
      <c r="U88" s="14"/>
    </row>
    <row r="89" spans="1:21" s="7" customFormat="1" ht="12.75">
      <c r="A89" s="284" t="s">
        <v>1837</v>
      </c>
      <c r="B89" s="151" t="s">
        <v>1838</v>
      </c>
      <c r="C89" s="151" t="s">
        <v>1871</v>
      </c>
      <c r="D89" s="174"/>
      <c r="E89" s="146" t="s">
        <v>454</v>
      </c>
      <c r="F89" s="146" t="s">
        <v>454</v>
      </c>
      <c r="G89" s="147" t="s">
        <v>454</v>
      </c>
      <c r="H89" s="147" t="s">
        <v>454</v>
      </c>
      <c r="I89" s="147" t="s">
        <v>454</v>
      </c>
      <c r="J89" s="147" t="s">
        <v>454</v>
      </c>
      <c r="K89" s="147" t="s">
        <v>454</v>
      </c>
      <c r="L89" s="167" t="s">
        <v>768</v>
      </c>
      <c r="M89" s="167" t="s">
        <v>1684</v>
      </c>
      <c r="N89" s="167"/>
      <c r="O89" s="149" t="s">
        <v>10</v>
      </c>
      <c r="P89" s="169">
        <v>719.37</v>
      </c>
      <c r="Q89" s="169">
        <v>1198.95</v>
      </c>
      <c r="R89" s="188">
        <v>1</v>
      </c>
      <c r="S89" s="199">
        <f t="shared" si="2"/>
        <v>125</v>
      </c>
      <c r="T89" s="153">
        <f t="shared" si="3"/>
        <v>1323.95</v>
      </c>
      <c r="U89" s="14"/>
    </row>
    <row r="90" spans="1:21" s="7" customFormat="1" ht="12.75">
      <c r="A90" s="284" t="s">
        <v>503</v>
      </c>
      <c r="B90" s="151" t="s">
        <v>1027</v>
      </c>
      <c r="C90" s="151" t="s">
        <v>1032</v>
      </c>
      <c r="D90" s="174"/>
      <c r="E90" s="146" t="s">
        <v>454</v>
      </c>
      <c r="F90" s="146" t="s">
        <v>454</v>
      </c>
      <c r="G90" s="147" t="s">
        <v>410</v>
      </c>
      <c r="H90" s="147" t="s">
        <v>410</v>
      </c>
      <c r="I90" s="147" t="s">
        <v>410</v>
      </c>
      <c r="J90" s="147" t="s">
        <v>410</v>
      </c>
      <c r="K90" s="147" t="s">
        <v>410</v>
      </c>
      <c r="L90" s="167" t="s">
        <v>768</v>
      </c>
      <c r="M90" s="167" t="s">
        <v>1684</v>
      </c>
      <c r="N90" s="167"/>
      <c r="O90" s="149" t="s">
        <v>10</v>
      </c>
      <c r="P90" s="169">
        <v>719.37</v>
      </c>
      <c r="Q90" s="169">
        <v>1198.95</v>
      </c>
      <c r="R90" s="188">
        <v>1</v>
      </c>
      <c r="S90" s="199">
        <f t="shared" si="2"/>
        <v>125</v>
      </c>
      <c r="T90" s="153">
        <f t="shared" si="3"/>
        <v>1323.95</v>
      </c>
      <c r="U90" s="14"/>
    </row>
    <row r="91" spans="1:21" s="7" customFormat="1" ht="12.75">
      <c r="A91" s="284" t="s">
        <v>505</v>
      </c>
      <c r="B91" s="151" t="s">
        <v>953</v>
      </c>
      <c r="C91" s="151" t="s">
        <v>1000</v>
      </c>
      <c r="D91" s="174"/>
      <c r="E91" s="146" t="s">
        <v>454</v>
      </c>
      <c r="F91" s="146" t="s">
        <v>454</v>
      </c>
      <c r="G91" s="147" t="s">
        <v>454</v>
      </c>
      <c r="H91" s="147" t="s">
        <v>454</v>
      </c>
      <c r="I91" s="147" t="s">
        <v>454</v>
      </c>
      <c r="J91" s="147" t="s">
        <v>410</v>
      </c>
      <c r="K91" s="147" t="s">
        <v>410</v>
      </c>
      <c r="L91" s="167" t="s">
        <v>768</v>
      </c>
      <c r="M91" s="167" t="s">
        <v>1684</v>
      </c>
      <c r="N91" s="167"/>
      <c r="O91" s="149" t="s">
        <v>10</v>
      </c>
      <c r="P91" s="169">
        <v>719.37</v>
      </c>
      <c r="Q91" s="169">
        <v>1198.95</v>
      </c>
      <c r="R91" s="188">
        <v>1</v>
      </c>
      <c r="S91" s="199">
        <f t="shared" si="2"/>
        <v>125</v>
      </c>
      <c r="T91" s="153">
        <f t="shared" si="3"/>
        <v>1323.95</v>
      </c>
      <c r="U91" s="14"/>
    </row>
    <row r="92" spans="1:21" s="7" customFormat="1" ht="12.75">
      <c r="A92" s="284" t="s">
        <v>501</v>
      </c>
      <c r="B92" s="151" t="s">
        <v>1019</v>
      </c>
      <c r="C92" s="151" t="s">
        <v>1023</v>
      </c>
      <c r="D92" s="174"/>
      <c r="E92" s="146" t="s">
        <v>454</v>
      </c>
      <c r="F92" s="146" t="s">
        <v>454</v>
      </c>
      <c r="G92" s="147" t="s">
        <v>454</v>
      </c>
      <c r="H92" s="147" t="s">
        <v>454</v>
      </c>
      <c r="I92" s="147" t="s">
        <v>454</v>
      </c>
      <c r="J92" s="147" t="s">
        <v>454</v>
      </c>
      <c r="K92" s="147"/>
      <c r="L92" s="167" t="s">
        <v>768</v>
      </c>
      <c r="M92" s="167" t="s">
        <v>1684</v>
      </c>
      <c r="N92" s="167"/>
      <c r="O92" s="149" t="s">
        <v>10</v>
      </c>
      <c r="P92" s="169">
        <v>719.37</v>
      </c>
      <c r="Q92" s="169">
        <v>1198.95</v>
      </c>
      <c r="R92" s="188">
        <v>1</v>
      </c>
      <c r="S92" s="199">
        <f t="shared" si="2"/>
        <v>125</v>
      </c>
      <c r="T92" s="153">
        <f t="shared" si="3"/>
        <v>1323.95</v>
      </c>
      <c r="U92" s="14"/>
    </row>
    <row r="93" spans="1:21" s="7" customFormat="1" ht="12.75">
      <c r="A93" s="284" t="s">
        <v>500</v>
      </c>
      <c r="B93" s="151" t="s">
        <v>954</v>
      </c>
      <c r="C93" s="151" t="s">
        <v>1001</v>
      </c>
      <c r="D93" s="174"/>
      <c r="E93" s="146" t="s">
        <v>454</v>
      </c>
      <c r="F93" s="146" t="s">
        <v>454</v>
      </c>
      <c r="G93" s="147" t="s">
        <v>454</v>
      </c>
      <c r="H93" s="147" t="s">
        <v>454</v>
      </c>
      <c r="I93" s="147" t="s">
        <v>454</v>
      </c>
      <c r="J93" s="147" t="s">
        <v>454</v>
      </c>
      <c r="K93" s="147"/>
      <c r="L93" s="167" t="s">
        <v>768</v>
      </c>
      <c r="M93" s="167" t="s">
        <v>1684</v>
      </c>
      <c r="N93" s="167"/>
      <c r="O93" s="149" t="s">
        <v>10</v>
      </c>
      <c r="P93" s="169">
        <v>719.37</v>
      </c>
      <c r="Q93" s="169">
        <v>1198.95</v>
      </c>
      <c r="R93" s="188">
        <v>1</v>
      </c>
      <c r="S93" s="199">
        <f t="shared" si="2"/>
        <v>125</v>
      </c>
      <c r="T93" s="153">
        <f t="shared" si="3"/>
        <v>1323.95</v>
      </c>
      <c r="U93" s="14"/>
    </row>
    <row r="94" spans="1:21" s="7" customFormat="1" ht="12.75">
      <c r="A94" s="284" t="s">
        <v>470</v>
      </c>
      <c r="B94" s="151" t="s">
        <v>543</v>
      </c>
      <c r="C94" s="156" t="s">
        <v>1002</v>
      </c>
      <c r="D94" s="174"/>
      <c r="E94" s="146" t="s">
        <v>454</v>
      </c>
      <c r="F94" s="146" t="s">
        <v>454</v>
      </c>
      <c r="G94" s="147" t="s">
        <v>454</v>
      </c>
      <c r="H94" s="147" t="s">
        <v>454</v>
      </c>
      <c r="I94" s="147" t="s">
        <v>454</v>
      </c>
      <c r="J94" s="147" t="s">
        <v>454</v>
      </c>
      <c r="K94" s="147" t="s">
        <v>454</v>
      </c>
      <c r="L94" s="167" t="s">
        <v>768</v>
      </c>
      <c r="M94" s="167" t="s">
        <v>1684</v>
      </c>
      <c r="N94" s="167"/>
      <c r="O94" s="149" t="s">
        <v>10</v>
      </c>
      <c r="P94" s="169">
        <v>154.16</v>
      </c>
      <c r="Q94" s="169">
        <v>256.95</v>
      </c>
      <c r="R94" s="188">
        <v>0.8</v>
      </c>
      <c r="S94" s="199">
        <f t="shared" si="2"/>
        <v>125</v>
      </c>
      <c r="T94" s="153">
        <f t="shared" si="3"/>
        <v>356.95</v>
      </c>
      <c r="U94" s="14"/>
    </row>
    <row r="95" spans="1:21" s="7" customFormat="1" ht="12.75">
      <c r="A95" s="284" t="s">
        <v>516</v>
      </c>
      <c r="B95" s="151" t="s">
        <v>551</v>
      </c>
      <c r="C95" s="156" t="s">
        <v>761</v>
      </c>
      <c r="D95" s="174"/>
      <c r="E95" s="146" t="s">
        <v>454</v>
      </c>
      <c r="F95" s="146" t="s">
        <v>454</v>
      </c>
      <c r="G95" s="147" t="s">
        <v>454</v>
      </c>
      <c r="H95" s="147" t="s">
        <v>454</v>
      </c>
      <c r="I95" s="147" t="s">
        <v>454</v>
      </c>
      <c r="J95" s="147" t="s">
        <v>454</v>
      </c>
      <c r="K95" s="147" t="s">
        <v>454</v>
      </c>
      <c r="L95" s="167" t="s">
        <v>768</v>
      </c>
      <c r="M95" s="167" t="s">
        <v>1684</v>
      </c>
      <c r="N95" s="167"/>
      <c r="O95" s="149" t="s">
        <v>10</v>
      </c>
      <c r="P95" s="169">
        <v>125.97</v>
      </c>
      <c r="Q95" s="169">
        <v>209.95</v>
      </c>
      <c r="R95" s="188">
        <v>0.6</v>
      </c>
      <c r="S95" s="199">
        <f t="shared" si="2"/>
        <v>125</v>
      </c>
      <c r="T95" s="153">
        <f t="shared" si="3"/>
        <v>284.95</v>
      </c>
      <c r="U95" s="14"/>
    </row>
    <row r="96" spans="1:21" s="7" customFormat="1" ht="12.75">
      <c r="A96" s="284" t="s">
        <v>476</v>
      </c>
      <c r="B96" s="151" t="s">
        <v>955</v>
      </c>
      <c r="C96" s="156" t="s">
        <v>764</v>
      </c>
      <c r="D96" s="174"/>
      <c r="E96" s="146" t="s">
        <v>410</v>
      </c>
      <c r="F96" s="146" t="s">
        <v>410</v>
      </c>
      <c r="G96" s="147" t="s">
        <v>454</v>
      </c>
      <c r="H96" s="147" t="s">
        <v>454</v>
      </c>
      <c r="I96" s="147" t="s">
        <v>454</v>
      </c>
      <c r="J96" s="147" t="s">
        <v>454</v>
      </c>
      <c r="K96" s="147" t="s">
        <v>454</v>
      </c>
      <c r="L96" s="167" t="s">
        <v>768</v>
      </c>
      <c r="M96" s="167" t="s">
        <v>1684</v>
      </c>
      <c r="N96" s="167"/>
      <c r="O96" s="149" t="s">
        <v>10</v>
      </c>
      <c r="P96" s="169">
        <v>275.97000000000003</v>
      </c>
      <c r="Q96" s="169">
        <v>459.95</v>
      </c>
      <c r="R96" s="188">
        <v>0.6</v>
      </c>
      <c r="S96" s="199">
        <f t="shared" si="2"/>
        <v>125</v>
      </c>
      <c r="T96" s="153">
        <f t="shared" si="3"/>
        <v>534.95000000000005</v>
      </c>
      <c r="U96" s="14"/>
    </row>
    <row r="97" spans="1:21" s="7" customFormat="1" ht="12.75">
      <c r="A97" s="284" t="s">
        <v>479</v>
      </c>
      <c r="B97" s="151" t="s">
        <v>956</v>
      </c>
      <c r="C97" s="156" t="s">
        <v>322</v>
      </c>
      <c r="D97" s="174"/>
      <c r="E97" s="146" t="s">
        <v>454</v>
      </c>
      <c r="F97" s="146" t="s">
        <v>454</v>
      </c>
      <c r="G97" s="147" t="s">
        <v>454</v>
      </c>
      <c r="H97" s="147" t="s">
        <v>454</v>
      </c>
      <c r="I97" s="147" t="s">
        <v>454</v>
      </c>
      <c r="J97" s="147" t="s">
        <v>410</v>
      </c>
      <c r="K97" s="147" t="s">
        <v>410</v>
      </c>
      <c r="L97" s="167" t="s">
        <v>768</v>
      </c>
      <c r="M97" s="167" t="s">
        <v>1684</v>
      </c>
      <c r="N97" s="167"/>
      <c r="O97" s="149" t="s">
        <v>10</v>
      </c>
      <c r="P97" s="169">
        <v>275.97000000000003</v>
      </c>
      <c r="Q97" s="169">
        <v>459.95</v>
      </c>
      <c r="R97" s="188">
        <v>0.6</v>
      </c>
      <c r="S97" s="199">
        <f t="shared" si="2"/>
        <v>125</v>
      </c>
      <c r="T97" s="153">
        <f t="shared" si="3"/>
        <v>534.95000000000005</v>
      </c>
      <c r="U97" s="14"/>
    </row>
    <row r="98" spans="1:21" s="7" customFormat="1" ht="12.75">
      <c r="A98" s="284" t="s">
        <v>1831</v>
      </c>
      <c r="B98" s="151" t="s">
        <v>1832</v>
      </c>
      <c r="C98" s="156" t="s">
        <v>1872</v>
      </c>
      <c r="D98" s="174"/>
      <c r="E98" s="146" t="s">
        <v>454</v>
      </c>
      <c r="F98" s="146" t="s">
        <v>454</v>
      </c>
      <c r="G98" s="147" t="s">
        <v>454</v>
      </c>
      <c r="H98" s="147" t="s">
        <v>454</v>
      </c>
      <c r="I98" s="147" t="s">
        <v>454</v>
      </c>
      <c r="J98" s="147" t="s">
        <v>454</v>
      </c>
      <c r="K98" s="147" t="s">
        <v>454</v>
      </c>
      <c r="L98" s="167" t="s">
        <v>768</v>
      </c>
      <c r="M98" s="167" t="s">
        <v>1684</v>
      </c>
      <c r="N98" s="167"/>
      <c r="O98" s="149" t="s">
        <v>10</v>
      </c>
      <c r="P98" s="169">
        <v>275.97000000000003</v>
      </c>
      <c r="Q98" s="169">
        <v>459.95</v>
      </c>
      <c r="R98" s="188">
        <v>0.6</v>
      </c>
      <c r="S98" s="199">
        <f t="shared" si="2"/>
        <v>125</v>
      </c>
      <c r="T98" s="153">
        <f t="shared" si="3"/>
        <v>534.95000000000005</v>
      </c>
      <c r="U98" s="14"/>
    </row>
    <row r="99" spans="1:21" s="7" customFormat="1" ht="12.75">
      <c r="A99" s="284" t="s">
        <v>475</v>
      </c>
      <c r="B99" s="151" t="s">
        <v>1028</v>
      </c>
      <c r="C99" s="156" t="s">
        <v>1033</v>
      </c>
      <c r="D99" s="174"/>
      <c r="E99" s="146" t="s">
        <v>454</v>
      </c>
      <c r="F99" s="146" t="s">
        <v>454</v>
      </c>
      <c r="G99" s="147" t="s">
        <v>410</v>
      </c>
      <c r="H99" s="147" t="s">
        <v>410</v>
      </c>
      <c r="I99" s="147" t="s">
        <v>410</v>
      </c>
      <c r="J99" s="147" t="s">
        <v>410</v>
      </c>
      <c r="K99" s="147" t="s">
        <v>410</v>
      </c>
      <c r="L99" s="148" t="s">
        <v>768</v>
      </c>
      <c r="M99" s="148" t="s">
        <v>1684</v>
      </c>
      <c r="N99" s="148"/>
      <c r="O99" s="149" t="s">
        <v>10</v>
      </c>
      <c r="P99" s="150">
        <v>275.97000000000003</v>
      </c>
      <c r="Q99" s="150">
        <v>459.95</v>
      </c>
      <c r="R99" s="188">
        <v>0.6</v>
      </c>
      <c r="S99" s="199">
        <f t="shared" si="2"/>
        <v>125</v>
      </c>
      <c r="T99" s="152">
        <f t="shared" si="3"/>
        <v>534.95000000000005</v>
      </c>
      <c r="U99" s="14"/>
    </row>
    <row r="100" spans="1:21" s="7" customFormat="1" ht="12.75">
      <c r="A100" s="284" t="s">
        <v>477</v>
      </c>
      <c r="B100" s="151" t="s">
        <v>957</v>
      </c>
      <c r="C100" s="156" t="s">
        <v>835</v>
      </c>
      <c r="D100" s="174"/>
      <c r="E100" s="146" t="s">
        <v>454</v>
      </c>
      <c r="F100" s="146" t="s">
        <v>454</v>
      </c>
      <c r="G100" s="147" t="s">
        <v>454</v>
      </c>
      <c r="H100" s="147" t="s">
        <v>454</v>
      </c>
      <c r="I100" s="147" t="s">
        <v>454</v>
      </c>
      <c r="J100" s="147" t="s">
        <v>410</v>
      </c>
      <c r="K100" s="147" t="s">
        <v>410</v>
      </c>
      <c r="L100" s="148" t="s">
        <v>768</v>
      </c>
      <c r="M100" s="148" t="s">
        <v>1684</v>
      </c>
      <c r="N100" s="148"/>
      <c r="O100" s="149" t="s">
        <v>10</v>
      </c>
      <c r="P100" s="150">
        <v>275.97000000000003</v>
      </c>
      <c r="Q100" s="150">
        <v>459.95</v>
      </c>
      <c r="R100" s="188">
        <v>0.6</v>
      </c>
      <c r="S100" s="199">
        <f t="shared" si="2"/>
        <v>125</v>
      </c>
      <c r="T100" s="152">
        <f t="shared" si="3"/>
        <v>534.95000000000005</v>
      </c>
      <c r="U100" s="14"/>
    </row>
    <row r="101" spans="1:21" s="7" customFormat="1" ht="12.75">
      <c r="A101" s="284" t="s">
        <v>473</v>
      </c>
      <c r="B101" s="151" t="s">
        <v>1020</v>
      </c>
      <c r="C101" s="156" t="s">
        <v>317</v>
      </c>
      <c r="D101" s="174"/>
      <c r="E101" s="146" t="s">
        <v>454</v>
      </c>
      <c r="F101" s="146" t="s">
        <v>454</v>
      </c>
      <c r="G101" s="147" t="s">
        <v>454</v>
      </c>
      <c r="H101" s="147" t="s">
        <v>454</v>
      </c>
      <c r="I101" s="147" t="s">
        <v>454</v>
      </c>
      <c r="J101" s="147" t="s">
        <v>454</v>
      </c>
      <c r="K101" s="147"/>
      <c r="L101" s="148" t="s">
        <v>768</v>
      </c>
      <c r="M101" s="148" t="s">
        <v>1684</v>
      </c>
      <c r="N101" s="148"/>
      <c r="O101" s="149" t="s">
        <v>10</v>
      </c>
      <c r="P101" s="150">
        <v>275.97000000000003</v>
      </c>
      <c r="Q101" s="150">
        <v>459.95</v>
      </c>
      <c r="R101" s="188">
        <v>0.6</v>
      </c>
      <c r="S101" s="199">
        <f t="shared" si="2"/>
        <v>125</v>
      </c>
      <c r="T101" s="152">
        <f t="shared" si="3"/>
        <v>534.95000000000005</v>
      </c>
      <c r="U101" s="14"/>
    </row>
    <row r="102" spans="1:21" s="7" customFormat="1" ht="12.75">
      <c r="A102" s="284" t="s">
        <v>472</v>
      </c>
      <c r="B102" s="151" t="s">
        <v>959</v>
      </c>
      <c r="C102" s="156" t="s">
        <v>844</v>
      </c>
      <c r="D102" s="174"/>
      <c r="E102" s="146" t="s">
        <v>454</v>
      </c>
      <c r="F102" s="146" t="s">
        <v>454</v>
      </c>
      <c r="G102" s="147" t="s">
        <v>454</v>
      </c>
      <c r="H102" s="147" t="s">
        <v>454</v>
      </c>
      <c r="I102" s="147" t="s">
        <v>454</v>
      </c>
      <c r="J102" s="147" t="s">
        <v>454</v>
      </c>
      <c r="K102" s="147"/>
      <c r="L102" s="148" t="s">
        <v>768</v>
      </c>
      <c r="M102" s="148" t="s">
        <v>1684</v>
      </c>
      <c r="N102" s="148"/>
      <c r="O102" s="149" t="s">
        <v>10</v>
      </c>
      <c r="P102" s="150">
        <v>275.97000000000003</v>
      </c>
      <c r="Q102" s="150">
        <v>459.95</v>
      </c>
      <c r="R102" s="188">
        <v>0.6</v>
      </c>
      <c r="S102" s="199">
        <f t="shared" si="2"/>
        <v>125</v>
      </c>
      <c r="T102" s="152">
        <f t="shared" si="3"/>
        <v>534.95000000000005</v>
      </c>
      <c r="U102" s="14"/>
    </row>
    <row r="103" spans="1:21" s="7" customFormat="1" ht="12.75">
      <c r="A103" s="164" t="s">
        <v>2103</v>
      </c>
      <c r="B103" s="165" t="s">
        <v>2104</v>
      </c>
      <c r="C103" s="165" t="s">
        <v>2112</v>
      </c>
      <c r="D103" s="216" t="s">
        <v>2204</v>
      </c>
      <c r="E103" s="204" t="s">
        <v>454</v>
      </c>
      <c r="F103" s="205" t="s">
        <v>454</v>
      </c>
      <c r="G103" s="205" t="s">
        <v>454</v>
      </c>
      <c r="H103" s="205" t="s">
        <v>454</v>
      </c>
      <c r="I103" s="205" t="s">
        <v>454</v>
      </c>
      <c r="J103" s="180" t="s">
        <v>454</v>
      </c>
      <c r="K103" s="205" t="s">
        <v>454</v>
      </c>
      <c r="L103" s="181" t="s">
        <v>768</v>
      </c>
      <c r="M103" s="181"/>
      <c r="N103" s="181"/>
      <c r="O103" s="182" t="s">
        <v>16</v>
      </c>
      <c r="P103" s="183">
        <v>498.7</v>
      </c>
      <c r="Q103" s="183">
        <v>599.95000000000005</v>
      </c>
      <c r="R103" s="207">
        <v>0</v>
      </c>
      <c r="S103" s="217">
        <f t="shared" si="2"/>
        <v>125</v>
      </c>
      <c r="T103" s="185">
        <f t="shared" si="3"/>
        <v>599.95000000000005</v>
      </c>
      <c r="U103" s="14"/>
    </row>
    <row r="104" spans="1:21" s="7" customFormat="1" ht="12.75">
      <c r="A104" s="221" t="s">
        <v>427</v>
      </c>
      <c r="B104" s="156" t="s">
        <v>1644</v>
      </c>
      <c r="C104" s="156" t="s">
        <v>1645</v>
      </c>
      <c r="D104" s="174" t="s">
        <v>429</v>
      </c>
      <c r="E104" s="146" t="s">
        <v>454</v>
      </c>
      <c r="F104" s="146" t="s">
        <v>454</v>
      </c>
      <c r="G104" s="147" t="s">
        <v>454</v>
      </c>
      <c r="H104" s="147" t="s">
        <v>454</v>
      </c>
      <c r="I104" s="147" t="s">
        <v>454</v>
      </c>
      <c r="J104" s="147" t="s">
        <v>454</v>
      </c>
      <c r="K104" s="147" t="s">
        <v>454</v>
      </c>
      <c r="L104" s="148" t="s">
        <v>768</v>
      </c>
      <c r="M104" s="148"/>
      <c r="N104" s="148"/>
      <c r="O104" s="149" t="s">
        <v>16</v>
      </c>
      <c r="P104" s="150">
        <v>45.12</v>
      </c>
      <c r="Q104" s="150">
        <v>59.95</v>
      </c>
      <c r="R104" s="188">
        <v>0</v>
      </c>
      <c r="S104" s="199">
        <f t="shared" si="2"/>
        <v>125</v>
      </c>
      <c r="T104" s="152">
        <f t="shared" si="3"/>
        <v>59.95</v>
      </c>
      <c r="U104" s="14"/>
    </row>
    <row r="105" spans="1:21" s="7" customFormat="1" ht="12.75">
      <c r="A105" s="230" t="s">
        <v>424</v>
      </c>
      <c r="B105" s="231" t="s">
        <v>772</v>
      </c>
      <c r="C105" s="232" t="s">
        <v>2113</v>
      </c>
      <c r="D105" s="233" t="s">
        <v>432</v>
      </c>
      <c r="E105" s="234" t="s">
        <v>454</v>
      </c>
      <c r="F105" s="234" t="s">
        <v>454</v>
      </c>
      <c r="G105" s="234" t="s">
        <v>454</v>
      </c>
      <c r="H105" s="234" t="s">
        <v>454</v>
      </c>
      <c r="I105" s="234" t="s">
        <v>454</v>
      </c>
      <c r="J105" s="234" t="s">
        <v>454</v>
      </c>
      <c r="K105" s="234" t="s">
        <v>454</v>
      </c>
      <c r="L105" s="235" t="s">
        <v>768</v>
      </c>
      <c r="M105" s="235" t="s">
        <v>1684</v>
      </c>
      <c r="N105" s="235"/>
      <c r="O105" s="236" t="s">
        <v>16</v>
      </c>
      <c r="P105" s="237">
        <v>349.95</v>
      </c>
      <c r="Q105" s="237">
        <v>449.95</v>
      </c>
      <c r="R105" s="238">
        <v>0.8</v>
      </c>
      <c r="S105" s="289">
        <f t="shared" si="2"/>
        <v>125</v>
      </c>
      <c r="T105" s="239">
        <f t="shared" si="3"/>
        <v>549.95000000000005</v>
      </c>
      <c r="U105" s="14"/>
    </row>
    <row r="106" spans="1:21" s="7" customFormat="1" ht="12.75">
      <c r="A106" s="221" t="s">
        <v>212</v>
      </c>
      <c r="B106" s="156" t="s">
        <v>774</v>
      </c>
      <c r="C106" s="156" t="s">
        <v>931</v>
      </c>
      <c r="D106" s="174" t="s">
        <v>444</v>
      </c>
      <c r="E106" s="146" t="s">
        <v>454</v>
      </c>
      <c r="F106" s="146" t="s">
        <v>454</v>
      </c>
      <c r="G106" s="147" t="s">
        <v>454</v>
      </c>
      <c r="H106" s="147" t="s">
        <v>454</v>
      </c>
      <c r="I106" s="147" t="s">
        <v>454</v>
      </c>
      <c r="J106" s="147" t="s">
        <v>454</v>
      </c>
      <c r="K106" s="147" t="s">
        <v>454</v>
      </c>
      <c r="L106" s="148" t="s">
        <v>768</v>
      </c>
      <c r="M106" s="148" t="s">
        <v>1684</v>
      </c>
      <c r="N106" s="148"/>
      <c r="O106" s="149" t="s">
        <v>16</v>
      </c>
      <c r="P106" s="150">
        <v>442.48</v>
      </c>
      <c r="Q106" s="150">
        <v>599.95000000000005</v>
      </c>
      <c r="R106" s="188">
        <v>0.8</v>
      </c>
      <c r="S106" s="199">
        <f t="shared" si="2"/>
        <v>125</v>
      </c>
      <c r="T106" s="152">
        <f t="shared" si="3"/>
        <v>699.95</v>
      </c>
      <c r="U106" s="14"/>
    </row>
    <row r="107" spans="1:21" s="7" customFormat="1" ht="12.75">
      <c r="A107" s="221" t="s">
        <v>420</v>
      </c>
      <c r="B107" s="156" t="s">
        <v>421</v>
      </c>
      <c r="C107" s="144" t="s">
        <v>1984</v>
      </c>
      <c r="D107" s="174" t="s">
        <v>436</v>
      </c>
      <c r="E107" s="146" t="s">
        <v>454</v>
      </c>
      <c r="F107" s="146" t="s">
        <v>454</v>
      </c>
      <c r="G107" s="147" t="s">
        <v>454</v>
      </c>
      <c r="H107" s="147" t="s">
        <v>454</v>
      </c>
      <c r="I107" s="147" t="s">
        <v>454</v>
      </c>
      <c r="J107" s="147" t="s">
        <v>454</v>
      </c>
      <c r="K107" s="147" t="s">
        <v>454</v>
      </c>
      <c r="L107" s="148" t="s">
        <v>768</v>
      </c>
      <c r="M107" s="148" t="s">
        <v>1684</v>
      </c>
      <c r="N107" s="148"/>
      <c r="O107" s="149" t="s">
        <v>16</v>
      </c>
      <c r="P107" s="150">
        <v>381.6</v>
      </c>
      <c r="Q107" s="150">
        <v>479.95</v>
      </c>
      <c r="R107" s="188">
        <v>0.7</v>
      </c>
      <c r="S107" s="199">
        <f t="shared" si="2"/>
        <v>125</v>
      </c>
      <c r="T107" s="152">
        <f t="shared" si="3"/>
        <v>567.45000000000005</v>
      </c>
      <c r="U107" s="14"/>
    </row>
    <row r="108" spans="1:21" s="7" customFormat="1" ht="12.75">
      <c r="A108" s="221" t="s">
        <v>415</v>
      </c>
      <c r="B108" s="156" t="s">
        <v>775</v>
      </c>
      <c r="C108" s="156" t="s">
        <v>932</v>
      </c>
      <c r="D108" s="174" t="s">
        <v>433</v>
      </c>
      <c r="E108" s="146" t="s">
        <v>454</v>
      </c>
      <c r="F108" s="146" t="s">
        <v>454</v>
      </c>
      <c r="G108" s="147" t="s">
        <v>454</v>
      </c>
      <c r="H108" s="147" t="s">
        <v>454</v>
      </c>
      <c r="I108" s="147" t="s">
        <v>454</v>
      </c>
      <c r="J108" s="147" t="s">
        <v>454</v>
      </c>
      <c r="K108" s="147" t="s">
        <v>454</v>
      </c>
      <c r="L108" s="148" t="s">
        <v>768</v>
      </c>
      <c r="M108" s="148" t="s">
        <v>1684</v>
      </c>
      <c r="N108" s="148"/>
      <c r="O108" s="149" t="s">
        <v>16</v>
      </c>
      <c r="P108" s="150">
        <v>776.98</v>
      </c>
      <c r="Q108" s="150">
        <v>1049.95</v>
      </c>
      <c r="R108" s="188">
        <v>0.3</v>
      </c>
      <c r="S108" s="199">
        <f t="shared" si="2"/>
        <v>125</v>
      </c>
      <c r="T108" s="152">
        <f t="shared" si="3"/>
        <v>1087.45</v>
      </c>
      <c r="U108" s="14"/>
    </row>
    <row r="109" spans="1:21" s="7" customFormat="1" ht="12.75">
      <c r="A109" s="221" t="s">
        <v>414</v>
      </c>
      <c r="B109" s="156" t="s">
        <v>776</v>
      </c>
      <c r="C109" s="156" t="s">
        <v>933</v>
      </c>
      <c r="D109" s="174" t="s">
        <v>443</v>
      </c>
      <c r="E109" s="146" t="s">
        <v>454</v>
      </c>
      <c r="F109" s="146" t="s">
        <v>454</v>
      </c>
      <c r="G109" s="147" t="s">
        <v>454</v>
      </c>
      <c r="H109" s="147" t="s">
        <v>454</v>
      </c>
      <c r="I109" s="147" t="s">
        <v>454</v>
      </c>
      <c r="J109" s="147" t="s">
        <v>454</v>
      </c>
      <c r="K109" s="147" t="s">
        <v>454</v>
      </c>
      <c r="L109" s="148" t="s">
        <v>768</v>
      </c>
      <c r="M109" s="148" t="s">
        <v>1684</v>
      </c>
      <c r="N109" s="148"/>
      <c r="O109" s="149" t="s">
        <v>16</v>
      </c>
      <c r="P109" s="150">
        <v>737.59</v>
      </c>
      <c r="Q109" s="150">
        <v>979.95</v>
      </c>
      <c r="R109" s="188">
        <v>0.3</v>
      </c>
      <c r="S109" s="199">
        <f t="shared" si="2"/>
        <v>125</v>
      </c>
      <c r="T109" s="152">
        <f t="shared" si="3"/>
        <v>1017.45</v>
      </c>
      <c r="U109" s="14"/>
    </row>
    <row r="110" spans="1:21" s="7" customFormat="1" ht="12.75">
      <c r="A110" s="221" t="s">
        <v>119</v>
      </c>
      <c r="B110" s="156" t="s">
        <v>430</v>
      </c>
      <c r="C110" s="156" t="s">
        <v>1004</v>
      </c>
      <c r="D110" s="174"/>
      <c r="E110" s="146" t="s">
        <v>454</v>
      </c>
      <c r="F110" s="146" t="s">
        <v>454</v>
      </c>
      <c r="G110" s="147" t="s">
        <v>454</v>
      </c>
      <c r="H110" s="147" t="s">
        <v>454</v>
      </c>
      <c r="I110" s="147" t="s">
        <v>454</v>
      </c>
      <c r="J110" s="147" t="s">
        <v>454</v>
      </c>
      <c r="K110" s="147" t="s">
        <v>454</v>
      </c>
      <c r="L110" s="148" t="s">
        <v>768</v>
      </c>
      <c r="M110" s="148"/>
      <c r="N110" s="148"/>
      <c r="O110" s="149" t="s">
        <v>16</v>
      </c>
      <c r="P110" s="150">
        <v>170.46</v>
      </c>
      <c r="Q110" s="150">
        <v>219.95</v>
      </c>
      <c r="R110" s="188">
        <v>0.3</v>
      </c>
      <c r="S110" s="199">
        <f t="shared" si="2"/>
        <v>125</v>
      </c>
      <c r="T110" s="152">
        <f t="shared" si="3"/>
        <v>257.45</v>
      </c>
      <c r="U110" s="14"/>
    </row>
    <row r="111" spans="1:21" s="7" customFormat="1" ht="12.75">
      <c r="A111" s="221" t="s">
        <v>411</v>
      </c>
      <c r="B111" s="156" t="s">
        <v>641</v>
      </c>
      <c r="C111" s="156" t="s">
        <v>939</v>
      </c>
      <c r="D111" s="174" t="s">
        <v>442</v>
      </c>
      <c r="E111" s="146" t="s">
        <v>454</v>
      </c>
      <c r="F111" s="146" t="s">
        <v>454</v>
      </c>
      <c r="G111" s="147" t="s">
        <v>454</v>
      </c>
      <c r="H111" s="147" t="s">
        <v>454</v>
      </c>
      <c r="I111" s="147" t="s">
        <v>454</v>
      </c>
      <c r="J111" s="147" t="s">
        <v>454</v>
      </c>
      <c r="K111" s="147" t="s">
        <v>454</v>
      </c>
      <c r="L111" s="148" t="s">
        <v>768</v>
      </c>
      <c r="M111" s="148" t="s">
        <v>1684</v>
      </c>
      <c r="N111" s="148"/>
      <c r="O111" s="149" t="s">
        <v>16</v>
      </c>
      <c r="P111" s="150">
        <v>297.82</v>
      </c>
      <c r="Q111" s="150">
        <v>379.95</v>
      </c>
      <c r="R111" s="188">
        <v>0.3</v>
      </c>
      <c r="S111" s="199">
        <f t="shared" si="2"/>
        <v>125</v>
      </c>
      <c r="T111" s="152">
        <f t="shared" si="3"/>
        <v>417.45</v>
      </c>
      <c r="U111" s="14"/>
    </row>
    <row r="112" spans="1:21" s="7" customFormat="1" ht="12.75">
      <c r="A112" s="221" t="s">
        <v>418</v>
      </c>
      <c r="B112" s="156" t="s">
        <v>1635</v>
      </c>
      <c r="C112" s="156" t="s">
        <v>1636</v>
      </c>
      <c r="D112" s="174" t="s">
        <v>438</v>
      </c>
      <c r="E112" s="146" t="s">
        <v>454</v>
      </c>
      <c r="F112" s="146" t="s">
        <v>454</v>
      </c>
      <c r="G112" s="147" t="s">
        <v>454</v>
      </c>
      <c r="H112" s="147" t="s">
        <v>454</v>
      </c>
      <c r="I112" s="147" t="s">
        <v>454</v>
      </c>
      <c r="J112" s="147" t="s">
        <v>454</v>
      </c>
      <c r="K112" s="147" t="s">
        <v>454</v>
      </c>
      <c r="L112" s="148" t="s">
        <v>768</v>
      </c>
      <c r="M112" s="148" t="s">
        <v>1684</v>
      </c>
      <c r="N112" s="148"/>
      <c r="O112" s="149" t="s">
        <v>16</v>
      </c>
      <c r="P112" s="150">
        <v>453.5</v>
      </c>
      <c r="Q112" s="150">
        <v>549.95000000000005</v>
      </c>
      <c r="R112" s="188">
        <v>0.3</v>
      </c>
      <c r="S112" s="199">
        <f t="shared" si="2"/>
        <v>125</v>
      </c>
      <c r="T112" s="152">
        <f t="shared" si="3"/>
        <v>587.45000000000005</v>
      </c>
      <c r="U112" s="14"/>
    </row>
    <row r="113" spans="1:21" s="7" customFormat="1" ht="12.75">
      <c r="A113" s="221" t="s">
        <v>426</v>
      </c>
      <c r="B113" s="156" t="s">
        <v>896</v>
      </c>
      <c r="C113" s="156" t="s">
        <v>930</v>
      </c>
      <c r="D113" s="174"/>
      <c r="E113" s="146" t="s">
        <v>454</v>
      </c>
      <c r="F113" s="146" t="s">
        <v>454</v>
      </c>
      <c r="G113" s="147" t="s">
        <v>454</v>
      </c>
      <c r="H113" s="147" t="s">
        <v>454</v>
      </c>
      <c r="I113" s="147" t="s">
        <v>454</v>
      </c>
      <c r="J113" s="147" t="s">
        <v>454</v>
      </c>
      <c r="K113" s="147" t="s">
        <v>454</v>
      </c>
      <c r="L113" s="148" t="s">
        <v>768</v>
      </c>
      <c r="M113" s="148" t="s">
        <v>1684</v>
      </c>
      <c r="N113" s="148"/>
      <c r="O113" s="149" t="s">
        <v>16</v>
      </c>
      <c r="P113" s="150">
        <v>60.62</v>
      </c>
      <c r="Q113" s="150">
        <v>94.95</v>
      </c>
      <c r="R113" s="188">
        <v>0.2</v>
      </c>
      <c r="S113" s="199">
        <f t="shared" si="2"/>
        <v>125</v>
      </c>
      <c r="T113" s="152">
        <f t="shared" si="3"/>
        <v>119.95</v>
      </c>
      <c r="U113" s="14"/>
    </row>
    <row r="114" spans="1:21" s="7" customFormat="1" ht="12.75">
      <c r="A114" s="221" t="s">
        <v>211</v>
      </c>
      <c r="B114" s="156" t="s">
        <v>778</v>
      </c>
      <c r="C114" s="156" t="s">
        <v>937</v>
      </c>
      <c r="D114" s="174" t="s">
        <v>445</v>
      </c>
      <c r="E114" s="146" t="s">
        <v>454</v>
      </c>
      <c r="F114" s="146" t="s">
        <v>454</v>
      </c>
      <c r="G114" s="147" t="s">
        <v>454</v>
      </c>
      <c r="H114" s="147" t="s">
        <v>454</v>
      </c>
      <c r="I114" s="147" t="s">
        <v>454</v>
      </c>
      <c r="J114" s="147" t="s">
        <v>454</v>
      </c>
      <c r="K114" s="147" t="s">
        <v>454</v>
      </c>
      <c r="L114" s="148" t="s">
        <v>768</v>
      </c>
      <c r="M114" s="148"/>
      <c r="N114" s="148"/>
      <c r="O114" s="149" t="s">
        <v>16</v>
      </c>
      <c r="P114" s="150">
        <v>84.65</v>
      </c>
      <c r="Q114" s="150">
        <v>119.95</v>
      </c>
      <c r="R114" s="188">
        <v>0.1</v>
      </c>
      <c r="S114" s="199">
        <f t="shared" si="2"/>
        <v>125</v>
      </c>
      <c r="T114" s="152">
        <f t="shared" si="3"/>
        <v>132.44999999999999</v>
      </c>
      <c r="U114" s="14"/>
    </row>
    <row r="115" spans="1:21" s="7" customFormat="1" ht="12.75">
      <c r="A115" s="160" t="s">
        <v>766</v>
      </c>
      <c r="B115" s="156" t="s">
        <v>961</v>
      </c>
      <c r="C115" s="156" t="s">
        <v>1005</v>
      </c>
      <c r="D115" s="174" t="s">
        <v>767</v>
      </c>
      <c r="E115" s="146" t="s">
        <v>410</v>
      </c>
      <c r="F115" s="146" t="s">
        <v>410</v>
      </c>
      <c r="G115" s="147" t="s">
        <v>454</v>
      </c>
      <c r="H115" s="147" t="s">
        <v>454</v>
      </c>
      <c r="I115" s="147" t="s">
        <v>454</v>
      </c>
      <c r="J115" s="147" t="s">
        <v>454</v>
      </c>
      <c r="K115" s="147" t="s">
        <v>454</v>
      </c>
      <c r="L115" s="148" t="s">
        <v>768</v>
      </c>
      <c r="M115" s="148"/>
      <c r="N115" s="148"/>
      <c r="O115" s="149" t="s">
        <v>4</v>
      </c>
      <c r="P115" s="150">
        <v>15.57</v>
      </c>
      <c r="Q115" s="150">
        <v>23.95</v>
      </c>
      <c r="R115" s="188">
        <v>0</v>
      </c>
      <c r="S115" s="199">
        <f t="shared" si="2"/>
        <v>125</v>
      </c>
      <c r="T115" s="152">
        <f t="shared" si="3"/>
        <v>23.95</v>
      </c>
      <c r="U115" s="14"/>
    </row>
    <row r="116" spans="1:21" s="7" customFormat="1" ht="12.75">
      <c r="A116" s="160" t="s">
        <v>5</v>
      </c>
      <c r="B116" s="156" t="s">
        <v>963</v>
      </c>
      <c r="C116" s="156" t="s">
        <v>1007</v>
      </c>
      <c r="D116" s="174" t="s">
        <v>320</v>
      </c>
      <c r="E116" s="146" t="s">
        <v>454</v>
      </c>
      <c r="F116" s="146" t="s">
        <v>454</v>
      </c>
      <c r="G116" s="147" t="s">
        <v>454</v>
      </c>
      <c r="H116" s="147" t="s">
        <v>454</v>
      </c>
      <c r="I116" s="147" t="s">
        <v>454</v>
      </c>
      <c r="J116" s="147" t="s">
        <v>410</v>
      </c>
      <c r="K116" s="147" t="s">
        <v>410</v>
      </c>
      <c r="L116" s="148" t="s">
        <v>768</v>
      </c>
      <c r="M116" s="148"/>
      <c r="N116" s="148"/>
      <c r="O116" s="149" t="s">
        <v>4</v>
      </c>
      <c r="P116" s="150">
        <v>15.57</v>
      </c>
      <c r="Q116" s="150">
        <v>23.95</v>
      </c>
      <c r="R116" s="188">
        <v>0</v>
      </c>
      <c r="S116" s="199">
        <f t="shared" si="2"/>
        <v>125</v>
      </c>
      <c r="T116" s="152">
        <f t="shared" si="3"/>
        <v>23.95</v>
      </c>
      <c r="U116" s="14"/>
    </row>
    <row r="117" spans="1:21" s="7" customFormat="1" ht="12.75">
      <c r="A117" s="221" t="s">
        <v>1810</v>
      </c>
      <c r="B117" s="156" t="s">
        <v>1842</v>
      </c>
      <c r="C117" s="156" t="s">
        <v>1873</v>
      </c>
      <c r="D117" s="174" t="s">
        <v>1874</v>
      </c>
      <c r="E117" s="146" t="s">
        <v>454</v>
      </c>
      <c r="F117" s="146" t="s">
        <v>454</v>
      </c>
      <c r="G117" s="147" t="s">
        <v>454</v>
      </c>
      <c r="H117" s="147" t="s">
        <v>454</v>
      </c>
      <c r="I117" s="147" t="s">
        <v>454</v>
      </c>
      <c r="J117" s="147" t="s">
        <v>454</v>
      </c>
      <c r="K117" s="147" t="s">
        <v>454</v>
      </c>
      <c r="L117" s="167" t="s">
        <v>768</v>
      </c>
      <c r="M117" s="167"/>
      <c r="N117" s="167"/>
      <c r="O117" s="149" t="s">
        <v>4</v>
      </c>
      <c r="P117" s="169">
        <v>15.57</v>
      </c>
      <c r="Q117" s="169">
        <v>23.95</v>
      </c>
      <c r="R117" s="188">
        <v>0</v>
      </c>
      <c r="S117" s="199">
        <f t="shared" si="2"/>
        <v>125</v>
      </c>
      <c r="T117" s="153">
        <f t="shared" si="3"/>
        <v>23.95</v>
      </c>
      <c r="U117" s="14"/>
    </row>
    <row r="118" spans="1:21" s="7" customFormat="1" ht="12.75">
      <c r="A118" s="160" t="s">
        <v>3</v>
      </c>
      <c r="B118" s="156" t="s">
        <v>1029</v>
      </c>
      <c r="C118" s="156" t="s">
        <v>1034</v>
      </c>
      <c r="D118" s="174" t="s">
        <v>960</v>
      </c>
      <c r="E118" s="146" t="s">
        <v>454</v>
      </c>
      <c r="F118" s="146" t="s">
        <v>454</v>
      </c>
      <c r="G118" s="147" t="s">
        <v>410</v>
      </c>
      <c r="H118" s="147" t="s">
        <v>410</v>
      </c>
      <c r="I118" s="147" t="s">
        <v>410</v>
      </c>
      <c r="J118" s="147" t="s">
        <v>410</v>
      </c>
      <c r="K118" s="147" t="s">
        <v>410</v>
      </c>
      <c r="L118" s="148" t="s">
        <v>768</v>
      </c>
      <c r="M118" s="148"/>
      <c r="N118" s="148"/>
      <c r="O118" s="149" t="s">
        <v>4</v>
      </c>
      <c r="P118" s="150">
        <v>15.57</v>
      </c>
      <c r="Q118" s="150">
        <v>23.95</v>
      </c>
      <c r="R118" s="188">
        <v>0</v>
      </c>
      <c r="S118" s="199">
        <f t="shared" si="2"/>
        <v>125</v>
      </c>
      <c r="T118" s="152">
        <f t="shared" si="3"/>
        <v>23.95</v>
      </c>
      <c r="U118" s="14"/>
    </row>
    <row r="119" spans="1:21" s="7" customFormat="1" ht="12.75">
      <c r="A119" s="160" t="s">
        <v>206</v>
      </c>
      <c r="B119" s="156" t="s">
        <v>965</v>
      </c>
      <c r="C119" s="156" t="s">
        <v>841</v>
      </c>
      <c r="D119" s="174" t="s">
        <v>393</v>
      </c>
      <c r="E119" s="146" t="s">
        <v>454</v>
      </c>
      <c r="F119" s="146" t="s">
        <v>454</v>
      </c>
      <c r="G119" s="147" t="s">
        <v>454</v>
      </c>
      <c r="H119" s="147" t="s">
        <v>454</v>
      </c>
      <c r="I119" s="147" t="s">
        <v>454</v>
      </c>
      <c r="J119" s="147" t="s">
        <v>410</v>
      </c>
      <c r="K119" s="147" t="s">
        <v>410</v>
      </c>
      <c r="L119" s="148" t="s">
        <v>768</v>
      </c>
      <c r="M119" s="148"/>
      <c r="N119" s="148"/>
      <c r="O119" s="149" t="s">
        <v>4</v>
      </c>
      <c r="P119" s="150">
        <v>15.57</v>
      </c>
      <c r="Q119" s="150">
        <v>23.95</v>
      </c>
      <c r="R119" s="188">
        <v>0</v>
      </c>
      <c r="S119" s="199">
        <f t="shared" si="2"/>
        <v>125</v>
      </c>
      <c r="T119" s="152">
        <f t="shared" si="3"/>
        <v>23.95</v>
      </c>
      <c r="U119" s="14"/>
    </row>
    <row r="120" spans="1:21" s="7" customFormat="1" ht="12.75">
      <c r="A120" s="160" t="s">
        <v>116</v>
      </c>
      <c r="B120" s="156" t="s">
        <v>384</v>
      </c>
      <c r="C120" s="156" t="s">
        <v>385</v>
      </c>
      <c r="D120" s="174" t="s">
        <v>323</v>
      </c>
      <c r="E120" s="146" t="s">
        <v>454</v>
      </c>
      <c r="F120" s="146" t="s">
        <v>454</v>
      </c>
      <c r="G120" s="147" t="s">
        <v>454</v>
      </c>
      <c r="H120" s="147" t="s">
        <v>454</v>
      </c>
      <c r="I120" s="147" t="s">
        <v>454</v>
      </c>
      <c r="J120" s="147" t="s">
        <v>454</v>
      </c>
      <c r="K120" s="147"/>
      <c r="L120" s="148" t="s">
        <v>768</v>
      </c>
      <c r="M120" s="148"/>
      <c r="N120" s="148"/>
      <c r="O120" s="149" t="s">
        <v>4</v>
      </c>
      <c r="P120" s="150">
        <v>15.54</v>
      </c>
      <c r="Q120" s="150">
        <v>23.95</v>
      </c>
      <c r="R120" s="188">
        <v>0</v>
      </c>
      <c r="S120" s="199">
        <f t="shared" si="2"/>
        <v>125</v>
      </c>
      <c r="T120" s="152">
        <f t="shared" si="3"/>
        <v>23.95</v>
      </c>
      <c r="U120" s="14"/>
    </row>
    <row r="121" spans="1:21" s="7" customFormat="1" ht="12.75">
      <c r="A121" s="160" t="s">
        <v>635</v>
      </c>
      <c r="B121" s="156" t="s">
        <v>962</v>
      </c>
      <c r="C121" s="156" t="s">
        <v>1006</v>
      </c>
      <c r="D121" s="174" t="s">
        <v>663</v>
      </c>
      <c r="E121" s="146" t="s">
        <v>454</v>
      </c>
      <c r="F121" s="146" t="s">
        <v>454</v>
      </c>
      <c r="G121" s="147" t="s">
        <v>454</v>
      </c>
      <c r="H121" s="147" t="s">
        <v>454</v>
      </c>
      <c r="I121" s="147" t="s">
        <v>454</v>
      </c>
      <c r="J121" s="147" t="s">
        <v>454</v>
      </c>
      <c r="K121" s="147"/>
      <c r="L121" s="148" t="s">
        <v>768</v>
      </c>
      <c r="M121" s="148"/>
      <c r="N121" s="148"/>
      <c r="O121" s="149" t="s">
        <v>4</v>
      </c>
      <c r="P121" s="150">
        <v>15.57</v>
      </c>
      <c r="Q121" s="150">
        <v>23.95</v>
      </c>
      <c r="R121" s="188">
        <v>0</v>
      </c>
      <c r="S121" s="199">
        <f t="shared" si="2"/>
        <v>125</v>
      </c>
      <c r="T121" s="152">
        <f t="shared" si="3"/>
        <v>23.95</v>
      </c>
      <c r="U121" s="14"/>
    </row>
    <row r="122" spans="1:21" s="7" customFormat="1" ht="12.75">
      <c r="A122" s="221" t="s">
        <v>1700</v>
      </c>
      <c r="B122" s="156" t="s">
        <v>1694</v>
      </c>
      <c r="C122" s="156" t="s">
        <v>1788</v>
      </c>
      <c r="D122" s="174" t="s">
        <v>1805</v>
      </c>
      <c r="E122" s="146" t="s">
        <v>454</v>
      </c>
      <c r="F122" s="146" t="s">
        <v>454</v>
      </c>
      <c r="G122" s="147" t="s">
        <v>454</v>
      </c>
      <c r="H122" s="147" t="s">
        <v>454</v>
      </c>
      <c r="I122" s="147" t="s">
        <v>454</v>
      </c>
      <c r="J122" s="147" t="s">
        <v>454</v>
      </c>
      <c r="K122" s="147" t="s">
        <v>454</v>
      </c>
      <c r="L122" s="148"/>
      <c r="M122" s="148" t="s">
        <v>1684</v>
      </c>
      <c r="N122" s="148"/>
      <c r="O122" s="149" t="s">
        <v>10</v>
      </c>
      <c r="P122" s="150">
        <v>159.41999999999999</v>
      </c>
      <c r="Q122" s="150">
        <v>245.95</v>
      </c>
      <c r="R122" s="188">
        <v>0.1</v>
      </c>
      <c r="S122" s="199">
        <f t="shared" si="2"/>
        <v>125</v>
      </c>
      <c r="T122" s="152">
        <f t="shared" si="3"/>
        <v>258.45</v>
      </c>
      <c r="U122" s="14"/>
    </row>
    <row r="123" spans="1:21" s="7" customFormat="1" ht="12.75">
      <c r="A123" s="221" t="s">
        <v>1695</v>
      </c>
      <c r="B123" s="156" t="s">
        <v>1696</v>
      </c>
      <c r="C123" s="156" t="s">
        <v>1789</v>
      </c>
      <c r="D123" s="174" t="s">
        <v>1805</v>
      </c>
      <c r="E123" s="146" t="s">
        <v>454</v>
      </c>
      <c r="F123" s="146" t="s">
        <v>454</v>
      </c>
      <c r="G123" s="147" t="s">
        <v>454</v>
      </c>
      <c r="H123" s="147" t="s">
        <v>454</v>
      </c>
      <c r="I123" s="147" t="s">
        <v>454</v>
      </c>
      <c r="J123" s="147" t="s">
        <v>454</v>
      </c>
      <c r="K123" s="147" t="s">
        <v>454</v>
      </c>
      <c r="L123" s="148"/>
      <c r="M123" s="148" t="s">
        <v>1684</v>
      </c>
      <c r="N123" s="148"/>
      <c r="O123" s="149" t="s">
        <v>10</v>
      </c>
      <c r="P123" s="150">
        <v>103.89</v>
      </c>
      <c r="Q123" s="150">
        <v>159.94999999999999</v>
      </c>
      <c r="R123" s="188">
        <v>0.1</v>
      </c>
      <c r="S123" s="199">
        <f t="shared" si="2"/>
        <v>125</v>
      </c>
      <c r="T123" s="152">
        <f t="shared" si="3"/>
        <v>172.45</v>
      </c>
      <c r="U123" s="14"/>
    </row>
    <row r="124" spans="1:21" s="7" customFormat="1" ht="12.75">
      <c r="A124" s="221" t="s">
        <v>1691</v>
      </c>
      <c r="B124" s="156" t="s">
        <v>1693</v>
      </c>
      <c r="C124" s="156" t="s">
        <v>1787</v>
      </c>
      <c r="D124" s="174" t="s">
        <v>1805</v>
      </c>
      <c r="E124" s="146" t="s">
        <v>454</v>
      </c>
      <c r="F124" s="146" t="s">
        <v>454</v>
      </c>
      <c r="G124" s="147" t="s">
        <v>454</v>
      </c>
      <c r="H124" s="147" t="s">
        <v>454</v>
      </c>
      <c r="I124" s="147" t="s">
        <v>454</v>
      </c>
      <c r="J124" s="147" t="s">
        <v>454</v>
      </c>
      <c r="K124" s="147" t="s">
        <v>454</v>
      </c>
      <c r="L124" s="148" t="s">
        <v>768</v>
      </c>
      <c r="M124" s="148" t="s">
        <v>1684</v>
      </c>
      <c r="N124" s="148"/>
      <c r="O124" s="149" t="s">
        <v>10</v>
      </c>
      <c r="P124" s="150">
        <v>134.5</v>
      </c>
      <c r="Q124" s="150">
        <v>224.95</v>
      </c>
      <c r="R124" s="188">
        <v>2</v>
      </c>
      <c r="S124" s="199">
        <f t="shared" si="2"/>
        <v>125</v>
      </c>
      <c r="T124" s="152">
        <f t="shared" si="3"/>
        <v>474.95</v>
      </c>
      <c r="U124" s="14"/>
    </row>
    <row r="125" spans="1:21" s="7" customFormat="1" ht="12.75">
      <c r="A125" s="221" t="s">
        <v>1698</v>
      </c>
      <c r="B125" s="156" t="s">
        <v>1699</v>
      </c>
      <c r="C125" s="156" t="s">
        <v>1830</v>
      </c>
      <c r="D125" s="174" t="s">
        <v>1805</v>
      </c>
      <c r="E125" s="146" t="s">
        <v>454</v>
      </c>
      <c r="F125" s="146" t="s">
        <v>454</v>
      </c>
      <c r="G125" s="147" t="s">
        <v>454</v>
      </c>
      <c r="H125" s="147" t="s">
        <v>454</v>
      </c>
      <c r="I125" s="147" t="s">
        <v>454</v>
      </c>
      <c r="J125" s="147" t="s">
        <v>454</v>
      </c>
      <c r="K125" s="147" t="s">
        <v>454</v>
      </c>
      <c r="L125" s="148" t="s">
        <v>768</v>
      </c>
      <c r="M125" s="148" t="s">
        <v>1684</v>
      </c>
      <c r="N125" s="148"/>
      <c r="O125" s="149" t="s">
        <v>10</v>
      </c>
      <c r="P125" s="150">
        <v>509.7</v>
      </c>
      <c r="Q125" s="150">
        <v>784.95</v>
      </c>
      <c r="R125" s="188">
        <v>2.5</v>
      </c>
      <c r="S125" s="199">
        <f t="shared" si="2"/>
        <v>125</v>
      </c>
      <c r="T125" s="152">
        <f t="shared" si="3"/>
        <v>1097.45</v>
      </c>
      <c r="U125" s="14"/>
    </row>
    <row r="126" spans="1:21" s="7" customFormat="1" ht="12.75">
      <c r="A126" s="284" t="s">
        <v>531</v>
      </c>
      <c r="B126" s="151" t="s">
        <v>541</v>
      </c>
      <c r="C126" s="151" t="s">
        <v>754</v>
      </c>
      <c r="D126" s="174" t="s">
        <v>128</v>
      </c>
      <c r="E126" s="146" t="s">
        <v>454</v>
      </c>
      <c r="F126" s="146" t="s">
        <v>454</v>
      </c>
      <c r="G126" s="147" t="s">
        <v>454</v>
      </c>
      <c r="H126" s="147" t="s">
        <v>454</v>
      </c>
      <c r="I126" s="147" t="s">
        <v>454</v>
      </c>
      <c r="J126" s="147" t="s">
        <v>454</v>
      </c>
      <c r="K126" s="147" t="s">
        <v>454</v>
      </c>
      <c r="L126" s="148" t="s">
        <v>768</v>
      </c>
      <c r="M126" s="148" t="s">
        <v>1684</v>
      </c>
      <c r="N126" s="148"/>
      <c r="O126" s="149" t="s">
        <v>16</v>
      </c>
      <c r="P126" s="150">
        <v>97.77</v>
      </c>
      <c r="Q126" s="150">
        <v>162.94999999999999</v>
      </c>
      <c r="R126" s="188">
        <v>0</v>
      </c>
      <c r="S126" s="199">
        <f t="shared" si="2"/>
        <v>125</v>
      </c>
      <c r="T126" s="152">
        <f t="shared" si="3"/>
        <v>162.94999999999999</v>
      </c>
      <c r="U126" s="14"/>
    </row>
    <row r="127" spans="1:21" s="7" customFormat="1" ht="12.75">
      <c r="A127" s="284" t="s">
        <v>1812</v>
      </c>
      <c r="B127" s="155" t="s">
        <v>214</v>
      </c>
      <c r="C127" s="155" t="s">
        <v>1814</v>
      </c>
      <c r="D127" s="174" t="s">
        <v>1813</v>
      </c>
      <c r="E127" s="146" t="s">
        <v>454</v>
      </c>
      <c r="F127" s="146" t="s">
        <v>454</v>
      </c>
      <c r="G127" s="147" t="s">
        <v>454</v>
      </c>
      <c r="H127" s="147" t="s">
        <v>454</v>
      </c>
      <c r="I127" s="147" t="s">
        <v>454</v>
      </c>
      <c r="J127" s="147" t="s">
        <v>454</v>
      </c>
      <c r="K127" s="147" t="s">
        <v>454</v>
      </c>
      <c r="L127" s="148"/>
      <c r="M127" s="148"/>
      <c r="N127" s="148"/>
      <c r="O127" s="149" t="s">
        <v>16</v>
      </c>
      <c r="P127" s="150">
        <v>123.92</v>
      </c>
      <c r="Q127" s="150">
        <v>184.95</v>
      </c>
      <c r="R127" s="188">
        <v>0</v>
      </c>
      <c r="S127" s="199">
        <f t="shared" si="2"/>
        <v>125</v>
      </c>
      <c r="T127" s="152">
        <f t="shared" si="3"/>
        <v>184.95</v>
      </c>
      <c r="U127" s="16"/>
    </row>
    <row r="128" spans="1:21" s="16" customFormat="1" ht="12.75">
      <c r="A128" s="221" t="s">
        <v>17</v>
      </c>
      <c r="B128" s="156" t="s">
        <v>644</v>
      </c>
      <c r="C128" s="156" t="s">
        <v>1807</v>
      </c>
      <c r="D128" s="174" t="s">
        <v>1752</v>
      </c>
      <c r="E128" s="146" t="s">
        <v>454</v>
      </c>
      <c r="F128" s="146" t="s">
        <v>454</v>
      </c>
      <c r="G128" s="147" t="s">
        <v>454</v>
      </c>
      <c r="H128" s="147" t="s">
        <v>454</v>
      </c>
      <c r="I128" s="147" t="s">
        <v>454</v>
      </c>
      <c r="J128" s="147" t="s">
        <v>454</v>
      </c>
      <c r="K128" s="147" t="s">
        <v>454</v>
      </c>
      <c r="L128" s="148" t="s">
        <v>768</v>
      </c>
      <c r="M128" s="148"/>
      <c r="N128" s="148"/>
      <c r="O128" s="149" t="s">
        <v>16</v>
      </c>
      <c r="P128" s="150">
        <v>39.99</v>
      </c>
      <c r="Q128" s="150">
        <v>59.95</v>
      </c>
      <c r="R128" s="188">
        <v>0</v>
      </c>
      <c r="S128" s="199">
        <f t="shared" si="2"/>
        <v>125</v>
      </c>
      <c r="T128" s="152">
        <f t="shared" si="3"/>
        <v>59.95</v>
      </c>
    </row>
    <row r="129" spans="1:21" s="16" customFormat="1" ht="12.75">
      <c r="A129" s="290" t="s">
        <v>1487</v>
      </c>
      <c r="B129" s="161" t="s">
        <v>1485</v>
      </c>
      <c r="C129" s="157" t="s">
        <v>2177</v>
      </c>
      <c r="D129" s="174" t="s">
        <v>1709</v>
      </c>
      <c r="E129" s="146" t="s">
        <v>454</v>
      </c>
      <c r="F129" s="146" t="s">
        <v>454</v>
      </c>
      <c r="G129" s="147" t="s">
        <v>454</v>
      </c>
      <c r="H129" s="147" t="s">
        <v>454</v>
      </c>
      <c r="I129" s="147" t="s">
        <v>454</v>
      </c>
      <c r="J129" s="147" t="s">
        <v>454</v>
      </c>
      <c r="K129" s="147" t="s">
        <v>454</v>
      </c>
      <c r="L129" s="148" t="s">
        <v>768</v>
      </c>
      <c r="M129" s="148"/>
      <c r="N129" s="148"/>
      <c r="O129" s="149" t="s">
        <v>0</v>
      </c>
      <c r="P129" s="150">
        <v>47</v>
      </c>
      <c r="Q129" s="150">
        <v>64.95</v>
      </c>
      <c r="R129" s="188">
        <v>0</v>
      </c>
      <c r="S129" s="199">
        <f t="shared" si="2"/>
        <v>125</v>
      </c>
      <c r="T129" s="152">
        <f t="shared" si="3"/>
        <v>64.95</v>
      </c>
    </row>
    <row r="130" spans="1:21" s="16" customFormat="1" ht="12.75">
      <c r="A130" s="162" t="s">
        <v>294</v>
      </c>
      <c r="B130" s="156" t="s">
        <v>295</v>
      </c>
      <c r="C130" s="156" t="s">
        <v>296</v>
      </c>
      <c r="D130" s="174" t="s">
        <v>1708</v>
      </c>
      <c r="E130" s="146" t="s">
        <v>454</v>
      </c>
      <c r="F130" s="146" t="s">
        <v>454</v>
      </c>
      <c r="G130" s="147" t="s">
        <v>454</v>
      </c>
      <c r="H130" s="147" t="s">
        <v>454</v>
      </c>
      <c r="I130" s="147" t="s">
        <v>454</v>
      </c>
      <c r="J130" s="147" t="s">
        <v>454</v>
      </c>
      <c r="K130" s="147" t="s">
        <v>454</v>
      </c>
      <c r="L130" s="148" t="s">
        <v>768</v>
      </c>
      <c r="M130" s="148"/>
      <c r="N130" s="148"/>
      <c r="O130" s="149" t="s">
        <v>0</v>
      </c>
      <c r="P130" s="150">
        <v>60</v>
      </c>
      <c r="Q130" s="150">
        <v>79.95</v>
      </c>
      <c r="R130" s="188">
        <v>0</v>
      </c>
      <c r="S130" s="199">
        <f t="shared" si="2"/>
        <v>125</v>
      </c>
      <c r="T130" s="152">
        <f t="shared" si="3"/>
        <v>79.95</v>
      </c>
    </row>
    <row r="131" spans="1:21" s="16" customFormat="1" ht="12.75">
      <c r="A131" s="284" t="s">
        <v>522</v>
      </c>
      <c r="B131" s="151" t="s">
        <v>854</v>
      </c>
      <c r="C131" s="151" t="s">
        <v>1811</v>
      </c>
      <c r="D131" s="174" t="s">
        <v>2174</v>
      </c>
      <c r="E131" s="146" t="s">
        <v>454</v>
      </c>
      <c r="F131" s="146" t="s">
        <v>454</v>
      </c>
      <c r="G131" s="147" t="s">
        <v>454</v>
      </c>
      <c r="H131" s="147" t="s">
        <v>454</v>
      </c>
      <c r="I131" s="147" t="s">
        <v>454</v>
      </c>
      <c r="J131" s="147" t="s">
        <v>454</v>
      </c>
      <c r="K131" s="147" t="s">
        <v>454</v>
      </c>
      <c r="L131" s="148"/>
      <c r="M131" s="148"/>
      <c r="N131" s="148"/>
      <c r="O131" s="149" t="s">
        <v>10</v>
      </c>
      <c r="P131" s="150">
        <v>53</v>
      </c>
      <c r="Q131" s="150">
        <v>88.95</v>
      </c>
      <c r="R131" s="188">
        <v>0.1</v>
      </c>
      <c r="S131" s="199">
        <f t="shared" ref="S131:S137" si="4">$O$1</f>
        <v>125</v>
      </c>
      <c r="T131" s="152">
        <f t="shared" ref="T131:T137" si="5">R131*S131+Q131</f>
        <v>101.45</v>
      </c>
      <c r="U131" s="7"/>
    </row>
    <row r="132" spans="1:21" s="7" customFormat="1" ht="12.75">
      <c r="A132" s="284" t="s">
        <v>1059</v>
      </c>
      <c r="B132" s="151" t="s">
        <v>1060</v>
      </c>
      <c r="C132" s="151" t="s">
        <v>1068</v>
      </c>
      <c r="D132" s="174" t="s">
        <v>2160</v>
      </c>
      <c r="E132" s="146" t="s">
        <v>454</v>
      </c>
      <c r="F132" s="146" t="s">
        <v>454</v>
      </c>
      <c r="G132" s="147" t="s">
        <v>454</v>
      </c>
      <c r="H132" s="147" t="s">
        <v>454</v>
      </c>
      <c r="I132" s="147" t="s">
        <v>454</v>
      </c>
      <c r="J132" s="147" t="s">
        <v>454</v>
      </c>
      <c r="K132" s="147" t="s">
        <v>454</v>
      </c>
      <c r="L132" s="148" t="s">
        <v>768</v>
      </c>
      <c r="M132" s="148"/>
      <c r="N132" s="148"/>
      <c r="O132" s="149" t="s">
        <v>4</v>
      </c>
      <c r="P132" s="150">
        <v>2.5</v>
      </c>
      <c r="Q132" s="150">
        <v>4.95</v>
      </c>
      <c r="R132" s="188">
        <v>0</v>
      </c>
      <c r="S132" s="199">
        <f t="shared" si="4"/>
        <v>125</v>
      </c>
      <c r="T132" s="152">
        <f t="shared" si="5"/>
        <v>4.95</v>
      </c>
    </row>
    <row r="133" spans="1:21" s="7" customFormat="1" ht="12.75">
      <c r="A133" s="284" t="s">
        <v>1061</v>
      </c>
      <c r="B133" s="151" t="s">
        <v>1646</v>
      </c>
      <c r="C133" s="151" t="s">
        <v>1069</v>
      </c>
      <c r="D133" s="174" t="s">
        <v>2161</v>
      </c>
      <c r="E133" s="146" t="s">
        <v>454</v>
      </c>
      <c r="F133" s="146" t="s">
        <v>454</v>
      </c>
      <c r="G133" s="147" t="s">
        <v>454</v>
      </c>
      <c r="H133" s="147" t="s">
        <v>454</v>
      </c>
      <c r="I133" s="147" t="s">
        <v>454</v>
      </c>
      <c r="J133" s="147" t="s">
        <v>454</v>
      </c>
      <c r="K133" s="147" t="s">
        <v>454</v>
      </c>
      <c r="L133" s="148" t="s">
        <v>768</v>
      </c>
      <c r="M133" s="148"/>
      <c r="N133" s="148"/>
      <c r="O133" s="149" t="s">
        <v>4</v>
      </c>
      <c r="P133" s="150">
        <v>2.5</v>
      </c>
      <c r="Q133" s="150">
        <v>4.95</v>
      </c>
      <c r="R133" s="188">
        <v>0</v>
      </c>
      <c r="S133" s="199">
        <f t="shared" si="4"/>
        <v>125</v>
      </c>
      <c r="T133" s="152">
        <f t="shared" si="5"/>
        <v>4.95</v>
      </c>
    </row>
    <row r="134" spans="1:21" s="7" customFormat="1" ht="12.75">
      <c r="A134" s="284" t="s">
        <v>1070</v>
      </c>
      <c r="B134" s="151" t="s">
        <v>1064</v>
      </c>
      <c r="C134" s="7" t="s">
        <v>1066</v>
      </c>
      <c r="D134" s="174" t="s">
        <v>2162</v>
      </c>
      <c r="E134" s="146" t="s">
        <v>454</v>
      </c>
      <c r="F134" s="146" t="s">
        <v>454</v>
      </c>
      <c r="G134" s="147" t="s">
        <v>454</v>
      </c>
      <c r="H134" s="147" t="s">
        <v>454</v>
      </c>
      <c r="I134" s="147" t="s">
        <v>454</v>
      </c>
      <c r="J134" s="147" t="s">
        <v>454</v>
      </c>
      <c r="K134" s="147" t="s">
        <v>454</v>
      </c>
      <c r="L134" s="148" t="s">
        <v>768</v>
      </c>
      <c r="M134" s="148"/>
      <c r="N134" s="148"/>
      <c r="O134" s="149" t="s">
        <v>4</v>
      </c>
      <c r="P134" s="150">
        <v>2.5</v>
      </c>
      <c r="Q134" s="150">
        <v>4.95</v>
      </c>
      <c r="R134" s="188">
        <v>0</v>
      </c>
      <c r="S134" s="199">
        <f t="shared" si="4"/>
        <v>125</v>
      </c>
      <c r="T134" s="152">
        <f t="shared" si="5"/>
        <v>4.95</v>
      </c>
    </row>
    <row r="135" spans="1:21" s="7" customFormat="1" ht="12.75">
      <c r="A135" s="284" t="s">
        <v>1071</v>
      </c>
      <c r="B135" s="151" t="s">
        <v>1065</v>
      </c>
      <c r="C135" s="151" t="s">
        <v>1067</v>
      </c>
      <c r="D135" s="174" t="s">
        <v>2162</v>
      </c>
      <c r="E135" s="146" t="s">
        <v>454</v>
      </c>
      <c r="F135" s="146" t="s">
        <v>454</v>
      </c>
      <c r="G135" s="147" t="s">
        <v>454</v>
      </c>
      <c r="H135" s="147" t="s">
        <v>454</v>
      </c>
      <c r="I135" s="147" t="s">
        <v>454</v>
      </c>
      <c r="J135" s="147" t="s">
        <v>454</v>
      </c>
      <c r="K135" s="147" t="s">
        <v>454</v>
      </c>
      <c r="L135" s="148" t="s">
        <v>768</v>
      </c>
      <c r="M135" s="148"/>
      <c r="N135" s="148"/>
      <c r="O135" s="149" t="s">
        <v>4</v>
      </c>
      <c r="P135" s="150">
        <v>2.5</v>
      </c>
      <c r="Q135" s="150">
        <v>4.95</v>
      </c>
      <c r="R135" s="188">
        <v>0</v>
      </c>
      <c r="S135" s="199">
        <f t="shared" si="4"/>
        <v>125</v>
      </c>
      <c r="T135" s="152">
        <f t="shared" si="5"/>
        <v>4.95</v>
      </c>
    </row>
    <row r="136" spans="1:21" s="7" customFormat="1" ht="12.75">
      <c r="A136" s="284" t="s">
        <v>1622</v>
      </c>
      <c r="B136" s="151" t="s">
        <v>1570</v>
      </c>
      <c r="C136" s="151" t="s">
        <v>1574</v>
      </c>
      <c r="D136" s="174" t="s">
        <v>1062</v>
      </c>
      <c r="E136" s="146" t="s">
        <v>454</v>
      </c>
      <c r="F136" s="146" t="s">
        <v>454</v>
      </c>
      <c r="G136" s="147" t="s">
        <v>454</v>
      </c>
      <c r="H136" s="147" t="s">
        <v>454</v>
      </c>
      <c r="I136" s="147" t="s">
        <v>454</v>
      </c>
      <c r="J136" s="147" t="s">
        <v>454</v>
      </c>
      <c r="K136" s="147" t="s">
        <v>454</v>
      </c>
      <c r="L136" s="148"/>
      <c r="M136" s="148"/>
      <c r="N136" s="148"/>
      <c r="O136" s="149" t="s">
        <v>4</v>
      </c>
      <c r="P136" s="150" t="e">
        <v>#N/A</v>
      </c>
      <c r="Q136" s="150" t="e">
        <v>#N/A</v>
      </c>
      <c r="R136" s="188">
        <v>0</v>
      </c>
      <c r="S136" s="199">
        <f t="shared" si="4"/>
        <v>125</v>
      </c>
      <c r="T136" s="152" t="e">
        <f t="shared" si="5"/>
        <v>#N/A</v>
      </c>
    </row>
    <row r="137" spans="1:21" s="7" customFormat="1" ht="12.75">
      <c r="A137" s="284" t="s">
        <v>1623</v>
      </c>
      <c r="B137" s="151" t="s">
        <v>1569</v>
      </c>
      <c r="C137" s="151" t="s">
        <v>2223</v>
      </c>
      <c r="D137" s="174" t="s">
        <v>1063</v>
      </c>
      <c r="E137" s="146" t="s">
        <v>454</v>
      </c>
      <c r="F137" s="146" t="s">
        <v>454</v>
      </c>
      <c r="G137" s="147" t="s">
        <v>454</v>
      </c>
      <c r="H137" s="147" t="s">
        <v>454</v>
      </c>
      <c r="I137" s="147" t="s">
        <v>454</v>
      </c>
      <c r="J137" s="147" t="s">
        <v>454</v>
      </c>
      <c r="K137" s="147" t="s">
        <v>454</v>
      </c>
      <c r="L137" s="148"/>
      <c r="M137" s="148"/>
      <c r="N137" s="148"/>
      <c r="O137" s="149" t="s">
        <v>4</v>
      </c>
      <c r="P137" s="150" t="e">
        <v>#N/A</v>
      </c>
      <c r="Q137" s="150" t="e">
        <v>#N/A</v>
      </c>
      <c r="R137" s="188">
        <v>0</v>
      </c>
      <c r="S137" s="199">
        <f t="shared" si="4"/>
        <v>125</v>
      </c>
      <c r="T137" s="152" t="e">
        <f t="shared" si="5"/>
        <v>#N/A</v>
      </c>
    </row>
  </sheetData>
  <sortState xmlns:xlrd2="http://schemas.microsoft.com/office/spreadsheetml/2017/richdata2" ref="A3:S135">
    <sortCondition ref="B3:B135"/>
  </sortState>
  <mergeCells count="4">
    <mergeCell ref="M2:N2"/>
    <mergeCell ref="A1:C1"/>
    <mergeCell ref="D1:N1"/>
    <mergeCell ref="S1:T1"/>
  </mergeCells>
  <conditionalFormatting sqref="P18:Q18">
    <cfRule type="cellIs" dxfId="7" priority="3" operator="lessThan">
      <formula>0.02</formula>
    </cfRule>
  </conditionalFormatting>
  <hyperlinks>
    <hyperlink ref="L3" r:id="rId1" xr:uid="{AB62E9EE-3CE2-43C0-BAFC-7D2704FADCC2}"/>
    <hyperlink ref="L59" r:id="rId2" xr:uid="{A8C74B16-4F1A-4FB3-9091-23D084F2368B}"/>
    <hyperlink ref="L51" r:id="rId3" xr:uid="{7F285012-32BD-4280-82CD-D4D18C016FDB}"/>
    <hyperlink ref="L50" r:id="rId4" xr:uid="{3849F2D6-0568-484A-8082-EDBB8B2EFA02}"/>
    <hyperlink ref="L49" r:id="rId5" xr:uid="{E11E9F45-5FBB-4E46-B54A-D0FD12BDFE5F}"/>
    <hyperlink ref="L28" r:id="rId6" xr:uid="{22B5E859-A5AC-489D-9EDA-6A2EF943C697}"/>
    <hyperlink ref="L30" r:id="rId7" xr:uid="{77795A22-805A-4FE3-8F8A-0245F911FDEF}"/>
    <hyperlink ref="L31" r:id="rId8" xr:uid="{B21FD7B1-1A0B-4107-8B4A-D5B01C972981}"/>
    <hyperlink ref="L33:L38" r:id="rId9" display="PHOTO" xr:uid="{6CFC2F99-5A03-4937-98E7-2003AB659D9F}"/>
    <hyperlink ref="L104" r:id="rId10" xr:uid="{30F028B6-0EC9-43B6-A135-54E75626694E}"/>
    <hyperlink ref="L106" r:id="rId11" xr:uid="{573588E6-0EB4-4A89-9FC8-938FA876865B}"/>
    <hyperlink ref="L107" r:id="rId12" xr:uid="{AE9C633D-2066-4B57-A0DC-81698EBEE3DA}"/>
    <hyperlink ref="L108" r:id="rId13" xr:uid="{9E86B482-3CEA-48FB-85C8-2A6A8AF32277}"/>
    <hyperlink ref="L109" r:id="rId14" xr:uid="{B950CB5B-5306-4C3F-9218-8720F72739D6}"/>
    <hyperlink ref="L110" r:id="rId15" xr:uid="{F05FEE56-F038-4AFE-BA23-61DB2AC26885}"/>
    <hyperlink ref="L111" r:id="rId16" xr:uid="{061B5607-54FC-4A48-A241-3BA815C0EDC4}"/>
    <hyperlink ref="L112" r:id="rId17" xr:uid="{E857014D-D7FE-4AE8-9CB3-9FFA9CC0389D}"/>
    <hyperlink ref="L113" r:id="rId18" xr:uid="{17F22BC5-8D11-49AA-8E65-D2F48653931A}"/>
    <hyperlink ref="L114" r:id="rId19" xr:uid="{E26D88E2-CA07-4CF4-945B-CA385FB92E5F}"/>
    <hyperlink ref="L42" r:id="rId20" xr:uid="{CDCDC91F-955E-4BCF-9F09-29681FE781E6}"/>
    <hyperlink ref="L45" r:id="rId21" xr:uid="{9C33C7E2-C4E5-4BBE-A7CB-74BD0EDE7A4A}"/>
    <hyperlink ref="L47" r:id="rId22" xr:uid="{EAE7FFBF-D682-46FB-94CA-21ECFE918FB2}"/>
    <hyperlink ref="L46" r:id="rId23" xr:uid="{A691E05F-B329-4DBA-BC4A-7D5E54106B0B}"/>
    <hyperlink ref="L48" r:id="rId24" xr:uid="{ADAFD40B-27D5-46AC-BF25-5E5A12D7B9A6}"/>
    <hyperlink ref="L60" r:id="rId25" xr:uid="{2C5F84AD-7E8F-4D00-B327-7BD3052AF33E}"/>
    <hyperlink ref="L61:L66" r:id="rId26" display="PHOTO" xr:uid="{A833B848-8290-40EB-BAE3-3A4159663CF4}"/>
    <hyperlink ref="L87" r:id="rId27" xr:uid="{E0ACBE3D-D789-4D68-9465-84AA72264255}"/>
    <hyperlink ref="L89:L93" r:id="rId28" display="PHOTO" xr:uid="{E06953EE-62B2-4276-B602-771F424CE4F5}"/>
    <hyperlink ref="L115" r:id="rId29" xr:uid="{A2B28CFE-999B-4A8F-9ED8-601DB6AB3681}"/>
    <hyperlink ref="L4" r:id="rId30" xr:uid="{F40E7C7E-C931-4427-B7C4-04765B9441B9}"/>
    <hyperlink ref="L40" r:id="rId31" xr:uid="{B2E20F96-6088-4528-B08A-B7E2E5B45403}"/>
    <hyperlink ref="L43" r:id="rId32" xr:uid="{28893F16-7470-426F-A821-E7D948D9F49C}"/>
    <hyperlink ref="L44" r:id="rId33" xr:uid="{F5A1C5AB-ED59-4E15-8297-7DE26F15A134}"/>
    <hyperlink ref="L134" r:id="rId34" xr:uid="{48931F4A-FD40-46E9-9630-F07B10D2A1C6}"/>
    <hyperlink ref="L135" r:id="rId35" xr:uid="{35A1BCB2-E316-4C3D-87B5-1A509D73D425}"/>
    <hyperlink ref="L132" r:id="rId36" xr:uid="{876B40BA-17A0-4652-A0EB-F9D348F3D0F0}"/>
    <hyperlink ref="L133" r:id="rId37" xr:uid="{B2D8EDF1-06A7-48C3-A7DB-0BE30A025D97}"/>
    <hyperlink ref="L21" r:id="rId38" xr:uid="{AAF2F364-D431-45E3-A56B-5DF83841B2BC}"/>
    <hyperlink ref="L129" r:id="rId39" xr:uid="{EFE3BC2E-A8AD-4C81-99F0-470858045CF1}"/>
    <hyperlink ref="L84" r:id="rId40" xr:uid="{93A37385-4097-4D9A-ACFD-BF87E6777DE7}"/>
    <hyperlink ref="L54" r:id="rId41" xr:uid="{71C40F76-6AF5-462A-A7A5-BA6E37B76101}"/>
    <hyperlink ref="L78" r:id="rId42" xr:uid="{19136AB2-D6EC-4E74-82C7-8ED286ADA42E}"/>
    <hyperlink ref="L126" r:id="rId43" xr:uid="{A8C68125-BCCE-4D70-884B-76C89BAAAD34}"/>
    <hyperlink ref="L12" r:id="rId44" xr:uid="{ED3FA05B-9E4E-4FD7-9A67-B2AEA5E1E287}"/>
    <hyperlink ref="L83" r:id="rId45" xr:uid="{C8D83705-EAB4-41C9-AA65-7E00C3A7096F}"/>
    <hyperlink ref="L14" r:id="rId46" xr:uid="{D18C04CB-0D5D-49E6-87C8-91DFF34BBE60}"/>
    <hyperlink ref="L7" r:id="rId47" xr:uid="{A9880AA0-DF5C-4209-B59E-AF12DF919D2F}"/>
    <hyperlink ref="L25" r:id="rId48" xr:uid="{3415F1BC-5A6A-4339-9DD0-4187C99797A2}"/>
    <hyperlink ref="L26" r:id="rId49" xr:uid="{A3CB2FF9-C6D5-4C14-AA9A-BBA17E71134C}"/>
    <hyperlink ref="L27" r:id="rId50" xr:uid="{CE5586BB-AC09-4CE8-9131-F048DEBAFE4A}"/>
    <hyperlink ref="L56" r:id="rId51" xr:uid="{4A9EE7A0-1C8C-4D29-ABEA-A5F355A9B6E9}"/>
    <hyperlink ref="L38" r:id="rId52" xr:uid="{9329BAF1-180E-4363-AE6C-360C434173D3}"/>
    <hyperlink ref="L94" r:id="rId53" xr:uid="{C4E1C04E-E3F5-489A-8F10-905115595F32}"/>
    <hyperlink ref="L39" r:id="rId54" xr:uid="{A50866F5-DAED-4296-83AF-0028689AB7F2}"/>
    <hyperlink ref="L95" r:id="rId55" xr:uid="{0AAC1CDF-97DF-4615-8CD1-C0B59044C7B1}"/>
    <hyperlink ref="L20" r:id="rId56" xr:uid="{4A5B4AAB-59C7-4ACE-AF52-E5E6B668E8BF}"/>
    <hyperlink ref="L19" r:id="rId57" xr:uid="{ABC79D8C-70EF-472B-81D7-76C0D7BBF6F5}"/>
    <hyperlink ref="L85" r:id="rId58" xr:uid="{02147A38-4EB5-4DE8-9A90-416C3E28A328}"/>
    <hyperlink ref="L15" r:id="rId59" xr:uid="{9E64DA90-B2C6-4CD5-9273-C0F1226210ED}"/>
    <hyperlink ref="L22" r:id="rId60" xr:uid="{CBE2B447-07F6-4E79-BDF3-B75F700D58C4}"/>
    <hyperlink ref="L53" r:id="rId61" xr:uid="{DF311C80-F9A5-4204-9C64-C226BBE310DE}"/>
    <hyperlink ref="L79" r:id="rId62" xr:uid="{7CA81B01-E9B3-46DB-953F-4230493FB055}"/>
    <hyperlink ref="L13" r:id="rId63" xr:uid="{5D5F8224-7D92-44F4-8BD4-79C259501A88}"/>
    <hyperlink ref="M22" r:id="rId64" xr:uid="{907EE3E5-C29F-40A9-B3AF-32C458DBC527}"/>
    <hyperlink ref="M28" r:id="rId65" xr:uid="{1D93C71A-9532-42E2-A29F-C53B25617E40}"/>
    <hyperlink ref="M3" r:id="rId66" xr:uid="{E6DCB29A-38C2-4F41-A50F-E671B234884F}"/>
    <hyperlink ref="M25" r:id="rId67" xr:uid="{4665C782-7CEF-4646-9B82-9B76C04CFFDC}"/>
    <hyperlink ref="M27:M28" r:id="rId68" display="SHEET" xr:uid="{8B1A017D-9468-44C3-B45E-190A5DC20E2D}"/>
    <hyperlink ref="M19" r:id="rId69" xr:uid="{F9349F84-6BE5-4663-BB4A-F5CDFE4B15E9}"/>
    <hyperlink ref="M20" r:id="rId70" xr:uid="{688B96DB-FC57-429A-9367-D9038EDEDAA1}"/>
    <hyperlink ref="M21" r:id="rId71" xr:uid="{D1C4A7B4-7858-4973-B1AC-9FB5FA23F19C}"/>
    <hyperlink ref="M7" r:id="rId72" xr:uid="{ADCE719A-D130-4DE5-B130-04800F4AAD8F}"/>
    <hyperlink ref="M12" r:id="rId73" xr:uid="{CECC3F9E-865C-40DD-BB5A-DB314858D612}"/>
    <hyperlink ref="M13" r:id="rId74" xr:uid="{4BF0CF40-1130-4E53-82E6-35FA3ED23D3C}"/>
    <hyperlink ref="M126" r:id="rId75" xr:uid="{87C0BBD9-E5F1-4C94-8208-5DF7FC892422}"/>
    <hyperlink ref="M95" r:id="rId76" xr:uid="{DCA9540D-9DA1-4C32-91ED-601364F38E2C}"/>
    <hyperlink ref="M96:M102" r:id="rId77" display="SHEET" xr:uid="{1EAEEFD6-BE00-419B-8741-16E5F2A6E2EB}"/>
    <hyperlink ref="M86" r:id="rId78" xr:uid="{5337C18F-35BD-4CBC-AFB8-5A857DF3431A}"/>
    <hyperlink ref="M87:M94" r:id="rId79" display="SHEET" xr:uid="{85F4337B-FEC3-410C-A5F4-6F519523EA0E}"/>
    <hyperlink ref="M85" r:id="rId80" xr:uid="{4551FD75-5FC1-4FE1-A3A4-F4E986B63F38}"/>
    <hyperlink ref="M83" r:id="rId81" xr:uid="{4B4D3F28-6F03-44F6-9C34-1E5EDEC5DF6C}"/>
    <hyperlink ref="M84" r:id="rId82" xr:uid="{612710BA-3641-464C-A37E-84E51502E006}"/>
    <hyperlink ref="M79" r:id="rId83" xr:uid="{24EF60FF-1175-479C-B6D0-6803B2A76722}"/>
    <hyperlink ref="M30" r:id="rId84" xr:uid="{76916C1F-1B54-4BF1-A409-E33D9DF48551}"/>
    <hyperlink ref="M32:M38" r:id="rId85" display="SHEET" xr:uid="{3AFCB2D6-B85E-4A3F-B41A-5F98E2AA9139}"/>
    <hyperlink ref="M38" r:id="rId86" xr:uid="{FF8CF55B-3F55-43FE-9AC2-9C482CA387E6}"/>
    <hyperlink ref="M40" r:id="rId87" xr:uid="{7F2383FC-D08E-4DF4-98F3-2B5A716B9DD0}"/>
    <hyperlink ref="M15" r:id="rId88" xr:uid="{4CB5F4D3-752D-4A81-AB01-53CAC1DD181E}"/>
    <hyperlink ref="M49" r:id="rId89" xr:uid="{7026D41B-3931-49E9-A3A9-2F4D3B341A36}"/>
    <hyperlink ref="M51:M52" r:id="rId90" display="SHEET" xr:uid="{872D5E70-338A-42CE-A0C0-34268E5169D8}"/>
    <hyperlink ref="M53" r:id="rId91" xr:uid="{00497EB5-8788-496E-9006-3F511A75533D}"/>
    <hyperlink ref="M54" r:id="rId92" xr:uid="{C48A952C-B1FD-4665-BDD1-4D5CDDB2EA19}"/>
    <hyperlink ref="M56" r:id="rId93" xr:uid="{F818F7BD-AAE3-459A-A9DD-9C71D29A7854}"/>
    <hyperlink ref="M58" r:id="rId94" xr:uid="{C9BEEDA4-75E4-4980-A0CE-8684D934FC93}"/>
    <hyperlink ref="M59" r:id="rId95" xr:uid="{DFF547C8-3285-423C-9042-BD6734A1A2B1}"/>
    <hyperlink ref="M60:M66" r:id="rId96" display="SHEET" xr:uid="{DDE08C06-C46A-4450-811B-3031C9BE4BBC}"/>
    <hyperlink ref="M67" r:id="rId97" xr:uid="{41A3C7C9-1A4B-4D1D-9C0A-A8E7455ED9C6}"/>
    <hyperlink ref="M5" r:id="rId98" xr:uid="{B5C4C26D-55AC-4C93-B2F6-EF052ED68B0C}"/>
    <hyperlink ref="M9" r:id="rId99" xr:uid="{EA8F102A-EE90-4421-B254-DD5DF9FAEA68}"/>
    <hyperlink ref="M10" r:id="rId100" xr:uid="{A036AFBA-B2FD-4290-8684-1A98781F4B8C}"/>
    <hyperlink ref="M11" r:id="rId101" xr:uid="{C9B6B908-54BF-4073-AB24-5E5059443D1D}"/>
    <hyperlink ref="M14" r:id="rId102" xr:uid="{E5641535-9823-4BBE-AB4E-2E3F49B55D12}"/>
    <hyperlink ref="M29" r:id="rId103" xr:uid="{CF264FA1-F0BE-4498-A580-58C747449679}"/>
    <hyperlink ref="M39" r:id="rId104" xr:uid="{E51C62A2-FFF4-4D89-8E1B-20345D67F9A6}"/>
    <hyperlink ref="M78" r:id="rId105" xr:uid="{45159822-AFBB-4E41-8B58-74D0E8BC1FF3}"/>
    <hyperlink ref="L96" r:id="rId106" xr:uid="{860DEEF6-EAF8-4D6E-9474-EAA649BF4694}"/>
    <hyperlink ref="L97:L102" r:id="rId107" display="PHOTO" xr:uid="{C5A7A548-5F97-4DC3-84BA-AC24B121D62B}"/>
    <hyperlink ref="M107" r:id="rId108" xr:uid="{09D0A974-B003-424B-B10E-5A8EB6E54C72}"/>
    <hyperlink ref="M106" r:id="rId109" xr:uid="{6C531959-0211-47E4-B0D2-5D0F0ED0B510}"/>
    <hyperlink ref="M111" r:id="rId110" xr:uid="{6F26E41E-F53E-4FBA-A72E-C5D55F2A6831}"/>
    <hyperlink ref="M112" r:id="rId111" xr:uid="{2D46AC06-6189-4965-825B-5A4384C90AC8}"/>
    <hyperlink ref="L29" r:id="rId112" xr:uid="{51B71528-C362-48A3-B16F-EADEAD27A299}"/>
    <hyperlink ref="L41" r:id="rId113" xr:uid="{C07715DF-1AAB-428B-A71D-0F2DD9B2ED72}"/>
    <hyperlink ref="M41" r:id="rId114" xr:uid="{A4739F97-47DE-40C2-A87E-97EA81A7E458}"/>
    <hyperlink ref="M124" r:id="rId115" xr:uid="{75132387-2022-4739-867E-109DE9344311}"/>
    <hyperlink ref="M122" r:id="rId116" xr:uid="{B05C7242-25AC-4DDC-A678-DB4C482A43E0}"/>
    <hyperlink ref="M123" r:id="rId117" xr:uid="{D79C45F4-AE47-4D98-8A97-BE48A4F3031C}"/>
    <hyperlink ref="M125" r:id="rId118" xr:uid="{72CD042B-85BD-4C41-A5E1-C75969D48CC5}"/>
    <hyperlink ref="L130" r:id="rId119" xr:uid="{56C971B4-1E35-45B1-9B66-5E98C3471F59}"/>
    <hyperlink ref="L128" r:id="rId120" xr:uid="{C8F970FE-DCD3-4542-A542-C783F6D4434D}"/>
    <hyperlink ref="L6" r:id="rId121" xr:uid="{16ED3C09-B867-46EC-903B-082A6D8674B3}"/>
    <hyperlink ref="L16" r:id="rId122" xr:uid="{875FA583-170D-4C47-98DE-06EB2F787D80}"/>
    <hyperlink ref="L18" r:id="rId123" xr:uid="{30F2B608-0AE7-47DA-BB63-B597D49809F6}"/>
    <hyperlink ref="M16" r:id="rId124" xr:uid="{ECAC3DB7-854D-455D-9FBC-28D82215CB6B}"/>
    <hyperlink ref="M18" r:id="rId125" xr:uid="{1054E084-873F-4D47-8F58-93397522F4EF}"/>
    <hyperlink ref="L82" r:id="rId126" xr:uid="{40246E94-D0C0-42B1-B26A-6CAA636F8F17}"/>
    <hyperlink ref="L81" r:id="rId127" xr:uid="{51041566-C78F-4346-B315-B76791476E83}"/>
    <hyperlink ref="M82" r:id="rId128" xr:uid="{E9B9EADD-C4B1-423D-8CA8-602F4CDF65D8}"/>
    <hyperlink ref="M81" r:id="rId129" xr:uid="{7AAE3429-F9BF-4013-A0C4-6637D749D718}"/>
    <hyperlink ref="L23" r:id="rId130" xr:uid="{3E92ECCE-CC46-41BF-9D38-6CF89856AE17}"/>
    <hyperlink ref="L24" r:id="rId131" xr:uid="{DAA691C9-42EB-4B9D-9825-6D29D874C69A}"/>
    <hyperlink ref="M23" r:id="rId132" xr:uid="{FDCB9C59-379A-4E3E-9696-D5870D80EF49}"/>
    <hyperlink ref="L33" r:id="rId133" xr:uid="{9D3E0BD4-113F-4FAE-812B-7225759F2C47}"/>
    <hyperlink ref="M33" r:id="rId134" xr:uid="{0B6C4211-5BD6-4F79-A2BB-BF014B9EDECC}"/>
    <hyperlink ref="L62" r:id="rId135" xr:uid="{40CD056C-C8A8-4AC5-9C07-E81EE41B47DB}"/>
    <hyperlink ref="M62" r:id="rId136" xr:uid="{0616CA42-4474-4D2F-93DD-7E0594A3B746}"/>
    <hyperlink ref="L89" r:id="rId137" xr:uid="{B9BD932A-6180-46A0-9045-FA52FE3422AE}"/>
    <hyperlink ref="M89" r:id="rId138" xr:uid="{4FBF7686-76AD-4787-89BB-6DFD5712B70D}"/>
    <hyperlink ref="M98" r:id="rId139" xr:uid="{51B685F2-73D8-458E-9216-BE306D10C3BD}"/>
    <hyperlink ref="L98" r:id="rId140" xr:uid="{259AF07E-36A9-4C9A-A950-7BEE77643A2C}"/>
    <hyperlink ref="M8" r:id="rId141" xr:uid="{EC9738C0-2523-4B3C-A492-020F42319B56}"/>
    <hyperlink ref="L8" r:id="rId142" xr:uid="{21FB37D9-5BA0-4834-9DE6-8F55FA1F86F4}"/>
    <hyperlink ref="L58" r:id="rId143" xr:uid="{D7E5E2FF-6123-4DAA-B929-AA3077886A60}"/>
    <hyperlink ref="L57" r:id="rId144" xr:uid="{47D4ED95-7B51-44DF-93B5-832B079731D9}"/>
    <hyperlink ref="M57" r:id="rId145" xr:uid="{C845017D-5FB3-44AA-942B-C490C08F16CB}"/>
    <hyperlink ref="M113" r:id="rId146" xr:uid="{6A2E34B7-2FBE-412F-B609-7CF8FC4E96EA}"/>
    <hyperlink ref="L125" r:id="rId147" xr:uid="{0CE6D95A-B6D7-402C-9807-5A73A609BA3E}"/>
    <hyperlink ref="L124" r:id="rId148" xr:uid="{007D8B58-A6D6-4407-9F42-99A1F14C515C}"/>
    <hyperlink ref="M80" r:id="rId149" xr:uid="{978C1A13-2093-456F-B1D5-8FBBDF274953}"/>
    <hyperlink ref="L105" r:id="rId150" xr:uid="{7676ED29-14FB-4123-92E8-744902F3340D}"/>
    <hyperlink ref="M105" r:id="rId151" xr:uid="{576429F6-41D0-4ECD-82A4-7D9F3445B64D}"/>
    <hyperlink ref="L103" r:id="rId152" xr:uid="{03EC5D50-4602-40F7-A347-953D57404270}"/>
    <hyperlink ref="I17" r:id="rId153" display="PHOTO" xr:uid="{2CEEBD6C-3016-4DA5-AE0E-DAA88971BDD8}"/>
    <hyperlink ref="K17" r:id="rId154" display="PHOTO" xr:uid="{0FA11188-F0AD-4563-ACC7-5DC676A1BA99}"/>
    <hyperlink ref="L75" r:id="rId155" xr:uid="{A34F113A-2539-49D0-A782-64F12B4DC3BB}"/>
    <hyperlink ref="L68" r:id="rId156" xr:uid="{7D9C4CC2-6BF6-42FA-AD5C-931DC6001FB8}"/>
    <hyperlink ref="L70" r:id="rId157" xr:uid="{BF7985D4-40CC-4719-AEEB-52C6088A4E91}"/>
    <hyperlink ref="L69" r:id="rId158" xr:uid="{E5D8BA20-417D-45F1-838F-416CB9D9CFE3}"/>
    <hyperlink ref="L77" r:id="rId159" xr:uid="{1060B956-6801-46A3-A0DC-97FF5915685B}"/>
    <hyperlink ref="L73" r:id="rId160" xr:uid="{B2B469CD-0E20-4338-908F-5A2988883514}"/>
    <hyperlink ref="L71" r:id="rId161" xr:uid="{E40EB85A-BFDB-4BD9-B19E-53ABA36AB316}"/>
    <hyperlink ref="L74" r:id="rId162" xr:uid="{85B4C71E-43BD-4261-85AC-5B5D17EA56F9}"/>
    <hyperlink ref="L76" r:id="rId163" xr:uid="{C759CE41-07CE-4F5F-9709-228924D7614C}"/>
    <hyperlink ref="L72" r:id="rId164" display="PHOTO" xr:uid="{BAFC75F4-8840-4360-A291-2D770ABA2862}"/>
  </hyperlinks>
  <pageMargins left="0.7" right="0.7" top="0.75" bottom="0.75" header="0.3" footer="0.3"/>
  <pageSetup orientation="portrait" r:id="rId165"/>
  <legacyDrawing r:id="rId16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CA2C-4535-498C-B0B8-D2BDEBB843CE}">
  <sheetPr published="0">
    <tabColor theme="7" tint="0.39997558519241921"/>
  </sheetPr>
  <dimension ref="A1:AY125"/>
  <sheetViews>
    <sheetView zoomScale="85" zoomScaleNormal="85" workbookViewId="0">
      <pane xSplit="2" ySplit="2" topLeftCell="C3" activePane="bottomRight" state="frozenSplit"/>
      <selection pane="topRight" activeCell="C1" sqref="C1"/>
      <selection pane="bottomLeft" activeCell="A18" sqref="A18"/>
      <selection pane="bottomRight" activeCell="A2" sqref="A2"/>
    </sheetView>
  </sheetViews>
  <sheetFormatPr defaultRowHeight="15"/>
  <cols>
    <col min="1" max="1" width="21.28515625" style="7" bestFit="1" customWidth="1"/>
    <col min="2" max="2" width="82.140625" style="7" customWidth="1"/>
    <col min="3" max="3" width="109.85546875" style="7" bestFit="1" customWidth="1"/>
    <col min="4" max="4" width="113.42578125" style="18" customWidth="1"/>
    <col min="5" max="6" width="4" style="18" bestFit="1" customWidth="1"/>
    <col min="7" max="7" width="5.28515625" style="18" customWidth="1"/>
    <col min="8" max="8" width="5.5703125" style="18" customWidth="1"/>
    <col min="9" max="9" width="4" style="18" bestFit="1" customWidth="1"/>
    <col min="10" max="10" width="10.85546875" style="72" customWidth="1"/>
    <col min="11" max="11" width="6.5703125" style="249" bestFit="1" customWidth="1"/>
    <col min="12" max="12" width="6" style="249" customWidth="1"/>
    <col min="13" max="13" width="14.28515625" style="18" customWidth="1"/>
    <col min="14" max="14" width="11.28515625" customWidth="1"/>
    <col min="15" max="15" width="11.28515625" style="139" bestFit="1" customWidth="1"/>
    <col min="16" max="16" width="9.28515625" style="58" bestFit="1" customWidth="1"/>
    <col min="17" max="17" width="9.85546875" style="20" bestFit="1" customWidth="1"/>
    <col min="18" max="18" width="12.140625" bestFit="1" customWidth="1"/>
  </cols>
  <sheetData>
    <row r="1" spans="1:51" s="2" customFormat="1" ht="45">
      <c r="A1" s="346" t="s">
        <v>1934</v>
      </c>
      <c r="B1" s="347"/>
      <c r="C1" s="347"/>
      <c r="D1" s="357" t="s">
        <v>167</v>
      </c>
      <c r="E1" s="357"/>
      <c r="F1" s="357"/>
      <c r="G1" s="357"/>
      <c r="H1" s="357"/>
      <c r="I1" s="357"/>
      <c r="J1" s="357"/>
      <c r="K1" s="357"/>
      <c r="L1" s="357"/>
      <c r="M1" s="9">
        <v>125</v>
      </c>
      <c r="N1" s="1"/>
      <c r="O1" s="138"/>
      <c r="P1" s="57"/>
      <c r="Q1" s="349" t="s">
        <v>213</v>
      </c>
      <c r="R1" s="350"/>
    </row>
    <row r="2" spans="1:51" s="12" customFormat="1" ht="31.5">
      <c r="A2" s="291" t="s">
        <v>140</v>
      </c>
      <c r="B2" s="291" t="s">
        <v>141</v>
      </c>
      <c r="C2" s="291" t="s">
        <v>142</v>
      </c>
      <c r="D2" s="10" t="s">
        <v>143</v>
      </c>
      <c r="E2" s="10" t="s">
        <v>450</v>
      </c>
      <c r="F2" s="10" t="s">
        <v>757</v>
      </c>
      <c r="G2" s="10" t="s">
        <v>755</v>
      </c>
      <c r="H2" s="10" t="s">
        <v>1980</v>
      </c>
      <c r="I2" s="10" t="s">
        <v>756</v>
      </c>
      <c r="J2" s="10" t="s">
        <v>210</v>
      </c>
      <c r="K2" s="355" t="s">
        <v>1685</v>
      </c>
      <c r="L2" s="356"/>
      <c r="M2" s="10" t="s">
        <v>144</v>
      </c>
      <c r="N2" s="202" t="s">
        <v>145</v>
      </c>
      <c r="O2" s="202" t="s">
        <v>146</v>
      </c>
      <c r="P2" s="241" t="s">
        <v>147</v>
      </c>
      <c r="Q2" s="219" t="s">
        <v>148</v>
      </c>
      <c r="R2" s="202" t="s">
        <v>149</v>
      </c>
    </row>
    <row r="3" spans="1:51" s="14" customFormat="1" ht="12.75">
      <c r="A3" s="160" t="s">
        <v>871</v>
      </c>
      <c r="B3" s="144" t="s">
        <v>1009</v>
      </c>
      <c r="C3" s="151" t="s">
        <v>874</v>
      </c>
      <c r="D3" s="145" t="s">
        <v>1713</v>
      </c>
      <c r="E3" s="147" t="s">
        <v>454</v>
      </c>
      <c r="F3" s="147" t="s">
        <v>454</v>
      </c>
      <c r="G3" s="147" t="s">
        <v>454</v>
      </c>
      <c r="H3" s="147" t="s">
        <v>454</v>
      </c>
      <c r="I3" s="147" t="s">
        <v>454</v>
      </c>
      <c r="J3" s="148" t="s">
        <v>768</v>
      </c>
      <c r="K3" s="148"/>
      <c r="L3" s="148"/>
      <c r="M3" s="149" t="s">
        <v>59</v>
      </c>
      <c r="N3" s="242">
        <v>1750</v>
      </c>
      <c r="O3" s="242">
        <v>2295.9499999999998</v>
      </c>
      <c r="P3" s="188">
        <v>1.5</v>
      </c>
      <c r="Q3" s="292">
        <f t="shared" ref="Q3:Q66" si="0">$M$1</f>
        <v>125</v>
      </c>
      <c r="R3" s="197">
        <f t="shared" ref="R3:R66" si="1">P3*Q3+O3</f>
        <v>2483.4499999999998</v>
      </c>
    </row>
    <row r="4" spans="1:51" s="14" customFormat="1" ht="12.75">
      <c r="A4" s="160" t="s">
        <v>154</v>
      </c>
      <c r="B4" s="144" t="s">
        <v>2034</v>
      </c>
      <c r="C4" s="151" t="s">
        <v>2035</v>
      </c>
      <c r="D4" s="145" t="s">
        <v>2036</v>
      </c>
      <c r="E4" s="147" t="s">
        <v>454</v>
      </c>
      <c r="F4" s="147" t="s">
        <v>454</v>
      </c>
      <c r="G4" s="147" t="s">
        <v>454</v>
      </c>
      <c r="H4" s="147" t="s">
        <v>454</v>
      </c>
      <c r="I4" s="147" t="s">
        <v>454</v>
      </c>
      <c r="J4" s="148" t="s">
        <v>768</v>
      </c>
      <c r="K4" s="148" t="s">
        <v>1684</v>
      </c>
      <c r="L4" s="148"/>
      <c r="M4" s="149" t="s">
        <v>0</v>
      </c>
      <c r="N4" s="242">
        <v>139.41</v>
      </c>
      <c r="O4" s="242">
        <v>211.95</v>
      </c>
      <c r="P4" s="188">
        <v>0</v>
      </c>
      <c r="Q4" s="292">
        <f t="shared" si="0"/>
        <v>125</v>
      </c>
      <c r="R4" s="197">
        <f t="shared" si="1"/>
        <v>211.95</v>
      </c>
      <c r="S4" s="7"/>
    </row>
    <row r="5" spans="1:51" s="7" customFormat="1" ht="12.75">
      <c r="A5" s="160" t="s">
        <v>9</v>
      </c>
      <c r="B5" s="144" t="s">
        <v>643</v>
      </c>
      <c r="C5" s="151" t="s">
        <v>747</v>
      </c>
      <c r="D5" s="145"/>
      <c r="E5" s="147" t="s">
        <v>454</v>
      </c>
      <c r="F5" s="147" t="s">
        <v>454</v>
      </c>
      <c r="G5" s="147" t="s">
        <v>454</v>
      </c>
      <c r="H5" s="147" t="s">
        <v>454</v>
      </c>
      <c r="I5" s="147" t="s">
        <v>454</v>
      </c>
      <c r="J5" s="148" t="s">
        <v>768</v>
      </c>
      <c r="K5" s="148" t="s">
        <v>1684</v>
      </c>
      <c r="L5" s="148"/>
      <c r="M5" s="149" t="s">
        <v>10</v>
      </c>
      <c r="N5" s="242">
        <v>53</v>
      </c>
      <c r="O5" s="242">
        <v>88.95</v>
      </c>
      <c r="P5" s="188">
        <v>0.1</v>
      </c>
      <c r="Q5" s="292">
        <f t="shared" si="0"/>
        <v>125</v>
      </c>
      <c r="R5" s="197">
        <f t="shared" si="1"/>
        <v>101.45</v>
      </c>
    </row>
    <row r="6" spans="1:51" s="7" customFormat="1" ht="12.75">
      <c r="A6" s="160" t="s">
        <v>717</v>
      </c>
      <c r="B6" s="144" t="s">
        <v>881</v>
      </c>
      <c r="C6" s="151" t="s">
        <v>882</v>
      </c>
      <c r="D6" s="145" t="s">
        <v>746</v>
      </c>
      <c r="E6" s="147" t="s">
        <v>454</v>
      </c>
      <c r="F6" s="147" t="s">
        <v>454</v>
      </c>
      <c r="G6" s="147" t="s">
        <v>454</v>
      </c>
      <c r="H6" s="147" t="s">
        <v>454</v>
      </c>
      <c r="I6" s="147" t="s">
        <v>454</v>
      </c>
      <c r="J6" s="148" t="s">
        <v>768</v>
      </c>
      <c r="K6" s="148"/>
      <c r="L6" s="148"/>
      <c r="M6" s="149" t="s">
        <v>10</v>
      </c>
      <c r="N6" s="242">
        <v>117</v>
      </c>
      <c r="O6" s="242">
        <v>195.95</v>
      </c>
      <c r="P6" s="188">
        <v>0.4</v>
      </c>
      <c r="Q6" s="292">
        <f t="shared" si="0"/>
        <v>125</v>
      </c>
      <c r="R6" s="197">
        <f t="shared" si="1"/>
        <v>245.95</v>
      </c>
    </row>
    <row r="7" spans="1:51" s="7" customFormat="1" ht="12.75">
      <c r="A7" s="160" t="s">
        <v>714</v>
      </c>
      <c r="B7" s="144" t="s">
        <v>750</v>
      </c>
      <c r="C7" s="151" t="s">
        <v>827</v>
      </c>
      <c r="D7" s="145" t="s">
        <v>736</v>
      </c>
      <c r="E7" s="147" t="s">
        <v>454</v>
      </c>
      <c r="F7" s="147" t="s">
        <v>454</v>
      </c>
      <c r="G7" s="147" t="s">
        <v>454</v>
      </c>
      <c r="H7" s="147" t="s">
        <v>454</v>
      </c>
      <c r="I7" s="147" t="s">
        <v>454</v>
      </c>
      <c r="J7" s="148" t="s">
        <v>768</v>
      </c>
      <c r="K7" s="148" t="s">
        <v>1684</v>
      </c>
      <c r="L7" s="148"/>
      <c r="M7" s="149" t="s">
        <v>10</v>
      </c>
      <c r="N7" s="242">
        <v>197.97</v>
      </c>
      <c r="O7" s="242">
        <v>329.95</v>
      </c>
      <c r="P7" s="188">
        <v>0.2</v>
      </c>
      <c r="Q7" s="292">
        <f t="shared" si="0"/>
        <v>125</v>
      </c>
      <c r="R7" s="197">
        <f t="shared" si="1"/>
        <v>354.95</v>
      </c>
    </row>
    <row r="8" spans="1:51" s="7" customFormat="1" ht="12.75">
      <c r="A8" s="160" t="s">
        <v>1036</v>
      </c>
      <c r="B8" s="144" t="s">
        <v>1865</v>
      </c>
      <c r="C8" s="151" t="s">
        <v>1866</v>
      </c>
      <c r="D8" s="145"/>
      <c r="E8" s="147" t="s">
        <v>454</v>
      </c>
      <c r="F8" s="147" t="s">
        <v>454</v>
      </c>
      <c r="G8" s="147" t="s">
        <v>454</v>
      </c>
      <c r="H8" s="147" t="s">
        <v>454</v>
      </c>
      <c r="I8" s="147" t="s">
        <v>454</v>
      </c>
      <c r="J8" s="148" t="s">
        <v>768</v>
      </c>
      <c r="K8" s="148" t="s">
        <v>1684</v>
      </c>
      <c r="L8" s="148"/>
      <c r="M8" s="149" t="s">
        <v>0</v>
      </c>
      <c r="N8" s="242">
        <v>118.17</v>
      </c>
      <c r="O8" s="242">
        <v>196.95</v>
      </c>
      <c r="P8" s="188">
        <v>0</v>
      </c>
      <c r="Q8" s="292">
        <f t="shared" si="0"/>
        <v>125</v>
      </c>
      <c r="R8" s="197">
        <f t="shared" si="1"/>
        <v>196.95</v>
      </c>
    </row>
    <row r="9" spans="1:51" s="7" customFormat="1" ht="12.75">
      <c r="A9" s="160" t="s">
        <v>15</v>
      </c>
      <c r="B9" s="144" t="s">
        <v>32</v>
      </c>
      <c r="C9" s="151" t="s">
        <v>89</v>
      </c>
      <c r="D9" s="145" t="s">
        <v>410</v>
      </c>
      <c r="E9" s="147" t="s">
        <v>454</v>
      </c>
      <c r="F9" s="147" t="s">
        <v>454</v>
      </c>
      <c r="G9" s="147" t="s">
        <v>454</v>
      </c>
      <c r="H9" s="147" t="s">
        <v>454</v>
      </c>
      <c r="I9" s="147" t="s">
        <v>454</v>
      </c>
      <c r="J9" s="148" t="s">
        <v>768</v>
      </c>
      <c r="K9" s="148"/>
      <c r="L9" s="148"/>
      <c r="M9" s="149" t="s">
        <v>0</v>
      </c>
      <c r="N9" s="242">
        <v>32.97</v>
      </c>
      <c r="O9" s="242">
        <v>54.95</v>
      </c>
      <c r="P9" s="188">
        <v>0</v>
      </c>
      <c r="Q9" s="292">
        <f t="shared" si="0"/>
        <v>125</v>
      </c>
      <c r="R9" s="197">
        <f t="shared" si="1"/>
        <v>54.95</v>
      </c>
    </row>
    <row r="10" spans="1:51" s="7" customFormat="1" ht="12.75">
      <c r="A10" s="160" t="s">
        <v>160</v>
      </c>
      <c r="B10" s="144" t="s">
        <v>1981</v>
      </c>
      <c r="C10" s="151" t="s">
        <v>898</v>
      </c>
      <c r="D10" s="145" t="s">
        <v>1608</v>
      </c>
      <c r="E10" s="147"/>
      <c r="F10" s="147"/>
      <c r="G10" s="147" t="s">
        <v>454</v>
      </c>
      <c r="H10" s="147" t="s">
        <v>454</v>
      </c>
      <c r="I10" s="147" t="s">
        <v>454</v>
      </c>
      <c r="J10" s="148" t="s">
        <v>768</v>
      </c>
      <c r="K10" s="148" t="s">
        <v>1684</v>
      </c>
      <c r="L10" s="148"/>
      <c r="M10" s="149" t="s">
        <v>16</v>
      </c>
      <c r="N10" s="242">
        <v>467.86</v>
      </c>
      <c r="O10" s="242">
        <v>789.95</v>
      </c>
      <c r="P10" s="188">
        <v>0.5</v>
      </c>
      <c r="Q10" s="292">
        <f t="shared" si="0"/>
        <v>125</v>
      </c>
      <c r="R10" s="197">
        <f t="shared" si="1"/>
        <v>852.45</v>
      </c>
    </row>
    <row r="11" spans="1:51" s="7" customFormat="1" ht="12.75">
      <c r="A11" s="160" t="s">
        <v>715</v>
      </c>
      <c r="B11" s="144" t="s">
        <v>893</v>
      </c>
      <c r="C11" s="151" t="s">
        <v>899</v>
      </c>
      <c r="D11" s="145" t="s">
        <v>877</v>
      </c>
      <c r="E11" s="147" t="s">
        <v>454</v>
      </c>
      <c r="F11" s="147" t="s">
        <v>454</v>
      </c>
      <c r="G11" s="147"/>
      <c r="H11" s="147"/>
      <c r="I11" s="147"/>
      <c r="J11" s="148" t="s">
        <v>768</v>
      </c>
      <c r="K11" s="148" t="s">
        <v>1684</v>
      </c>
      <c r="L11" s="148"/>
      <c r="M11" s="149" t="s">
        <v>16</v>
      </c>
      <c r="N11" s="242">
        <v>409.17</v>
      </c>
      <c r="O11" s="242">
        <v>681.95</v>
      </c>
      <c r="P11" s="188">
        <v>0.5</v>
      </c>
      <c r="Q11" s="292">
        <f t="shared" si="0"/>
        <v>125</v>
      </c>
      <c r="R11" s="197">
        <f t="shared" si="1"/>
        <v>744.45</v>
      </c>
    </row>
    <row r="12" spans="1:51" s="7" customFormat="1" ht="12.75">
      <c r="A12" s="160" t="s">
        <v>1758</v>
      </c>
      <c r="B12" s="144" t="s">
        <v>1755</v>
      </c>
      <c r="C12" s="151" t="s">
        <v>2224</v>
      </c>
      <c r="D12" s="145" t="s">
        <v>1759</v>
      </c>
      <c r="E12" s="147" t="s">
        <v>454</v>
      </c>
      <c r="F12" s="147" t="s">
        <v>454</v>
      </c>
      <c r="G12" s="147" t="s">
        <v>454</v>
      </c>
      <c r="H12" s="147" t="s">
        <v>454</v>
      </c>
      <c r="I12" s="147" t="s">
        <v>454</v>
      </c>
      <c r="J12" s="148" t="s">
        <v>768</v>
      </c>
      <c r="K12" s="148" t="s">
        <v>1684</v>
      </c>
      <c r="L12" s="148"/>
      <c r="M12" s="149" t="s">
        <v>59</v>
      </c>
      <c r="N12" s="242">
        <v>225</v>
      </c>
      <c r="O12" s="242">
        <v>319.95</v>
      </c>
      <c r="P12" s="188">
        <v>0.7</v>
      </c>
      <c r="Q12" s="292">
        <f t="shared" si="0"/>
        <v>125</v>
      </c>
      <c r="R12" s="197">
        <f t="shared" si="1"/>
        <v>407.45</v>
      </c>
    </row>
    <row r="13" spans="1:51" s="201" customFormat="1" ht="12.75">
      <c r="A13" s="170" t="s">
        <v>2187</v>
      </c>
      <c r="B13" s="171" t="s">
        <v>2213</v>
      </c>
      <c r="C13" s="209" t="s">
        <v>2220</v>
      </c>
      <c r="D13" s="182" t="s">
        <v>2188</v>
      </c>
      <c r="E13" s="180" t="s">
        <v>454</v>
      </c>
      <c r="F13" s="180" t="s">
        <v>454</v>
      </c>
      <c r="G13" s="180" t="s">
        <v>454</v>
      </c>
      <c r="H13" s="180" t="s">
        <v>454</v>
      </c>
      <c r="I13" s="180" t="s">
        <v>454</v>
      </c>
      <c r="J13" s="180"/>
      <c r="K13" s="180"/>
      <c r="L13" s="243"/>
      <c r="M13" s="210" t="s">
        <v>59</v>
      </c>
      <c r="N13" s="211">
        <v>489.99</v>
      </c>
      <c r="O13" s="211">
        <v>699.95</v>
      </c>
      <c r="P13" s="212">
        <v>0.7</v>
      </c>
      <c r="Q13" s="217">
        <f t="shared" si="0"/>
        <v>125</v>
      </c>
      <c r="R13" s="213">
        <f t="shared" si="1"/>
        <v>787.45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s="7" customFormat="1" ht="12.75">
      <c r="A14" s="160" t="s">
        <v>1757</v>
      </c>
      <c r="B14" s="144" t="s">
        <v>1756</v>
      </c>
      <c r="C14" s="151" t="s">
        <v>2225</v>
      </c>
      <c r="D14" s="145" t="s">
        <v>1759</v>
      </c>
      <c r="E14" s="147" t="s">
        <v>454</v>
      </c>
      <c r="F14" s="147" t="s">
        <v>454</v>
      </c>
      <c r="G14" s="147" t="s">
        <v>454</v>
      </c>
      <c r="H14" s="147" t="s">
        <v>454</v>
      </c>
      <c r="I14" s="147" t="s">
        <v>454</v>
      </c>
      <c r="J14" s="148" t="s">
        <v>768</v>
      </c>
      <c r="K14" s="148" t="s">
        <v>1684</v>
      </c>
      <c r="L14" s="148"/>
      <c r="M14" s="149" t="s">
        <v>59</v>
      </c>
      <c r="N14" s="242">
        <v>598</v>
      </c>
      <c r="O14" s="242">
        <v>849.95</v>
      </c>
      <c r="P14" s="188">
        <v>0.7</v>
      </c>
      <c r="Q14" s="292">
        <f t="shared" si="0"/>
        <v>125</v>
      </c>
      <c r="R14" s="197">
        <f t="shared" si="1"/>
        <v>937.45</v>
      </c>
    </row>
    <row r="15" spans="1:51" s="7" customFormat="1" ht="12.75">
      <c r="A15" s="160" t="s">
        <v>514</v>
      </c>
      <c r="B15" s="144" t="s">
        <v>887</v>
      </c>
      <c r="C15" s="151" t="s">
        <v>900</v>
      </c>
      <c r="D15" s="145" t="s">
        <v>733</v>
      </c>
      <c r="E15" s="147" t="s">
        <v>454</v>
      </c>
      <c r="F15" s="147" t="s">
        <v>454</v>
      </c>
      <c r="G15" s="147" t="s">
        <v>454</v>
      </c>
      <c r="H15" s="147" t="s">
        <v>454</v>
      </c>
      <c r="I15" s="147" t="s">
        <v>454</v>
      </c>
      <c r="J15" s="148" t="s">
        <v>768</v>
      </c>
      <c r="K15" s="148" t="s">
        <v>1684</v>
      </c>
      <c r="L15" s="148"/>
      <c r="M15" s="149" t="s">
        <v>10</v>
      </c>
      <c r="N15" s="242">
        <v>76.17</v>
      </c>
      <c r="O15" s="242">
        <v>126.95</v>
      </c>
      <c r="P15" s="188">
        <v>0.2</v>
      </c>
      <c r="Q15" s="292">
        <f t="shared" si="0"/>
        <v>125</v>
      </c>
      <c r="R15" s="197">
        <f t="shared" si="1"/>
        <v>151.94999999999999</v>
      </c>
    </row>
    <row r="16" spans="1:51" s="7" customFormat="1" ht="12.75">
      <c r="A16" s="160" t="s">
        <v>157</v>
      </c>
      <c r="B16" s="144" t="s">
        <v>888</v>
      </c>
      <c r="C16" s="151" t="s">
        <v>901</v>
      </c>
      <c r="D16" s="145" t="s">
        <v>56</v>
      </c>
      <c r="E16" s="147" t="s">
        <v>454</v>
      </c>
      <c r="F16" s="147" t="s">
        <v>454</v>
      </c>
      <c r="G16" s="147" t="s">
        <v>454</v>
      </c>
      <c r="H16" s="147"/>
      <c r="I16" s="147" t="s">
        <v>454</v>
      </c>
      <c r="J16" s="148" t="s">
        <v>768</v>
      </c>
      <c r="K16" s="148" t="s">
        <v>1684</v>
      </c>
      <c r="L16" s="148"/>
      <c r="M16" s="149" t="s">
        <v>10</v>
      </c>
      <c r="N16" s="242">
        <v>141.57</v>
      </c>
      <c r="O16" s="242">
        <v>235.95</v>
      </c>
      <c r="P16" s="188">
        <v>0.2</v>
      </c>
      <c r="Q16" s="292">
        <f t="shared" si="0"/>
        <v>125</v>
      </c>
      <c r="R16" s="197">
        <f t="shared" si="1"/>
        <v>260.95</v>
      </c>
    </row>
    <row r="17" spans="1:19" s="7" customFormat="1" ht="12.75">
      <c r="A17" s="160" t="s">
        <v>1474</v>
      </c>
      <c r="B17" s="144" t="s">
        <v>1087</v>
      </c>
      <c r="C17" s="151" t="s">
        <v>1088</v>
      </c>
      <c r="D17" s="145"/>
      <c r="E17" s="147" t="s">
        <v>454</v>
      </c>
      <c r="F17" s="147" t="s">
        <v>454</v>
      </c>
      <c r="G17" s="147" t="s">
        <v>454</v>
      </c>
      <c r="H17" s="147" t="s">
        <v>454</v>
      </c>
      <c r="I17" s="147" t="s">
        <v>454</v>
      </c>
      <c r="J17" s="148" t="s">
        <v>768</v>
      </c>
      <c r="K17" s="148" t="s">
        <v>1684</v>
      </c>
      <c r="L17" s="148"/>
      <c r="M17" s="149" t="s">
        <v>10</v>
      </c>
      <c r="N17" s="242">
        <v>450</v>
      </c>
      <c r="O17" s="242">
        <v>749.95</v>
      </c>
      <c r="P17" s="188">
        <v>2</v>
      </c>
      <c r="Q17" s="292">
        <f t="shared" si="0"/>
        <v>125</v>
      </c>
      <c r="R17" s="197">
        <f t="shared" si="1"/>
        <v>999.95</v>
      </c>
      <c r="S17" s="16"/>
    </row>
    <row r="18" spans="1:19" s="7" customFormat="1" ht="12.75">
      <c r="A18" s="160" t="s">
        <v>724</v>
      </c>
      <c r="B18" s="144" t="s">
        <v>883</v>
      </c>
      <c r="C18" s="151" t="s">
        <v>1802</v>
      </c>
      <c r="D18" s="145"/>
      <c r="E18" s="147" t="s">
        <v>454</v>
      </c>
      <c r="F18" s="147" t="s">
        <v>454</v>
      </c>
      <c r="G18" s="147" t="s">
        <v>454</v>
      </c>
      <c r="H18" s="147" t="s">
        <v>454</v>
      </c>
      <c r="I18" s="147" t="s">
        <v>454</v>
      </c>
      <c r="J18" s="148"/>
      <c r="K18" s="148" t="s">
        <v>1684</v>
      </c>
      <c r="L18" s="148"/>
      <c r="M18" s="149" t="s">
        <v>0</v>
      </c>
      <c r="N18" s="242">
        <v>89.62</v>
      </c>
      <c r="O18" s="242">
        <v>149.94999999999999</v>
      </c>
      <c r="P18" s="188">
        <v>0.5</v>
      </c>
      <c r="Q18" s="292">
        <f t="shared" si="0"/>
        <v>125</v>
      </c>
      <c r="R18" s="197">
        <f t="shared" si="1"/>
        <v>212.45</v>
      </c>
    </row>
    <row r="19" spans="1:19" s="7" customFormat="1" ht="12.75">
      <c r="A19" s="221" t="s">
        <v>1880</v>
      </c>
      <c r="B19" s="144" t="s">
        <v>1881</v>
      </c>
      <c r="C19" s="244" t="s">
        <v>1908</v>
      </c>
      <c r="D19" s="145"/>
      <c r="E19" s="147" t="s">
        <v>454</v>
      </c>
      <c r="F19" s="147" t="s">
        <v>454</v>
      </c>
      <c r="G19" s="147" t="s">
        <v>454</v>
      </c>
      <c r="H19" s="147" t="s">
        <v>454</v>
      </c>
      <c r="I19" s="147" t="s">
        <v>454</v>
      </c>
      <c r="J19" s="167"/>
      <c r="K19" s="167"/>
      <c r="L19" s="167"/>
      <c r="M19" s="149" t="s">
        <v>0</v>
      </c>
      <c r="N19" s="242">
        <v>53.97</v>
      </c>
      <c r="O19" s="242">
        <v>89.95</v>
      </c>
      <c r="P19" s="188">
        <v>0</v>
      </c>
      <c r="Q19" s="293">
        <f t="shared" si="0"/>
        <v>125</v>
      </c>
      <c r="R19" s="197">
        <f t="shared" si="1"/>
        <v>89.95</v>
      </c>
    </row>
    <row r="20" spans="1:19" s="7" customFormat="1" ht="12.75">
      <c r="A20" s="221" t="s">
        <v>691</v>
      </c>
      <c r="B20" s="144" t="s">
        <v>798</v>
      </c>
      <c r="C20" s="151" t="s">
        <v>787</v>
      </c>
      <c r="D20" s="145" t="s">
        <v>784</v>
      </c>
      <c r="E20" s="147" t="s">
        <v>454</v>
      </c>
      <c r="F20" s="147" t="s">
        <v>454</v>
      </c>
      <c r="G20" s="147" t="s">
        <v>454</v>
      </c>
      <c r="H20" s="147" t="s">
        <v>454</v>
      </c>
      <c r="I20" s="147" t="s">
        <v>454</v>
      </c>
      <c r="J20" s="167" t="s">
        <v>768</v>
      </c>
      <c r="K20" s="167" t="s">
        <v>1684</v>
      </c>
      <c r="L20" s="167"/>
      <c r="M20" s="149" t="s">
        <v>10</v>
      </c>
      <c r="N20" s="242">
        <v>618.57000000000005</v>
      </c>
      <c r="O20" s="242">
        <v>1030.95</v>
      </c>
      <c r="P20" s="188">
        <v>0.6</v>
      </c>
      <c r="Q20" s="293">
        <f t="shared" si="0"/>
        <v>125</v>
      </c>
      <c r="R20" s="197">
        <f t="shared" si="1"/>
        <v>1105.95</v>
      </c>
    </row>
    <row r="21" spans="1:19" s="7" customFormat="1" ht="12.75">
      <c r="A21" s="221" t="s">
        <v>690</v>
      </c>
      <c r="B21" s="144" t="s">
        <v>799</v>
      </c>
      <c r="C21" s="225" t="s">
        <v>728</v>
      </c>
      <c r="D21" s="145" t="s">
        <v>219</v>
      </c>
      <c r="E21" s="147" t="s">
        <v>454</v>
      </c>
      <c r="F21" s="147" t="s">
        <v>454</v>
      </c>
      <c r="G21" s="147" t="s">
        <v>454</v>
      </c>
      <c r="H21" s="147"/>
      <c r="I21" s="147" t="s">
        <v>454</v>
      </c>
      <c r="J21" s="167" t="s">
        <v>768</v>
      </c>
      <c r="K21" s="167" t="s">
        <v>1684</v>
      </c>
      <c r="L21" s="167"/>
      <c r="M21" s="149" t="s">
        <v>10</v>
      </c>
      <c r="N21" s="242">
        <v>582.57000000000005</v>
      </c>
      <c r="O21" s="242">
        <v>970.95</v>
      </c>
      <c r="P21" s="188">
        <v>0.6</v>
      </c>
      <c r="Q21" s="293">
        <f t="shared" si="0"/>
        <v>125</v>
      </c>
      <c r="R21" s="197">
        <f t="shared" si="1"/>
        <v>1045.95</v>
      </c>
    </row>
    <row r="22" spans="1:19" s="7" customFormat="1" ht="12.75">
      <c r="A22" s="221" t="s">
        <v>175</v>
      </c>
      <c r="B22" s="144" t="s">
        <v>646</v>
      </c>
      <c r="C22" s="151" t="s">
        <v>878</v>
      </c>
      <c r="D22" s="145" t="s">
        <v>1705</v>
      </c>
      <c r="E22" s="147" t="s">
        <v>454</v>
      </c>
      <c r="F22" s="147" t="s">
        <v>454</v>
      </c>
      <c r="G22" s="147" t="s">
        <v>454</v>
      </c>
      <c r="H22" s="147" t="s">
        <v>454</v>
      </c>
      <c r="I22" s="147" t="s">
        <v>454</v>
      </c>
      <c r="J22" s="167" t="s">
        <v>768</v>
      </c>
      <c r="K22" s="167"/>
      <c r="L22" s="167"/>
      <c r="M22" s="149" t="s">
        <v>16</v>
      </c>
      <c r="N22" s="242">
        <v>70</v>
      </c>
      <c r="O22" s="242">
        <v>99.95</v>
      </c>
      <c r="P22" s="188">
        <v>0</v>
      </c>
      <c r="Q22" s="293">
        <f t="shared" si="0"/>
        <v>125</v>
      </c>
      <c r="R22" s="197">
        <f t="shared" si="1"/>
        <v>99.95</v>
      </c>
    </row>
    <row r="23" spans="1:19" s="7" customFormat="1" ht="12.75">
      <c r="A23" s="221" t="s">
        <v>176</v>
      </c>
      <c r="B23" s="144" t="s">
        <v>647</v>
      </c>
      <c r="C23" s="151" t="s">
        <v>879</v>
      </c>
      <c r="D23" s="145" t="s">
        <v>1705</v>
      </c>
      <c r="E23" s="147" t="s">
        <v>454</v>
      </c>
      <c r="F23" s="147" t="s">
        <v>454</v>
      </c>
      <c r="G23" s="147" t="s">
        <v>454</v>
      </c>
      <c r="H23" s="147" t="s">
        <v>454</v>
      </c>
      <c r="I23" s="147" t="s">
        <v>454</v>
      </c>
      <c r="J23" s="167" t="s">
        <v>768</v>
      </c>
      <c r="K23" s="167"/>
      <c r="L23" s="167"/>
      <c r="M23" s="149" t="s">
        <v>16</v>
      </c>
      <c r="N23" s="242">
        <v>70</v>
      </c>
      <c r="O23" s="242">
        <v>99.95</v>
      </c>
      <c r="P23" s="188">
        <v>0</v>
      </c>
      <c r="Q23" s="293">
        <f t="shared" si="0"/>
        <v>125</v>
      </c>
      <c r="R23" s="197">
        <f t="shared" si="1"/>
        <v>99.95</v>
      </c>
    </row>
    <row r="24" spans="1:19" s="7" customFormat="1" ht="12.75">
      <c r="A24" s="221" t="s">
        <v>177</v>
      </c>
      <c r="B24" s="144" t="s">
        <v>648</v>
      </c>
      <c r="C24" s="151" t="s">
        <v>880</v>
      </c>
      <c r="D24" s="145" t="s">
        <v>1705</v>
      </c>
      <c r="E24" s="147" t="s">
        <v>454</v>
      </c>
      <c r="F24" s="147" t="s">
        <v>454</v>
      </c>
      <c r="G24" s="147" t="s">
        <v>454</v>
      </c>
      <c r="H24" s="147" t="s">
        <v>454</v>
      </c>
      <c r="I24" s="147" t="s">
        <v>454</v>
      </c>
      <c r="J24" s="167" t="s">
        <v>768</v>
      </c>
      <c r="K24" s="167"/>
      <c r="L24" s="167"/>
      <c r="M24" s="149" t="s">
        <v>16</v>
      </c>
      <c r="N24" s="242">
        <v>49</v>
      </c>
      <c r="O24" s="242">
        <v>69.95</v>
      </c>
      <c r="P24" s="188">
        <v>0</v>
      </c>
      <c r="Q24" s="293">
        <f t="shared" si="0"/>
        <v>125</v>
      </c>
      <c r="R24" s="197">
        <f t="shared" si="1"/>
        <v>69.95</v>
      </c>
    </row>
    <row r="25" spans="1:19" s="7" customFormat="1" ht="12.75">
      <c r="A25" s="221" t="s">
        <v>713</v>
      </c>
      <c r="B25" s="144" t="s">
        <v>218</v>
      </c>
      <c r="C25" s="151" t="s">
        <v>1629</v>
      </c>
      <c r="D25" s="145" t="s">
        <v>1706</v>
      </c>
      <c r="E25" s="147" t="s">
        <v>454</v>
      </c>
      <c r="F25" s="147" t="s">
        <v>454</v>
      </c>
      <c r="G25" s="147" t="s">
        <v>454</v>
      </c>
      <c r="H25" s="147" t="s">
        <v>454</v>
      </c>
      <c r="I25" s="147" t="s">
        <v>454</v>
      </c>
      <c r="J25" s="167" t="s">
        <v>768</v>
      </c>
      <c r="K25" s="167" t="s">
        <v>1684</v>
      </c>
      <c r="L25" s="167"/>
      <c r="M25" s="149" t="s">
        <v>10</v>
      </c>
      <c r="N25" s="242">
        <v>85.77</v>
      </c>
      <c r="O25" s="242">
        <v>142.94999999999999</v>
      </c>
      <c r="P25" s="188">
        <v>0.5</v>
      </c>
      <c r="Q25" s="293">
        <f t="shared" si="0"/>
        <v>125</v>
      </c>
      <c r="R25" s="197">
        <f t="shared" si="1"/>
        <v>205.45</v>
      </c>
    </row>
    <row r="26" spans="1:19" s="7" customFormat="1" ht="12.75">
      <c r="A26" s="221" t="s">
        <v>712</v>
      </c>
      <c r="B26" s="144" t="s">
        <v>217</v>
      </c>
      <c r="C26" s="151" t="s">
        <v>1630</v>
      </c>
      <c r="D26" s="145" t="s">
        <v>1706</v>
      </c>
      <c r="E26" s="147" t="s">
        <v>454</v>
      </c>
      <c r="F26" s="147" t="s">
        <v>454</v>
      </c>
      <c r="G26" s="147" t="s">
        <v>454</v>
      </c>
      <c r="H26" s="147" t="s">
        <v>454</v>
      </c>
      <c r="I26" s="147" t="s">
        <v>454</v>
      </c>
      <c r="J26" s="167" t="s">
        <v>768</v>
      </c>
      <c r="K26" s="167" t="s">
        <v>1684</v>
      </c>
      <c r="L26" s="167"/>
      <c r="M26" s="149" t="s">
        <v>10</v>
      </c>
      <c r="N26" s="242">
        <v>85.77</v>
      </c>
      <c r="O26" s="242">
        <v>142.94999999999999</v>
      </c>
      <c r="P26" s="188">
        <v>0.5</v>
      </c>
      <c r="Q26" s="293">
        <f t="shared" si="0"/>
        <v>125</v>
      </c>
      <c r="R26" s="197">
        <f t="shared" si="1"/>
        <v>205.45</v>
      </c>
    </row>
    <row r="27" spans="1:19" s="7" customFormat="1" ht="12.75">
      <c r="A27" s="221" t="s">
        <v>716</v>
      </c>
      <c r="B27" s="144" t="s">
        <v>554</v>
      </c>
      <c r="C27" s="151" t="s">
        <v>902</v>
      </c>
      <c r="D27" s="145" t="s">
        <v>537</v>
      </c>
      <c r="E27" s="147" t="s">
        <v>454</v>
      </c>
      <c r="F27" s="147" t="s">
        <v>454</v>
      </c>
      <c r="G27" s="147" t="s">
        <v>454</v>
      </c>
      <c r="H27" s="147" t="s">
        <v>454</v>
      </c>
      <c r="I27" s="147" t="s">
        <v>454</v>
      </c>
      <c r="J27" s="167" t="s">
        <v>768</v>
      </c>
      <c r="K27" s="167" t="s">
        <v>1684</v>
      </c>
      <c r="L27" s="167"/>
      <c r="M27" s="149" t="s">
        <v>10</v>
      </c>
      <c r="N27" s="242">
        <v>112.77</v>
      </c>
      <c r="O27" s="242">
        <v>187.95</v>
      </c>
      <c r="P27" s="188">
        <v>0.5</v>
      </c>
      <c r="Q27" s="293">
        <f t="shared" si="0"/>
        <v>125</v>
      </c>
      <c r="R27" s="197">
        <f t="shared" si="1"/>
        <v>250.45</v>
      </c>
    </row>
    <row r="28" spans="1:19" s="7" customFormat="1" ht="12.75">
      <c r="A28" s="160" t="s">
        <v>722</v>
      </c>
      <c r="B28" s="144" t="s">
        <v>800</v>
      </c>
      <c r="C28" s="151" t="s">
        <v>903</v>
      </c>
      <c r="D28" s="145" t="s">
        <v>749</v>
      </c>
      <c r="E28" s="147" t="s">
        <v>454</v>
      </c>
      <c r="F28" s="147" t="s">
        <v>454</v>
      </c>
      <c r="G28" s="147" t="s">
        <v>454</v>
      </c>
      <c r="H28" s="147" t="s">
        <v>454</v>
      </c>
      <c r="I28" s="147" t="s">
        <v>454</v>
      </c>
      <c r="J28" s="148" t="s">
        <v>768</v>
      </c>
      <c r="K28" s="148" t="s">
        <v>1684</v>
      </c>
      <c r="L28" s="148"/>
      <c r="M28" s="149" t="s">
        <v>0</v>
      </c>
      <c r="N28" s="242">
        <v>106.77</v>
      </c>
      <c r="O28" s="242">
        <v>177.95</v>
      </c>
      <c r="P28" s="188">
        <v>1.5</v>
      </c>
      <c r="Q28" s="292">
        <f t="shared" si="0"/>
        <v>125</v>
      </c>
      <c r="R28" s="197">
        <f t="shared" si="1"/>
        <v>365.45</v>
      </c>
    </row>
    <row r="29" spans="1:19" s="7" customFormat="1" ht="12.75">
      <c r="A29" s="160" t="s">
        <v>164</v>
      </c>
      <c r="B29" s="144" t="s">
        <v>801</v>
      </c>
      <c r="C29" s="151" t="s">
        <v>904</v>
      </c>
      <c r="D29" s="145" t="s">
        <v>23</v>
      </c>
      <c r="E29" s="147" t="s">
        <v>454</v>
      </c>
      <c r="F29" s="147" t="s">
        <v>454</v>
      </c>
      <c r="G29" s="147" t="s">
        <v>454</v>
      </c>
      <c r="H29" s="147" t="s">
        <v>454</v>
      </c>
      <c r="I29" s="147" t="s">
        <v>454</v>
      </c>
      <c r="J29" s="148" t="s">
        <v>768</v>
      </c>
      <c r="K29" s="148" t="s">
        <v>1684</v>
      </c>
      <c r="L29" s="148"/>
      <c r="M29" s="149" t="s">
        <v>0</v>
      </c>
      <c r="N29" s="242">
        <v>109.77</v>
      </c>
      <c r="O29" s="242">
        <v>182.95</v>
      </c>
      <c r="P29" s="188">
        <v>1.5</v>
      </c>
      <c r="Q29" s="292">
        <f t="shared" si="0"/>
        <v>125</v>
      </c>
      <c r="R29" s="197">
        <f t="shared" si="1"/>
        <v>370.45</v>
      </c>
    </row>
    <row r="30" spans="1:19" s="7" customFormat="1" ht="12.75">
      <c r="A30" s="160" t="s">
        <v>561</v>
      </c>
      <c r="B30" s="144" t="s">
        <v>563</v>
      </c>
      <c r="C30" s="151" t="s">
        <v>566</v>
      </c>
      <c r="D30" s="145" t="s">
        <v>1829</v>
      </c>
      <c r="E30" s="147" t="s">
        <v>454</v>
      </c>
      <c r="F30" s="147" t="s">
        <v>454</v>
      </c>
      <c r="G30" s="147" t="s">
        <v>454</v>
      </c>
      <c r="H30" s="147" t="s">
        <v>454</v>
      </c>
      <c r="I30" s="147" t="s">
        <v>454</v>
      </c>
      <c r="J30" s="148" t="s">
        <v>768</v>
      </c>
      <c r="K30" s="148"/>
      <c r="L30" s="148"/>
      <c r="M30" s="149" t="s">
        <v>10</v>
      </c>
      <c r="N30" s="242">
        <v>14.77</v>
      </c>
      <c r="O30" s="242">
        <v>39.950000000000003</v>
      </c>
      <c r="P30" s="188">
        <v>0</v>
      </c>
      <c r="Q30" s="292">
        <f t="shared" si="0"/>
        <v>125</v>
      </c>
      <c r="R30" s="197">
        <f t="shared" si="1"/>
        <v>39.950000000000003</v>
      </c>
    </row>
    <row r="31" spans="1:19" s="7" customFormat="1" ht="12.75">
      <c r="A31" s="160" t="s">
        <v>1046</v>
      </c>
      <c r="B31" s="144" t="s">
        <v>1047</v>
      </c>
      <c r="C31" s="151" t="s">
        <v>1050</v>
      </c>
      <c r="D31" s="145" t="s">
        <v>1829</v>
      </c>
      <c r="E31" s="147" t="s">
        <v>454</v>
      </c>
      <c r="F31" s="147" t="s">
        <v>454</v>
      </c>
      <c r="G31" s="147" t="s">
        <v>454</v>
      </c>
      <c r="H31" s="147" t="s">
        <v>454</v>
      </c>
      <c r="I31" s="147" t="s">
        <v>454</v>
      </c>
      <c r="J31" s="148" t="s">
        <v>768</v>
      </c>
      <c r="K31" s="148"/>
      <c r="L31" s="148"/>
      <c r="M31" s="149" t="s">
        <v>10</v>
      </c>
      <c r="N31" s="242">
        <v>18.5</v>
      </c>
      <c r="O31" s="242">
        <v>0</v>
      </c>
      <c r="P31" s="188">
        <v>0</v>
      </c>
      <c r="Q31" s="292">
        <f t="shared" si="0"/>
        <v>125</v>
      </c>
      <c r="R31" s="197">
        <f t="shared" si="1"/>
        <v>0</v>
      </c>
    </row>
    <row r="32" spans="1:19" s="7" customFormat="1" ht="12.75">
      <c r="A32" s="160" t="s">
        <v>1048</v>
      </c>
      <c r="B32" s="144" t="s">
        <v>1049</v>
      </c>
      <c r="C32" s="151" t="s">
        <v>1051</v>
      </c>
      <c r="D32" s="145" t="s">
        <v>1829</v>
      </c>
      <c r="E32" s="147" t="s">
        <v>454</v>
      </c>
      <c r="F32" s="147" t="s">
        <v>454</v>
      </c>
      <c r="G32" s="147" t="s">
        <v>454</v>
      </c>
      <c r="H32" s="147" t="s">
        <v>454</v>
      </c>
      <c r="I32" s="147" t="s">
        <v>454</v>
      </c>
      <c r="J32" s="148" t="s">
        <v>768</v>
      </c>
      <c r="K32" s="148"/>
      <c r="L32" s="148"/>
      <c r="M32" s="149" t="s">
        <v>10</v>
      </c>
      <c r="N32" s="242">
        <v>14.25</v>
      </c>
      <c r="O32" s="242">
        <v>0</v>
      </c>
      <c r="P32" s="188">
        <v>0</v>
      </c>
      <c r="Q32" s="292">
        <f t="shared" si="0"/>
        <v>125</v>
      </c>
      <c r="R32" s="197">
        <f t="shared" si="1"/>
        <v>0</v>
      </c>
    </row>
    <row r="33" spans="1:19" s="7" customFormat="1" ht="12.75">
      <c r="A33" s="160" t="s">
        <v>562</v>
      </c>
      <c r="B33" s="144" t="s">
        <v>565</v>
      </c>
      <c r="C33" s="151" t="s">
        <v>568</v>
      </c>
      <c r="D33" s="145" t="s">
        <v>1829</v>
      </c>
      <c r="E33" s="147" t="s">
        <v>454</v>
      </c>
      <c r="F33" s="147" t="s">
        <v>454</v>
      </c>
      <c r="G33" s="147" t="s">
        <v>454</v>
      </c>
      <c r="H33" s="147" t="s">
        <v>454</v>
      </c>
      <c r="I33" s="147" t="s">
        <v>454</v>
      </c>
      <c r="J33" s="148" t="s">
        <v>768</v>
      </c>
      <c r="K33" s="148"/>
      <c r="L33" s="148"/>
      <c r="M33" s="149" t="s">
        <v>10</v>
      </c>
      <c r="N33" s="242">
        <v>18.09</v>
      </c>
      <c r="O33" s="242">
        <v>0</v>
      </c>
      <c r="P33" s="188">
        <v>0</v>
      </c>
      <c r="Q33" s="292">
        <f t="shared" si="0"/>
        <v>125</v>
      </c>
      <c r="R33" s="197">
        <f t="shared" si="1"/>
        <v>0</v>
      </c>
    </row>
    <row r="34" spans="1:19" s="7" customFormat="1" ht="12.75">
      <c r="A34" s="160" t="s">
        <v>560</v>
      </c>
      <c r="B34" s="144" t="s">
        <v>885</v>
      </c>
      <c r="C34" s="151" t="s">
        <v>905</v>
      </c>
      <c r="D34" s="145" t="s">
        <v>1829</v>
      </c>
      <c r="E34" s="147" t="s">
        <v>454</v>
      </c>
      <c r="F34" s="147" t="s">
        <v>454</v>
      </c>
      <c r="G34" s="147" t="s">
        <v>454</v>
      </c>
      <c r="H34" s="147" t="s">
        <v>454</v>
      </c>
      <c r="I34" s="147" t="s">
        <v>454</v>
      </c>
      <c r="J34" s="148" t="s">
        <v>768</v>
      </c>
      <c r="K34" s="148"/>
      <c r="L34" s="148"/>
      <c r="M34" s="149" t="s">
        <v>10</v>
      </c>
      <c r="N34" s="242">
        <v>16.45</v>
      </c>
      <c r="O34" s="242">
        <v>39.950000000000003</v>
      </c>
      <c r="P34" s="188">
        <v>0</v>
      </c>
      <c r="Q34" s="292">
        <f t="shared" si="0"/>
        <v>125</v>
      </c>
      <c r="R34" s="197">
        <f t="shared" si="1"/>
        <v>39.950000000000003</v>
      </c>
    </row>
    <row r="35" spans="1:19" s="7" customFormat="1" ht="12.75">
      <c r="A35" s="160" t="s">
        <v>570</v>
      </c>
      <c r="B35" s="144" t="s">
        <v>564</v>
      </c>
      <c r="C35" s="151" t="s">
        <v>567</v>
      </c>
      <c r="D35" s="145" t="s">
        <v>1829</v>
      </c>
      <c r="E35" s="147" t="s">
        <v>454</v>
      </c>
      <c r="F35" s="147" t="s">
        <v>454</v>
      </c>
      <c r="G35" s="147" t="s">
        <v>454</v>
      </c>
      <c r="H35" s="147" t="s">
        <v>454</v>
      </c>
      <c r="I35" s="147" t="s">
        <v>454</v>
      </c>
      <c r="J35" s="148" t="s">
        <v>768</v>
      </c>
      <c r="K35" s="148"/>
      <c r="L35" s="148"/>
      <c r="M35" s="149" t="s">
        <v>10</v>
      </c>
      <c r="N35" s="242">
        <v>99.95</v>
      </c>
      <c r="O35" s="242">
        <v>39.950000000000003</v>
      </c>
      <c r="P35" s="188">
        <v>0</v>
      </c>
      <c r="Q35" s="292">
        <f t="shared" si="0"/>
        <v>125</v>
      </c>
      <c r="R35" s="197">
        <f t="shared" si="1"/>
        <v>39.950000000000003</v>
      </c>
    </row>
    <row r="36" spans="1:19" s="7" customFormat="1" ht="12.75">
      <c r="A36" s="160" t="s">
        <v>723</v>
      </c>
      <c r="B36" s="144" t="s">
        <v>802</v>
      </c>
      <c r="C36" s="151" t="s">
        <v>771</v>
      </c>
      <c r="D36" s="145"/>
      <c r="E36" s="147" t="s">
        <v>454</v>
      </c>
      <c r="F36" s="147" t="s">
        <v>454</v>
      </c>
      <c r="G36" s="147" t="s">
        <v>454</v>
      </c>
      <c r="H36" s="147" t="s">
        <v>454</v>
      </c>
      <c r="I36" s="147" t="s">
        <v>454</v>
      </c>
      <c r="J36" s="148" t="s">
        <v>768</v>
      </c>
      <c r="K36" s="148" t="s">
        <v>1684</v>
      </c>
      <c r="L36" s="148"/>
      <c r="M36" s="149" t="s">
        <v>0</v>
      </c>
      <c r="N36" s="242">
        <v>312.57</v>
      </c>
      <c r="O36" s="242">
        <v>520.95000000000005</v>
      </c>
      <c r="P36" s="188">
        <v>2.5</v>
      </c>
      <c r="Q36" s="292">
        <f t="shared" si="0"/>
        <v>125</v>
      </c>
      <c r="R36" s="197">
        <f t="shared" si="1"/>
        <v>833.45</v>
      </c>
    </row>
    <row r="37" spans="1:19" s="7" customFormat="1" ht="12.75">
      <c r="A37" s="160" t="s">
        <v>1879</v>
      </c>
      <c r="B37" s="144" t="s">
        <v>743</v>
      </c>
      <c r="C37" s="151" t="s">
        <v>906</v>
      </c>
      <c r="D37" s="145"/>
      <c r="E37" s="147" t="s">
        <v>454</v>
      </c>
      <c r="F37" s="147" t="s">
        <v>454</v>
      </c>
      <c r="G37" s="147" t="s">
        <v>454</v>
      </c>
      <c r="H37" s="147" t="s">
        <v>454</v>
      </c>
      <c r="I37" s="147" t="s">
        <v>454</v>
      </c>
      <c r="J37" s="148" t="s">
        <v>768</v>
      </c>
      <c r="K37" s="148" t="s">
        <v>1684</v>
      </c>
      <c r="L37" s="148"/>
      <c r="M37" s="149" t="s">
        <v>0</v>
      </c>
      <c r="N37" s="242">
        <v>112.77</v>
      </c>
      <c r="O37" s="242">
        <v>187.95</v>
      </c>
      <c r="P37" s="188">
        <v>0</v>
      </c>
      <c r="Q37" s="292">
        <f t="shared" si="0"/>
        <v>125</v>
      </c>
      <c r="R37" s="197">
        <f t="shared" si="1"/>
        <v>187.95</v>
      </c>
    </row>
    <row r="38" spans="1:19" s="7" customFormat="1" ht="12.75">
      <c r="A38" s="160" t="s">
        <v>721</v>
      </c>
      <c r="B38" s="144" t="s">
        <v>2132</v>
      </c>
      <c r="C38" s="151" t="s">
        <v>2133</v>
      </c>
      <c r="D38" s="145"/>
      <c r="E38" s="147" t="s">
        <v>454</v>
      </c>
      <c r="F38" s="147" t="s">
        <v>454</v>
      </c>
      <c r="G38" s="147" t="s">
        <v>454</v>
      </c>
      <c r="H38" s="147" t="s">
        <v>454</v>
      </c>
      <c r="I38" s="147" t="s">
        <v>454</v>
      </c>
      <c r="J38" s="148" t="s">
        <v>768</v>
      </c>
      <c r="K38" s="148" t="s">
        <v>1684</v>
      </c>
      <c r="L38" s="148"/>
      <c r="M38" s="149" t="s">
        <v>0</v>
      </c>
      <c r="N38" s="242">
        <v>35.97</v>
      </c>
      <c r="O38" s="242">
        <v>59.95</v>
      </c>
      <c r="P38" s="188">
        <v>0.6</v>
      </c>
      <c r="Q38" s="292">
        <f t="shared" si="0"/>
        <v>125</v>
      </c>
      <c r="R38" s="197">
        <f t="shared" si="1"/>
        <v>134.94999999999999</v>
      </c>
      <c r="S38" s="16"/>
    </row>
    <row r="39" spans="1:19" s="7" customFormat="1" ht="12.75">
      <c r="A39" s="160" t="s">
        <v>156</v>
      </c>
      <c r="B39" s="144" t="s">
        <v>2226</v>
      </c>
      <c r="C39" s="151" t="s">
        <v>828</v>
      </c>
      <c r="D39" s="145" t="s">
        <v>56</v>
      </c>
      <c r="E39" s="147" t="s">
        <v>454</v>
      </c>
      <c r="F39" s="147" t="s">
        <v>454</v>
      </c>
      <c r="G39" s="147" t="s">
        <v>454</v>
      </c>
      <c r="H39" s="147"/>
      <c r="I39" s="147" t="s">
        <v>454</v>
      </c>
      <c r="J39" s="148" t="s">
        <v>768</v>
      </c>
      <c r="K39" s="148" t="s">
        <v>1684</v>
      </c>
      <c r="L39" s="148"/>
      <c r="M39" s="149" t="s">
        <v>10</v>
      </c>
      <c r="N39" s="242">
        <v>151.77000000000001</v>
      </c>
      <c r="O39" s="242">
        <v>252.95</v>
      </c>
      <c r="P39" s="188">
        <v>0.6</v>
      </c>
      <c r="Q39" s="292">
        <f t="shared" si="0"/>
        <v>125</v>
      </c>
      <c r="R39" s="197">
        <f t="shared" si="1"/>
        <v>327.95</v>
      </c>
    </row>
    <row r="40" spans="1:19" s="7" customFormat="1" ht="12.75">
      <c r="A40" s="160" t="s">
        <v>158</v>
      </c>
      <c r="B40" s="144" t="s">
        <v>889</v>
      </c>
      <c r="C40" s="151" t="s">
        <v>729</v>
      </c>
      <c r="D40" s="145"/>
      <c r="E40" s="147" t="s">
        <v>454</v>
      </c>
      <c r="F40" s="147" t="s">
        <v>454</v>
      </c>
      <c r="G40" s="147" t="s">
        <v>454</v>
      </c>
      <c r="H40" s="147" t="s">
        <v>454</v>
      </c>
      <c r="I40" s="147" t="s">
        <v>454</v>
      </c>
      <c r="J40" s="148" t="s">
        <v>768</v>
      </c>
      <c r="K40" s="148" t="s">
        <v>1684</v>
      </c>
      <c r="L40" s="148"/>
      <c r="M40" s="149" t="s">
        <v>10</v>
      </c>
      <c r="N40" s="242">
        <v>42.57</v>
      </c>
      <c r="O40" s="242">
        <v>70.95</v>
      </c>
      <c r="P40" s="188">
        <v>0.4</v>
      </c>
      <c r="Q40" s="292">
        <f t="shared" si="0"/>
        <v>125</v>
      </c>
      <c r="R40" s="197">
        <f t="shared" si="1"/>
        <v>120.95</v>
      </c>
    </row>
    <row r="41" spans="1:19" s="7" customFormat="1" ht="12.75">
      <c r="A41" s="160" t="s">
        <v>159</v>
      </c>
      <c r="B41" s="144" t="s">
        <v>890</v>
      </c>
      <c r="C41" s="151" t="s">
        <v>730</v>
      </c>
      <c r="D41" s="145" t="s">
        <v>410</v>
      </c>
      <c r="E41" s="147" t="s">
        <v>454</v>
      </c>
      <c r="F41" s="147" t="s">
        <v>454</v>
      </c>
      <c r="G41" s="147" t="s">
        <v>454</v>
      </c>
      <c r="H41" s="147" t="s">
        <v>454</v>
      </c>
      <c r="I41" s="147" t="s">
        <v>454</v>
      </c>
      <c r="J41" s="148" t="s">
        <v>768</v>
      </c>
      <c r="K41" s="148" t="s">
        <v>1684</v>
      </c>
      <c r="L41" s="148"/>
      <c r="M41" s="149" t="s">
        <v>10</v>
      </c>
      <c r="N41" s="242">
        <v>42.57</v>
      </c>
      <c r="O41" s="242">
        <v>70.95</v>
      </c>
      <c r="P41" s="188">
        <v>0.4</v>
      </c>
      <c r="Q41" s="292">
        <f t="shared" si="0"/>
        <v>125</v>
      </c>
      <c r="R41" s="197">
        <f t="shared" si="1"/>
        <v>120.95</v>
      </c>
    </row>
    <row r="42" spans="1:19" s="7" customFormat="1" ht="12.75">
      <c r="A42" s="160" t="s">
        <v>872</v>
      </c>
      <c r="B42" s="144" t="s">
        <v>873</v>
      </c>
      <c r="C42" s="151" t="s">
        <v>875</v>
      </c>
      <c r="D42" s="145" t="s">
        <v>1844</v>
      </c>
      <c r="E42" s="147" t="s">
        <v>454</v>
      </c>
      <c r="F42" s="147" t="s">
        <v>454</v>
      </c>
      <c r="G42" s="147" t="s">
        <v>454</v>
      </c>
      <c r="H42" s="147" t="s">
        <v>454</v>
      </c>
      <c r="I42" s="147" t="s">
        <v>454</v>
      </c>
      <c r="J42" s="148"/>
      <c r="K42" s="148"/>
      <c r="L42" s="148"/>
      <c r="M42" s="149" t="s">
        <v>59</v>
      </c>
      <c r="N42" s="242">
        <v>84</v>
      </c>
      <c r="O42" s="242">
        <v>119.95</v>
      </c>
      <c r="P42" s="188">
        <v>0</v>
      </c>
      <c r="Q42" s="292">
        <f t="shared" si="0"/>
        <v>125</v>
      </c>
      <c r="R42" s="197">
        <f t="shared" si="1"/>
        <v>119.95</v>
      </c>
      <c r="S42" s="14"/>
    </row>
    <row r="43" spans="1:19" s="7" customFormat="1" ht="12.75">
      <c r="A43" s="160" t="s">
        <v>697</v>
      </c>
      <c r="B43" s="144" t="s">
        <v>752</v>
      </c>
      <c r="C43" s="151" t="s">
        <v>907</v>
      </c>
      <c r="D43" s="145" t="s">
        <v>734</v>
      </c>
      <c r="E43" s="147" t="s">
        <v>454</v>
      </c>
      <c r="F43" s="147" t="s">
        <v>454</v>
      </c>
      <c r="G43" s="147" t="s">
        <v>454</v>
      </c>
      <c r="H43" s="147" t="s">
        <v>454</v>
      </c>
      <c r="I43" s="147" t="s">
        <v>454</v>
      </c>
      <c r="J43" s="148" t="s">
        <v>768</v>
      </c>
      <c r="K43" s="148" t="s">
        <v>1684</v>
      </c>
      <c r="L43" s="148"/>
      <c r="M43" s="149" t="s">
        <v>10</v>
      </c>
      <c r="N43" s="242">
        <v>179.97</v>
      </c>
      <c r="O43" s="242">
        <v>299.95</v>
      </c>
      <c r="P43" s="188">
        <v>0.4</v>
      </c>
      <c r="Q43" s="292">
        <f t="shared" si="0"/>
        <v>125</v>
      </c>
      <c r="R43" s="197">
        <f t="shared" si="1"/>
        <v>349.95</v>
      </c>
    </row>
    <row r="44" spans="1:19" s="7" customFormat="1" ht="12.75">
      <c r="A44" s="221" t="s">
        <v>1906</v>
      </c>
      <c r="B44" s="144" t="s">
        <v>1915</v>
      </c>
      <c r="C44" s="151" t="s">
        <v>829</v>
      </c>
      <c r="D44" s="145" t="s">
        <v>1921</v>
      </c>
      <c r="E44" s="147" t="s">
        <v>454</v>
      </c>
      <c r="F44" s="147" t="s">
        <v>454</v>
      </c>
      <c r="G44" s="147" t="s">
        <v>454</v>
      </c>
      <c r="H44" s="147"/>
      <c r="I44" s="147" t="s">
        <v>454</v>
      </c>
      <c r="J44" s="167" t="s">
        <v>768</v>
      </c>
      <c r="K44" s="167" t="s">
        <v>1684</v>
      </c>
      <c r="L44" s="167"/>
      <c r="M44" s="149" t="s">
        <v>59</v>
      </c>
      <c r="N44" s="242">
        <v>431.37</v>
      </c>
      <c r="O44" s="242">
        <v>718.95</v>
      </c>
      <c r="P44" s="188">
        <v>3</v>
      </c>
      <c r="Q44" s="293">
        <f t="shared" si="0"/>
        <v>125</v>
      </c>
      <c r="R44" s="197">
        <f t="shared" si="1"/>
        <v>1093.95</v>
      </c>
    </row>
    <row r="45" spans="1:19" s="7" customFormat="1" ht="12.75">
      <c r="A45" s="221" t="s">
        <v>1905</v>
      </c>
      <c r="B45" s="144" t="s">
        <v>1914</v>
      </c>
      <c r="C45" s="151" t="s">
        <v>731</v>
      </c>
      <c r="D45" s="145" t="s">
        <v>1920</v>
      </c>
      <c r="E45" s="147" t="s">
        <v>454</v>
      </c>
      <c r="F45" s="147" t="s">
        <v>454</v>
      </c>
      <c r="G45" s="147" t="s">
        <v>454</v>
      </c>
      <c r="H45" s="147"/>
      <c r="I45" s="147" t="s">
        <v>454</v>
      </c>
      <c r="J45" s="167" t="s">
        <v>768</v>
      </c>
      <c r="K45" s="167" t="s">
        <v>1684</v>
      </c>
      <c r="L45" s="167"/>
      <c r="M45" s="149" t="s">
        <v>59</v>
      </c>
      <c r="N45" s="242">
        <v>431.37</v>
      </c>
      <c r="O45" s="242">
        <v>718.95</v>
      </c>
      <c r="P45" s="188">
        <v>3</v>
      </c>
      <c r="Q45" s="293">
        <f t="shared" si="0"/>
        <v>125</v>
      </c>
      <c r="R45" s="197">
        <f t="shared" si="1"/>
        <v>1093.95</v>
      </c>
    </row>
    <row r="46" spans="1:19" s="7" customFormat="1" ht="12.75">
      <c r="A46" s="221" t="s">
        <v>1901</v>
      </c>
      <c r="B46" s="144" t="s">
        <v>1910</v>
      </c>
      <c r="C46" s="151" t="s">
        <v>833</v>
      </c>
      <c r="D46" s="145" t="s">
        <v>1916</v>
      </c>
      <c r="E46" s="147" t="s">
        <v>454</v>
      </c>
      <c r="F46" s="147" t="s">
        <v>454</v>
      </c>
      <c r="G46" s="147" t="s">
        <v>454</v>
      </c>
      <c r="H46" s="147"/>
      <c r="I46" s="147" t="s">
        <v>454</v>
      </c>
      <c r="J46" s="167" t="s">
        <v>768</v>
      </c>
      <c r="K46" s="167" t="s">
        <v>1684</v>
      </c>
      <c r="L46" s="167"/>
      <c r="M46" s="149" t="s">
        <v>59</v>
      </c>
      <c r="N46" s="242">
        <v>431.37</v>
      </c>
      <c r="O46" s="242">
        <v>718.95</v>
      </c>
      <c r="P46" s="188">
        <v>3</v>
      </c>
      <c r="Q46" s="293">
        <f t="shared" si="0"/>
        <v>125</v>
      </c>
      <c r="R46" s="197">
        <f t="shared" si="1"/>
        <v>1093.95</v>
      </c>
    </row>
    <row r="47" spans="1:19" s="7" customFormat="1" ht="12.75">
      <c r="A47" s="221" t="s">
        <v>1903</v>
      </c>
      <c r="B47" s="144" t="s">
        <v>1912</v>
      </c>
      <c r="C47" s="151" t="s">
        <v>324</v>
      </c>
      <c r="D47" s="145" t="s">
        <v>1918</v>
      </c>
      <c r="E47" s="147" t="s">
        <v>454</v>
      </c>
      <c r="F47" s="147" t="s">
        <v>454</v>
      </c>
      <c r="G47" s="147" t="s">
        <v>454</v>
      </c>
      <c r="H47" s="147"/>
      <c r="I47" s="147" t="s">
        <v>454</v>
      </c>
      <c r="J47" s="167" t="s">
        <v>768</v>
      </c>
      <c r="K47" s="167" t="s">
        <v>1684</v>
      </c>
      <c r="L47" s="167"/>
      <c r="M47" s="149" t="s">
        <v>59</v>
      </c>
      <c r="N47" s="242">
        <v>431.37</v>
      </c>
      <c r="O47" s="242">
        <v>718.95</v>
      </c>
      <c r="P47" s="188">
        <v>3</v>
      </c>
      <c r="Q47" s="293">
        <f t="shared" si="0"/>
        <v>125</v>
      </c>
      <c r="R47" s="197">
        <f t="shared" si="1"/>
        <v>1093.95</v>
      </c>
    </row>
    <row r="48" spans="1:19" s="7" customFormat="1" ht="12.75">
      <c r="A48" s="221" t="s">
        <v>1902</v>
      </c>
      <c r="B48" s="144" t="s">
        <v>1911</v>
      </c>
      <c r="C48" s="151" t="s">
        <v>387</v>
      </c>
      <c r="D48" s="145" t="s">
        <v>1917</v>
      </c>
      <c r="E48" s="147" t="s">
        <v>454</v>
      </c>
      <c r="F48" s="147" t="s">
        <v>454</v>
      </c>
      <c r="G48" s="147" t="s">
        <v>454</v>
      </c>
      <c r="H48" s="147" t="s">
        <v>454</v>
      </c>
      <c r="I48" s="147" t="s">
        <v>454</v>
      </c>
      <c r="J48" s="167" t="s">
        <v>768</v>
      </c>
      <c r="K48" s="167" t="s">
        <v>1684</v>
      </c>
      <c r="L48" s="167"/>
      <c r="M48" s="149" t="s">
        <v>59</v>
      </c>
      <c r="N48" s="242">
        <v>431.37</v>
      </c>
      <c r="O48" s="242">
        <v>718.95</v>
      </c>
      <c r="P48" s="188">
        <v>3</v>
      </c>
      <c r="Q48" s="293">
        <f t="shared" si="0"/>
        <v>125</v>
      </c>
      <c r="R48" s="197">
        <f t="shared" si="1"/>
        <v>1093.95</v>
      </c>
    </row>
    <row r="49" spans="1:18" s="7" customFormat="1" ht="12.75">
      <c r="A49" s="221" t="s">
        <v>1904</v>
      </c>
      <c r="B49" s="144" t="s">
        <v>1913</v>
      </c>
      <c r="C49" s="151" t="s">
        <v>325</v>
      </c>
      <c r="D49" s="145" t="s">
        <v>1919</v>
      </c>
      <c r="E49" s="147" t="s">
        <v>454</v>
      </c>
      <c r="F49" s="147" t="s">
        <v>454</v>
      </c>
      <c r="G49" s="147" t="s">
        <v>454</v>
      </c>
      <c r="H49" s="147" t="s">
        <v>454</v>
      </c>
      <c r="I49" s="147" t="s">
        <v>454</v>
      </c>
      <c r="J49" s="167" t="s">
        <v>768</v>
      </c>
      <c r="K49" s="167" t="s">
        <v>1684</v>
      </c>
      <c r="L49" s="167"/>
      <c r="M49" s="149" t="s">
        <v>59</v>
      </c>
      <c r="N49" s="242">
        <v>431.37</v>
      </c>
      <c r="O49" s="242">
        <v>718.95</v>
      </c>
      <c r="P49" s="188">
        <v>3</v>
      </c>
      <c r="Q49" s="293">
        <f t="shared" si="0"/>
        <v>125</v>
      </c>
      <c r="R49" s="197">
        <f t="shared" si="1"/>
        <v>1093.95</v>
      </c>
    </row>
    <row r="50" spans="1:18" s="7" customFormat="1" ht="12.75">
      <c r="A50" s="221" t="s">
        <v>1907</v>
      </c>
      <c r="B50" s="144" t="s">
        <v>1909</v>
      </c>
      <c r="C50" s="151" t="s">
        <v>842</v>
      </c>
      <c r="D50" s="145" t="s">
        <v>1922</v>
      </c>
      <c r="E50" s="147" t="s">
        <v>454</v>
      </c>
      <c r="F50" s="147" t="s">
        <v>454</v>
      </c>
      <c r="G50" s="147" t="s">
        <v>454</v>
      </c>
      <c r="H50" s="147"/>
      <c r="I50" s="147" t="s">
        <v>454</v>
      </c>
      <c r="J50" s="167" t="s">
        <v>768</v>
      </c>
      <c r="K50" s="167" t="s">
        <v>1684</v>
      </c>
      <c r="L50" s="167"/>
      <c r="M50" s="149" t="s">
        <v>59</v>
      </c>
      <c r="N50" s="242">
        <v>431.37</v>
      </c>
      <c r="O50" s="242">
        <v>718.95</v>
      </c>
      <c r="P50" s="188">
        <v>3</v>
      </c>
      <c r="Q50" s="293">
        <f t="shared" si="0"/>
        <v>125</v>
      </c>
      <c r="R50" s="197">
        <f t="shared" si="1"/>
        <v>1093.95</v>
      </c>
    </row>
    <row r="51" spans="1:18" s="7" customFormat="1" ht="12.75">
      <c r="A51" s="160" t="s">
        <v>693</v>
      </c>
      <c r="B51" s="144" t="s">
        <v>2189</v>
      </c>
      <c r="C51" s="151" t="s">
        <v>785</v>
      </c>
      <c r="D51" s="145" t="s">
        <v>784</v>
      </c>
      <c r="E51" s="147" t="s">
        <v>454</v>
      </c>
      <c r="F51" s="147" t="s">
        <v>454</v>
      </c>
      <c r="G51" s="147" t="s">
        <v>454</v>
      </c>
      <c r="H51" s="147" t="s">
        <v>454</v>
      </c>
      <c r="I51" s="147" t="s">
        <v>454</v>
      </c>
      <c r="J51" s="148" t="s">
        <v>768</v>
      </c>
      <c r="K51" s="148" t="s">
        <v>1684</v>
      </c>
      <c r="L51" s="148"/>
      <c r="M51" s="149" t="s">
        <v>10</v>
      </c>
      <c r="N51" s="242">
        <v>525.57000000000005</v>
      </c>
      <c r="O51" s="242">
        <v>875.95</v>
      </c>
      <c r="P51" s="188">
        <v>0.6</v>
      </c>
      <c r="Q51" s="292">
        <f t="shared" si="0"/>
        <v>125</v>
      </c>
      <c r="R51" s="197">
        <f t="shared" si="1"/>
        <v>950.95</v>
      </c>
    </row>
    <row r="52" spans="1:18" s="7" customFormat="1" ht="12.75">
      <c r="A52" s="160" t="s">
        <v>692</v>
      </c>
      <c r="B52" s="144" t="s">
        <v>2190</v>
      </c>
      <c r="C52" s="151" t="s">
        <v>744</v>
      </c>
      <c r="D52" s="145" t="s">
        <v>219</v>
      </c>
      <c r="E52" s="147" t="s">
        <v>454</v>
      </c>
      <c r="F52" s="147" t="s">
        <v>454</v>
      </c>
      <c r="G52" s="147" t="s">
        <v>454</v>
      </c>
      <c r="H52" s="147"/>
      <c r="I52" s="147" t="s">
        <v>454</v>
      </c>
      <c r="J52" s="148" t="s">
        <v>768</v>
      </c>
      <c r="K52" s="148" t="s">
        <v>1684</v>
      </c>
      <c r="L52" s="148"/>
      <c r="M52" s="149" t="s">
        <v>10</v>
      </c>
      <c r="N52" s="242">
        <v>506.97</v>
      </c>
      <c r="O52" s="242">
        <v>844.95</v>
      </c>
      <c r="P52" s="188">
        <v>0.6</v>
      </c>
      <c r="Q52" s="292">
        <f t="shared" si="0"/>
        <v>125</v>
      </c>
      <c r="R52" s="197">
        <f t="shared" si="1"/>
        <v>919.95</v>
      </c>
    </row>
    <row r="53" spans="1:18" s="7" customFormat="1" ht="12.75">
      <c r="A53" s="160" t="s">
        <v>469</v>
      </c>
      <c r="B53" s="144" t="s">
        <v>779</v>
      </c>
      <c r="C53" s="151" t="s">
        <v>559</v>
      </c>
      <c r="D53" s="145"/>
      <c r="E53" s="147" t="s">
        <v>454</v>
      </c>
      <c r="F53" s="147" t="s">
        <v>454</v>
      </c>
      <c r="G53" s="147" t="s">
        <v>454</v>
      </c>
      <c r="H53" s="147" t="s">
        <v>454</v>
      </c>
      <c r="I53" s="147" t="s">
        <v>454</v>
      </c>
      <c r="J53" s="148" t="s">
        <v>768</v>
      </c>
      <c r="K53" s="148"/>
      <c r="L53" s="148"/>
      <c r="M53" s="149" t="s">
        <v>59</v>
      </c>
      <c r="N53" s="242">
        <v>60</v>
      </c>
      <c r="O53" s="242">
        <v>84.95</v>
      </c>
      <c r="P53" s="188">
        <v>0.8</v>
      </c>
      <c r="Q53" s="292">
        <f t="shared" si="0"/>
        <v>125</v>
      </c>
      <c r="R53" s="197">
        <f t="shared" si="1"/>
        <v>184.95</v>
      </c>
    </row>
    <row r="54" spans="1:18" s="7" customFormat="1" ht="12.75">
      <c r="A54" s="160" t="s">
        <v>1680</v>
      </c>
      <c r="B54" s="144" t="s">
        <v>1800</v>
      </c>
      <c r="C54" s="151" t="s">
        <v>1796</v>
      </c>
      <c r="D54" s="145" t="s">
        <v>1804</v>
      </c>
      <c r="E54" s="147" t="s">
        <v>454</v>
      </c>
      <c r="F54" s="147" t="s">
        <v>454</v>
      </c>
      <c r="G54" s="147" t="s">
        <v>454</v>
      </c>
      <c r="H54" s="147" t="s">
        <v>454</v>
      </c>
      <c r="I54" s="147" t="s">
        <v>454</v>
      </c>
      <c r="J54" s="148" t="s">
        <v>768</v>
      </c>
      <c r="K54" s="148"/>
      <c r="L54" s="148"/>
      <c r="M54" s="149" t="s">
        <v>59</v>
      </c>
      <c r="N54" s="242">
        <v>258.75</v>
      </c>
      <c r="O54" s="242">
        <v>389.95</v>
      </c>
      <c r="P54" s="188">
        <v>0.8</v>
      </c>
      <c r="Q54" s="292">
        <f t="shared" si="0"/>
        <v>125</v>
      </c>
      <c r="R54" s="197">
        <f t="shared" si="1"/>
        <v>489.95</v>
      </c>
    </row>
    <row r="55" spans="1:18" s="7" customFormat="1" ht="25.5">
      <c r="A55" s="221" t="s">
        <v>1052</v>
      </c>
      <c r="B55" s="144" t="s">
        <v>1792</v>
      </c>
      <c r="C55" s="151" t="s">
        <v>1797</v>
      </c>
      <c r="D55" s="145" t="s">
        <v>2048</v>
      </c>
      <c r="E55" s="147" t="s">
        <v>454</v>
      </c>
      <c r="F55" s="147" t="s">
        <v>454</v>
      </c>
      <c r="G55" s="147" t="s">
        <v>454</v>
      </c>
      <c r="H55" s="147" t="s">
        <v>454</v>
      </c>
      <c r="I55" s="147" t="s">
        <v>454</v>
      </c>
      <c r="J55" s="167" t="s">
        <v>768</v>
      </c>
      <c r="K55" s="167"/>
      <c r="L55" s="167"/>
      <c r="M55" s="149" t="s">
        <v>59</v>
      </c>
      <c r="N55" s="242">
        <v>150</v>
      </c>
      <c r="O55" s="242">
        <v>214.95</v>
      </c>
      <c r="P55" s="188">
        <v>0.8</v>
      </c>
      <c r="Q55" s="293">
        <f t="shared" si="0"/>
        <v>125</v>
      </c>
      <c r="R55" s="197">
        <f t="shared" si="1"/>
        <v>314.95</v>
      </c>
    </row>
    <row r="56" spans="1:18" s="7" customFormat="1" ht="12.75">
      <c r="A56" s="170" t="s">
        <v>2218</v>
      </c>
      <c r="B56" s="165" t="s">
        <v>279</v>
      </c>
      <c r="C56" s="245" t="s">
        <v>1795</v>
      </c>
      <c r="D56" s="184" t="s">
        <v>2136</v>
      </c>
      <c r="E56" s="180" t="s">
        <v>454</v>
      </c>
      <c r="F56" s="180" t="s">
        <v>454</v>
      </c>
      <c r="G56" s="180" t="s">
        <v>454</v>
      </c>
      <c r="H56" s="180" t="s">
        <v>454</v>
      </c>
      <c r="I56" s="180" t="s">
        <v>454</v>
      </c>
      <c r="J56" s="181" t="s">
        <v>768</v>
      </c>
      <c r="K56" s="181" t="s">
        <v>1684</v>
      </c>
      <c r="L56" s="181"/>
      <c r="M56" s="182" t="s">
        <v>59</v>
      </c>
      <c r="N56" s="206">
        <v>315</v>
      </c>
      <c r="O56" s="206">
        <v>449.95</v>
      </c>
      <c r="P56" s="207">
        <v>0.8</v>
      </c>
      <c r="Q56" s="294">
        <f t="shared" si="0"/>
        <v>125</v>
      </c>
      <c r="R56" s="208">
        <f t="shared" si="1"/>
        <v>549.95000000000005</v>
      </c>
    </row>
    <row r="57" spans="1:18" s="7" customFormat="1" ht="12.75">
      <c r="A57" s="160" t="s">
        <v>286</v>
      </c>
      <c r="B57" s="144" t="s">
        <v>287</v>
      </c>
      <c r="C57" s="151" t="s">
        <v>292</v>
      </c>
      <c r="D57" s="145" t="s">
        <v>2137</v>
      </c>
      <c r="E57" s="147" t="s">
        <v>454</v>
      </c>
      <c r="F57" s="147" t="s">
        <v>454</v>
      </c>
      <c r="G57" s="147" t="s">
        <v>454</v>
      </c>
      <c r="H57" s="147" t="s">
        <v>454</v>
      </c>
      <c r="I57" s="147" t="s">
        <v>454</v>
      </c>
      <c r="J57" s="148" t="s">
        <v>768</v>
      </c>
      <c r="K57" s="148"/>
      <c r="L57" s="148"/>
      <c r="M57" s="149" t="s">
        <v>59</v>
      </c>
      <c r="N57" s="242">
        <v>230</v>
      </c>
      <c r="O57" s="242">
        <v>329.95</v>
      </c>
      <c r="P57" s="188">
        <v>0.8</v>
      </c>
      <c r="Q57" s="292">
        <f t="shared" si="0"/>
        <v>125</v>
      </c>
      <c r="R57" s="197">
        <f t="shared" si="1"/>
        <v>429.95</v>
      </c>
    </row>
    <row r="58" spans="1:18" s="7" customFormat="1" ht="25.5">
      <c r="A58" s="160" t="s">
        <v>1754</v>
      </c>
      <c r="B58" s="144" t="s">
        <v>2209</v>
      </c>
      <c r="C58" s="151" t="s">
        <v>1803</v>
      </c>
      <c r="D58" s="145"/>
      <c r="E58" s="147" t="s">
        <v>454</v>
      </c>
      <c r="F58" s="147" t="s">
        <v>454</v>
      </c>
      <c r="G58" s="147" t="s">
        <v>454</v>
      </c>
      <c r="H58" s="147" t="s">
        <v>454</v>
      </c>
      <c r="I58" s="147" t="s">
        <v>454</v>
      </c>
      <c r="J58" s="148"/>
      <c r="K58" s="148"/>
      <c r="L58" s="148"/>
      <c r="M58" s="149" t="s">
        <v>59</v>
      </c>
      <c r="N58" s="242">
        <v>230</v>
      </c>
      <c r="O58" s="242">
        <v>329.95</v>
      </c>
      <c r="P58" s="188">
        <v>0.8</v>
      </c>
      <c r="Q58" s="292">
        <f t="shared" si="0"/>
        <v>125</v>
      </c>
      <c r="R58" s="197">
        <f t="shared" si="1"/>
        <v>429.95</v>
      </c>
    </row>
    <row r="59" spans="1:18" s="7" customFormat="1" ht="12.75">
      <c r="A59" s="160" t="s">
        <v>558</v>
      </c>
      <c r="B59" s="144" t="s">
        <v>1801</v>
      </c>
      <c r="C59" s="151" t="s">
        <v>1798</v>
      </c>
      <c r="D59" s="145" t="s">
        <v>2135</v>
      </c>
      <c r="E59" s="147" t="s">
        <v>454</v>
      </c>
      <c r="F59" s="147" t="s">
        <v>454</v>
      </c>
      <c r="G59" s="147" t="s">
        <v>454</v>
      </c>
      <c r="H59" s="147" t="s">
        <v>454</v>
      </c>
      <c r="I59" s="147" t="s">
        <v>454</v>
      </c>
      <c r="J59" s="148" t="s">
        <v>768</v>
      </c>
      <c r="K59" s="148"/>
      <c r="L59" s="148"/>
      <c r="M59" s="149" t="s">
        <v>59</v>
      </c>
      <c r="N59" s="242">
        <v>150</v>
      </c>
      <c r="O59" s="242">
        <v>214.95</v>
      </c>
      <c r="P59" s="188">
        <v>0.8</v>
      </c>
      <c r="Q59" s="292">
        <f t="shared" si="0"/>
        <v>125</v>
      </c>
      <c r="R59" s="197">
        <f t="shared" si="1"/>
        <v>314.95</v>
      </c>
    </row>
    <row r="60" spans="1:18" s="7" customFormat="1" ht="12.75">
      <c r="A60" s="160" t="s">
        <v>299</v>
      </c>
      <c r="B60" s="144" t="s">
        <v>1982</v>
      </c>
      <c r="C60" s="151" t="s">
        <v>1983</v>
      </c>
      <c r="D60" s="145" t="s">
        <v>302</v>
      </c>
      <c r="E60" s="147" t="s">
        <v>454</v>
      </c>
      <c r="F60" s="147" t="s">
        <v>454</v>
      </c>
      <c r="G60" s="147" t="s">
        <v>454</v>
      </c>
      <c r="H60" s="147" t="s">
        <v>454</v>
      </c>
      <c r="I60" s="147" t="s">
        <v>454</v>
      </c>
      <c r="J60" s="148" t="s">
        <v>768</v>
      </c>
      <c r="K60" s="148"/>
      <c r="L60" s="148"/>
      <c r="M60" s="149" t="s">
        <v>59</v>
      </c>
      <c r="N60" s="242">
        <v>60</v>
      </c>
      <c r="O60" s="242">
        <v>79.95</v>
      </c>
      <c r="P60" s="188">
        <v>0.8</v>
      </c>
      <c r="Q60" s="292">
        <f t="shared" si="0"/>
        <v>125</v>
      </c>
      <c r="R60" s="197">
        <f t="shared" si="1"/>
        <v>179.95</v>
      </c>
    </row>
    <row r="61" spans="1:18" s="7" customFormat="1" ht="12.75">
      <c r="A61" s="160" t="s">
        <v>468</v>
      </c>
      <c r="B61" s="144" t="s">
        <v>1793</v>
      </c>
      <c r="C61" s="151" t="s">
        <v>1799</v>
      </c>
      <c r="D61" s="145" t="s">
        <v>2134</v>
      </c>
      <c r="E61" s="147" t="s">
        <v>454</v>
      </c>
      <c r="F61" s="147" t="s">
        <v>454</v>
      </c>
      <c r="G61" s="147" t="s">
        <v>454</v>
      </c>
      <c r="H61" s="147" t="s">
        <v>454</v>
      </c>
      <c r="I61" s="147" t="s">
        <v>454</v>
      </c>
      <c r="J61" s="148" t="s">
        <v>768</v>
      </c>
      <c r="K61" s="148"/>
      <c r="L61" s="148"/>
      <c r="M61" s="149" t="s">
        <v>59</v>
      </c>
      <c r="N61" s="242">
        <v>88.5</v>
      </c>
      <c r="O61" s="242">
        <v>124.95</v>
      </c>
      <c r="P61" s="188">
        <v>0.8</v>
      </c>
      <c r="Q61" s="292">
        <f t="shared" si="0"/>
        <v>125</v>
      </c>
      <c r="R61" s="197">
        <f t="shared" si="1"/>
        <v>224.95</v>
      </c>
    </row>
    <row r="62" spans="1:18" s="7" customFormat="1" ht="12.75">
      <c r="A62" s="160" t="s">
        <v>859</v>
      </c>
      <c r="B62" s="144" t="s">
        <v>860</v>
      </c>
      <c r="C62" s="151" t="s">
        <v>866</v>
      </c>
      <c r="D62" s="145" t="s">
        <v>1707</v>
      </c>
      <c r="E62" s="147" t="s">
        <v>454</v>
      </c>
      <c r="F62" s="147" t="s">
        <v>454</v>
      </c>
      <c r="G62" s="147" t="s">
        <v>454</v>
      </c>
      <c r="H62" s="147" t="s">
        <v>454</v>
      </c>
      <c r="I62" s="147" t="s">
        <v>454</v>
      </c>
      <c r="J62" s="148"/>
      <c r="K62" s="191" t="s">
        <v>1684</v>
      </c>
      <c r="L62" s="191"/>
      <c r="M62" s="149" t="s">
        <v>10</v>
      </c>
      <c r="N62" s="242">
        <v>392.67</v>
      </c>
      <c r="O62" s="242">
        <v>560.95000000000005</v>
      </c>
      <c r="P62" s="188">
        <v>1.5</v>
      </c>
      <c r="Q62" s="292">
        <f t="shared" si="0"/>
        <v>125</v>
      </c>
      <c r="R62" s="197">
        <f t="shared" si="1"/>
        <v>748.45</v>
      </c>
    </row>
    <row r="63" spans="1:18" s="7" customFormat="1" ht="12.75">
      <c r="A63" s="160" t="s">
        <v>861</v>
      </c>
      <c r="B63" s="144" t="s">
        <v>2186</v>
      </c>
      <c r="C63" s="151" t="s">
        <v>1853</v>
      </c>
      <c r="D63" s="145" t="s">
        <v>1707</v>
      </c>
      <c r="E63" s="147" t="s">
        <v>454</v>
      </c>
      <c r="F63" s="147" t="s">
        <v>454</v>
      </c>
      <c r="G63" s="147" t="s">
        <v>454</v>
      </c>
      <c r="H63" s="147" t="s">
        <v>454</v>
      </c>
      <c r="I63" s="147" t="s">
        <v>454</v>
      </c>
      <c r="J63" s="148" t="s">
        <v>768</v>
      </c>
      <c r="K63" s="148" t="s">
        <v>1684</v>
      </c>
      <c r="L63" s="148"/>
      <c r="M63" s="149" t="s">
        <v>10</v>
      </c>
      <c r="N63" s="242">
        <v>769.97</v>
      </c>
      <c r="O63" s="242">
        <v>1099.95</v>
      </c>
      <c r="P63" s="188">
        <v>0</v>
      </c>
      <c r="Q63" s="292">
        <f t="shared" si="0"/>
        <v>125</v>
      </c>
      <c r="R63" s="197">
        <f t="shared" si="1"/>
        <v>1099.95</v>
      </c>
    </row>
    <row r="64" spans="1:18" s="7" customFormat="1" ht="12.75">
      <c r="A64" s="160" t="s">
        <v>862</v>
      </c>
      <c r="B64" s="144" t="s">
        <v>2074</v>
      </c>
      <c r="C64" s="151" t="s">
        <v>2110</v>
      </c>
      <c r="D64" s="145" t="s">
        <v>1707</v>
      </c>
      <c r="E64" s="147" t="s">
        <v>454</v>
      </c>
      <c r="F64" s="147" t="s">
        <v>454</v>
      </c>
      <c r="G64" s="147" t="s">
        <v>454</v>
      </c>
      <c r="H64" s="147"/>
      <c r="I64" s="147" t="s">
        <v>454</v>
      </c>
      <c r="J64" s="148" t="s">
        <v>768</v>
      </c>
      <c r="K64" s="148" t="s">
        <v>1684</v>
      </c>
      <c r="L64" s="148"/>
      <c r="M64" s="149" t="s">
        <v>10</v>
      </c>
      <c r="N64" s="242">
        <v>476.43</v>
      </c>
      <c r="O64" s="242">
        <v>669.95</v>
      </c>
      <c r="P64" s="188">
        <v>0</v>
      </c>
      <c r="Q64" s="292">
        <f t="shared" si="0"/>
        <v>125</v>
      </c>
      <c r="R64" s="197">
        <f t="shared" si="1"/>
        <v>669.95</v>
      </c>
    </row>
    <row r="65" spans="1:18" s="7" customFormat="1" ht="12.75">
      <c r="A65" s="160" t="s">
        <v>174</v>
      </c>
      <c r="B65" s="144" t="s">
        <v>892</v>
      </c>
      <c r="C65" s="151" t="s">
        <v>909</v>
      </c>
      <c r="D65" s="145"/>
      <c r="E65" s="147" t="s">
        <v>454</v>
      </c>
      <c r="F65" s="147" t="s">
        <v>454</v>
      </c>
      <c r="G65" s="147" t="s">
        <v>454</v>
      </c>
      <c r="H65" s="147" t="s">
        <v>454</v>
      </c>
      <c r="I65" s="147" t="s">
        <v>454</v>
      </c>
      <c r="J65" s="148" t="s">
        <v>768</v>
      </c>
      <c r="K65" s="148" t="s">
        <v>1684</v>
      </c>
      <c r="L65" s="148"/>
      <c r="M65" s="149" t="s">
        <v>0</v>
      </c>
      <c r="N65" s="242">
        <v>307.77</v>
      </c>
      <c r="O65" s="242">
        <v>512.95000000000005</v>
      </c>
      <c r="P65" s="188">
        <v>1</v>
      </c>
      <c r="Q65" s="292">
        <f t="shared" si="0"/>
        <v>125</v>
      </c>
      <c r="R65" s="197">
        <f t="shared" si="1"/>
        <v>637.95000000000005</v>
      </c>
    </row>
    <row r="66" spans="1:18" s="7" customFormat="1" ht="12.75">
      <c r="A66" s="160" t="s">
        <v>165</v>
      </c>
      <c r="B66" s="144" t="s">
        <v>2138</v>
      </c>
      <c r="C66" s="151" t="s">
        <v>2139</v>
      </c>
      <c r="D66" s="145"/>
      <c r="E66" s="147" t="s">
        <v>454</v>
      </c>
      <c r="F66" s="147" t="s">
        <v>454</v>
      </c>
      <c r="G66" s="147" t="s">
        <v>454</v>
      </c>
      <c r="H66" s="147" t="s">
        <v>454</v>
      </c>
      <c r="I66" s="147" t="s">
        <v>454</v>
      </c>
      <c r="J66" s="148" t="s">
        <v>768</v>
      </c>
      <c r="K66" s="148" t="s">
        <v>1684</v>
      </c>
      <c r="L66" s="148"/>
      <c r="M66" s="149" t="s">
        <v>0</v>
      </c>
      <c r="N66" s="242">
        <v>296.37</v>
      </c>
      <c r="O66" s="242">
        <v>493.95</v>
      </c>
      <c r="P66" s="188">
        <v>1</v>
      </c>
      <c r="Q66" s="292">
        <f t="shared" si="0"/>
        <v>125</v>
      </c>
      <c r="R66" s="197">
        <f t="shared" si="1"/>
        <v>618.95000000000005</v>
      </c>
    </row>
    <row r="67" spans="1:18" s="7" customFormat="1" ht="12.75">
      <c r="A67" s="160" t="s">
        <v>720</v>
      </c>
      <c r="B67" s="144" t="s">
        <v>1701</v>
      </c>
      <c r="C67" s="151" t="s">
        <v>1670</v>
      </c>
      <c r="D67" s="145" t="s">
        <v>1609</v>
      </c>
      <c r="E67" s="147" t="s">
        <v>454</v>
      </c>
      <c r="F67" s="147" t="s">
        <v>454</v>
      </c>
      <c r="G67" s="147" t="s">
        <v>454</v>
      </c>
      <c r="H67" s="147" t="s">
        <v>454</v>
      </c>
      <c r="I67" s="147" t="s">
        <v>454</v>
      </c>
      <c r="J67" s="148" t="s">
        <v>768</v>
      </c>
      <c r="K67" s="148" t="s">
        <v>1684</v>
      </c>
      <c r="L67" s="148"/>
      <c r="M67" s="149" t="s">
        <v>0</v>
      </c>
      <c r="N67" s="242">
        <v>137.97</v>
      </c>
      <c r="O67" s="242">
        <v>229.95</v>
      </c>
      <c r="P67" s="188">
        <v>0.5</v>
      </c>
      <c r="Q67" s="292">
        <f t="shared" ref="Q67:Q123" si="2">$M$1</f>
        <v>125</v>
      </c>
      <c r="R67" s="197">
        <f t="shared" ref="R67:R125" si="3">P67*Q67+O67</f>
        <v>292.45</v>
      </c>
    </row>
    <row r="68" spans="1:18" s="7" customFormat="1" ht="12.75">
      <c r="A68" s="160" t="s">
        <v>163</v>
      </c>
      <c r="B68" s="144" t="s">
        <v>891</v>
      </c>
      <c r="C68" s="151" t="s">
        <v>908</v>
      </c>
      <c r="D68" s="145"/>
      <c r="E68" s="147" t="s">
        <v>454</v>
      </c>
      <c r="F68" s="147" t="s">
        <v>454</v>
      </c>
      <c r="G68" s="147" t="s">
        <v>454</v>
      </c>
      <c r="H68" s="147" t="s">
        <v>454</v>
      </c>
      <c r="I68" s="147" t="s">
        <v>454</v>
      </c>
      <c r="J68" s="148" t="s">
        <v>768</v>
      </c>
      <c r="K68" s="148" t="s">
        <v>1684</v>
      </c>
      <c r="L68" s="148"/>
      <c r="M68" s="149" t="s">
        <v>0</v>
      </c>
      <c r="N68" s="242">
        <v>239.97</v>
      </c>
      <c r="O68" s="242">
        <v>399.95</v>
      </c>
      <c r="P68" s="188">
        <v>1</v>
      </c>
      <c r="Q68" s="292">
        <f t="shared" si="2"/>
        <v>125</v>
      </c>
      <c r="R68" s="197">
        <f t="shared" si="3"/>
        <v>524.95000000000005</v>
      </c>
    </row>
    <row r="69" spans="1:18" s="7" customFormat="1" ht="12.75">
      <c r="A69" s="160" t="s">
        <v>1045</v>
      </c>
      <c r="B69" s="144" t="s">
        <v>2140</v>
      </c>
      <c r="C69" s="151" t="s">
        <v>2141</v>
      </c>
      <c r="D69" s="145"/>
      <c r="E69" s="147" t="s">
        <v>454</v>
      </c>
      <c r="F69" s="147" t="s">
        <v>454</v>
      </c>
      <c r="G69" s="147" t="s">
        <v>454</v>
      </c>
      <c r="H69" s="147" t="s">
        <v>454</v>
      </c>
      <c r="I69" s="147" t="s">
        <v>454</v>
      </c>
      <c r="J69" s="148"/>
      <c r="K69" s="148" t="s">
        <v>1684</v>
      </c>
      <c r="L69" s="148"/>
      <c r="M69" s="149" t="s">
        <v>0</v>
      </c>
      <c r="N69" s="242">
        <v>25.17</v>
      </c>
      <c r="O69" s="242">
        <v>41.95</v>
      </c>
      <c r="P69" s="188">
        <v>0</v>
      </c>
      <c r="Q69" s="292">
        <f t="shared" si="2"/>
        <v>125</v>
      </c>
      <c r="R69" s="197">
        <f t="shared" si="3"/>
        <v>41.95</v>
      </c>
    </row>
    <row r="70" spans="1:18" s="7" customFormat="1" ht="12.75">
      <c r="A70" s="160" t="s">
        <v>155</v>
      </c>
      <c r="B70" s="144" t="s">
        <v>194</v>
      </c>
      <c r="C70" s="151" t="s">
        <v>759</v>
      </c>
      <c r="D70" s="145" t="s">
        <v>56</v>
      </c>
      <c r="E70" s="147" t="s">
        <v>454</v>
      </c>
      <c r="F70" s="147" t="s">
        <v>454</v>
      </c>
      <c r="G70" s="147" t="s">
        <v>454</v>
      </c>
      <c r="H70" s="147" t="s">
        <v>454</v>
      </c>
      <c r="I70" s="147" t="s">
        <v>454</v>
      </c>
      <c r="J70" s="148" t="s">
        <v>768</v>
      </c>
      <c r="K70" s="148" t="s">
        <v>1684</v>
      </c>
      <c r="L70" s="148"/>
      <c r="M70" s="149" t="s">
        <v>10</v>
      </c>
      <c r="N70" s="242">
        <v>183.57</v>
      </c>
      <c r="O70" s="242">
        <v>305.95</v>
      </c>
      <c r="P70" s="188">
        <v>0.6</v>
      </c>
      <c r="Q70" s="292">
        <f t="shared" si="2"/>
        <v>125</v>
      </c>
      <c r="R70" s="197">
        <f t="shared" si="3"/>
        <v>380.95</v>
      </c>
    </row>
    <row r="71" spans="1:18" s="7" customFormat="1" ht="12.75">
      <c r="A71" s="160" t="s">
        <v>695</v>
      </c>
      <c r="B71" s="144" t="s">
        <v>804</v>
      </c>
      <c r="C71" s="151" t="s">
        <v>786</v>
      </c>
      <c r="D71" s="145" t="s">
        <v>784</v>
      </c>
      <c r="E71" s="147" t="s">
        <v>454</v>
      </c>
      <c r="F71" s="147" t="s">
        <v>454</v>
      </c>
      <c r="G71" s="147" t="s">
        <v>454</v>
      </c>
      <c r="H71" s="147" t="s">
        <v>454</v>
      </c>
      <c r="I71" s="147" t="s">
        <v>454</v>
      </c>
      <c r="J71" s="148" t="s">
        <v>768</v>
      </c>
      <c r="K71" s="148" t="s">
        <v>1684</v>
      </c>
      <c r="L71" s="148"/>
      <c r="M71" s="149" t="s">
        <v>10</v>
      </c>
      <c r="N71" s="242">
        <v>457.17</v>
      </c>
      <c r="O71" s="242">
        <v>761.95</v>
      </c>
      <c r="P71" s="188">
        <v>0.6</v>
      </c>
      <c r="Q71" s="292">
        <f t="shared" si="2"/>
        <v>125</v>
      </c>
      <c r="R71" s="197">
        <f t="shared" si="3"/>
        <v>836.95</v>
      </c>
    </row>
    <row r="72" spans="1:18" s="7" customFormat="1" ht="12.75">
      <c r="A72" s="160" t="s">
        <v>694</v>
      </c>
      <c r="B72" s="144" t="s">
        <v>805</v>
      </c>
      <c r="C72" s="151" t="s">
        <v>735</v>
      </c>
      <c r="D72" s="145" t="s">
        <v>219</v>
      </c>
      <c r="E72" s="147" t="s">
        <v>454</v>
      </c>
      <c r="F72" s="147" t="s">
        <v>454</v>
      </c>
      <c r="G72" s="147" t="s">
        <v>454</v>
      </c>
      <c r="H72" s="147"/>
      <c r="I72" s="147" t="s">
        <v>454</v>
      </c>
      <c r="J72" s="148" t="s">
        <v>768</v>
      </c>
      <c r="K72" s="148" t="s">
        <v>1684</v>
      </c>
      <c r="L72" s="148"/>
      <c r="M72" s="149" t="s">
        <v>10</v>
      </c>
      <c r="N72" s="242">
        <v>481.77</v>
      </c>
      <c r="O72" s="242">
        <v>802.95</v>
      </c>
      <c r="P72" s="188">
        <v>0.6</v>
      </c>
      <c r="Q72" s="292">
        <f t="shared" si="2"/>
        <v>125</v>
      </c>
      <c r="R72" s="197">
        <f t="shared" si="3"/>
        <v>877.95</v>
      </c>
    </row>
    <row r="73" spans="1:18" s="7" customFormat="1" ht="12.75">
      <c r="A73" s="160" t="s">
        <v>698</v>
      </c>
      <c r="B73" s="144" t="s">
        <v>2142</v>
      </c>
      <c r="C73" s="151" t="s">
        <v>2143</v>
      </c>
      <c r="D73" s="145" t="s">
        <v>745</v>
      </c>
      <c r="E73" s="147" t="s">
        <v>454</v>
      </c>
      <c r="F73" s="147" t="s">
        <v>454</v>
      </c>
      <c r="G73" s="147" t="s">
        <v>454</v>
      </c>
      <c r="H73" s="147" t="s">
        <v>454</v>
      </c>
      <c r="I73" s="147" t="s">
        <v>454</v>
      </c>
      <c r="J73" s="148" t="s">
        <v>768</v>
      </c>
      <c r="K73" s="148" t="s">
        <v>1684</v>
      </c>
      <c r="L73" s="148"/>
      <c r="M73" s="149" t="s">
        <v>10</v>
      </c>
      <c r="N73" s="242">
        <v>185.97</v>
      </c>
      <c r="O73" s="242">
        <v>309.95</v>
      </c>
      <c r="P73" s="188">
        <v>0.5</v>
      </c>
      <c r="Q73" s="292">
        <f t="shared" si="2"/>
        <v>125</v>
      </c>
      <c r="R73" s="197">
        <f t="shared" si="3"/>
        <v>372.45</v>
      </c>
    </row>
    <row r="74" spans="1:18" s="7" customFormat="1" ht="12.75">
      <c r="A74" s="160" t="s">
        <v>719</v>
      </c>
      <c r="B74" s="144" t="s">
        <v>1702</v>
      </c>
      <c r="C74" s="151" t="s">
        <v>770</v>
      </c>
      <c r="D74" s="145"/>
      <c r="E74" s="147" t="s">
        <v>454</v>
      </c>
      <c r="F74" s="147" t="s">
        <v>454</v>
      </c>
      <c r="G74" s="147" t="s">
        <v>454</v>
      </c>
      <c r="H74" s="147" t="s">
        <v>454</v>
      </c>
      <c r="I74" s="147" t="s">
        <v>454</v>
      </c>
      <c r="J74" s="148" t="s">
        <v>768</v>
      </c>
      <c r="K74" s="148" t="s">
        <v>1684</v>
      </c>
      <c r="L74" s="148"/>
      <c r="M74" s="149" t="s">
        <v>0</v>
      </c>
      <c r="N74" s="242">
        <v>200.37</v>
      </c>
      <c r="O74" s="242">
        <v>333.95</v>
      </c>
      <c r="P74" s="188">
        <v>0.5</v>
      </c>
      <c r="Q74" s="292">
        <f t="shared" si="2"/>
        <v>125</v>
      </c>
      <c r="R74" s="197">
        <f t="shared" si="3"/>
        <v>396.45</v>
      </c>
    </row>
    <row r="75" spans="1:18" s="7" customFormat="1" ht="12.75">
      <c r="A75" s="221" t="s">
        <v>1900</v>
      </c>
      <c r="B75" s="144" t="s">
        <v>748</v>
      </c>
      <c r="C75" s="151" t="s">
        <v>910</v>
      </c>
      <c r="D75" s="145" t="s">
        <v>737</v>
      </c>
      <c r="E75" s="147" t="s">
        <v>454</v>
      </c>
      <c r="F75" s="147" t="s">
        <v>454</v>
      </c>
      <c r="G75" s="147" t="s">
        <v>454</v>
      </c>
      <c r="H75" s="147" t="s">
        <v>454</v>
      </c>
      <c r="I75" s="147" t="s">
        <v>454</v>
      </c>
      <c r="J75" s="167" t="s">
        <v>768</v>
      </c>
      <c r="K75" s="167" t="s">
        <v>1684</v>
      </c>
      <c r="L75" s="167"/>
      <c r="M75" s="149" t="s">
        <v>10</v>
      </c>
      <c r="N75" s="242">
        <v>103.77</v>
      </c>
      <c r="O75" s="242">
        <v>172.95</v>
      </c>
      <c r="P75" s="188">
        <v>0.3</v>
      </c>
      <c r="Q75" s="293">
        <f t="shared" si="2"/>
        <v>125</v>
      </c>
      <c r="R75" s="197">
        <f t="shared" si="3"/>
        <v>210.45</v>
      </c>
    </row>
    <row r="76" spans="1:18" s="7" customFormat="1" ht="12.75">
      <c r="A76" s="160" t="s">
        <v>710</v>
      </c>
      <c r="B76" s="144" t="s">
        <v>806</v>
      </c>
      <c r="C76" s="151" t="s">
        <v>830</v>
      </c>
      <c r="D76" s="145" t="s">
        <v>409</v>
      </c>
      <c r="E76" s="147" t="s">
        <v>454</v>
      </c>
      <c r="F76" s="147" t="s">
        <v>454</v>
      </c>
      <c r="G76" s="147" t="s">
        <v>454</v>
      </c>
      <c r="H76" s="147"/>
      <c r="I76" s="147" t="s">
        <v>454</v>
      </c>
      <c r="J76" s="148" t="s">
        <v>768</v>
      </c>
      <c r="K76" s="148" t="s">
        <v>1684</v>
      </c>
      <c r="L76" s="148"/>
      <c r="M76" s="149" t="s">
        <v>10</v>
      </c>
      <c r="N76" s="242">
        <v>149.37</v>
      </c>
      <c r="O76" s="242">
        <v>248.95</v>
      </c>
      <c r="P76" s="188">
        <v>0.6</v>
      </c>
      <c r="Q76" s="292">
        <f t="shared" si="2"/>
        <v>125</v>
      </c>
      <c r="R76" s="197">
        <f t="shared" si="3"/>
        <v>323.95</v>
      </c>
    </row>
    <row r="77" spans="1:18" s="7" customFormat="1" ht="12.75">
      <c r="A77" s="160" t="s">
        <v>709</v>
      </c>
      <c r="B77" s="144" t="s">
        <v>807</v>
      </c>
      <c r="C77" s="151" t="s">
        <v>741</v>
      </c>
      <c r="D77" s="145" t="s">
        <v>727</v>
      </c>
      <c r="E77" s="147" t="s">
        <v>454</v>
      </c>
      <c r="F77" s="147" t="s">
        <v>454</v>
      </c>
      <c r="G77" s="147" t="s">
        <v>454</v>
      </c>
      <c r="H77" s="147"/>
      <c r="I77" s="147" t="s">
        <v>454</v>
      </c>
      <c r="J77" s="148" t="s">
        <v>768</v>
      </c>
      <c r="K77" s="148" t="s">
        <v>1684</v>
      </c>
      <c r="L77" s="148"/>
      <c r="M77" s="149" t="s">
        <v>10</v>
      </c>
      <c r="N77" s="242">
        <v>149.37</v>
      </c>
      <c r="O77" s="242">
        <v>248.95</v>
      </c>
      <c r="P77" s="188">
        <v>0.6</v>
      </c>
      <c r="Q77" s="292">
        <f t="shared" si="2"/>
        <v>125</v>
      </c>
      <c r="R77" s="197">
        <f t="shared" si="3"/>
        <v>323.95</v>
      </c>
    </row>
    <row r="78" spans="1:18" s="7" customFormat="1" ht="12.75">
      <c r="A78" s="160" t="s">
        <v>705</v>
      </c>
      <c r="B78" s="144" t="s">
        <v>1035</v>
      </c>
      <c r="C78" s="151" t="s">
        <v>834</v>
      </c>
      <c r="D78" s="145" t="s">
        <v>393</v>
      </c>
      <c r="E78" s="147" t="s">
        <v>454</v>
      </c>
      <c r="F78" s="147" t="s">
        <v>454</v>
      </c>
      <c r="G78" s="147" t="s">
        <v>454</v>
      </c>
      <c r="H78" s="147"/>
      <c r="I78" s="147" t="s">
        <v>454</v>
      </c>
      <c r="J78" s="148" t="s">
        <v>768</v>
      </c>
      <c r="K78" s="148" t="s">
        <v>1684</v>
      </c>
      <c r="L78" s="148"/>
      <c r="M78" s="149" t="s">
        <v>10</v>
      </c>
      <c r="N78" s="242">
        <v>149.37</v>
      </c>
      <c r="O78" s="242">
        <v>248.95</v>
      </c>
      <c r="P78" s="188">
        <v>0.6</v>
      </c>
      <c r="Q78" s="292">
        <f t="shared" si="2"/>
        <v>125</v>
      </c>
      <c r="R78" s="197">
        <f t="shared" si="3"/>
        <v>323.95</v>
      </c>
    </row>
    <row r="79" spans="1:18" s="7" customFormat="1" ht="12.75">
      <c r="A79" s="160" t="s">
        <v>707</v>
      </c>
      <c r="B79" s="144" t="s">
        <v>808</v>
      </c>
      <c r="C79" s="151" t="s">
        <v>739</v>
      </c>
      <c r="D79" s="145" t="s">
        <v>323</v>
      </c>
      <c r="E79" s="147" t="s">
        <v>454</v>
      </c>
      <c r="F79" s="147" t="s">
        <v>454</v>
      </c>
      <c r="G79" s="147" t="s">
        <v>454</v>
      </c>
      <c r="H79" s="147"/>
      <c r="I79" s="147" t="s">
        <v>454</v>
      </c>
      <c r="J79" s="148" t="s">
        <v>768</v>
      </c>
      <c r="K79" s="148" t="s">
        <v>1684</v>
      </c>
      <c r="L79" s="148"/>
      <c r="M79" s="149" t="s">
        <v>10</v>
      </c>
      <c r="N79" s="242">
        <v>149.37</v>
      </c>
      <c r="O79" s="242">
        <v>248.95</v>
      </c>
      <c r="P79" s="188">
        <v>0.6</v>
      </c>
      <c r="Q79" s="292">
        <f t="shared" si="2"/>
        <v>125</v>
      </c>
      <c r="R79" s="197">
        <f t="shared" si="3"/>
        <v>323.95</v>
      </c>
    </row>
    <row r="80" spans="1:18" s="7" customFormat="1" ht="12.75">
      <c r="A80" s="160" t="s">
        <v>706</v>
      </c>
      <c r="B80" s="144" t="s">
        <v>809</v>
      </c>
      <c r="C80" s="151" t="s">
        <v>738</v>
      </c>
      <c r="D80" s="145" t="s">
        <v>321</v>
      </c>
      <c r="E80" s="147" t="s">
        <v>454</v>
      </c>
      <c r="F80" s="147" t="s">
        <v>454</v>
      </c>
      <c r="G80" s="147" t="s">
        <v>454</v>
      </c>
      <c r="H80" s="147" t="s">
        <v>454</v>
      </c>
      <c r="I80" s="147" t="s">
        <v>454</v>
      </c>
      <c r="J80" s="148" t="s">
        <v>768</v>
      </c>
      <c r="K80" s="148" t="s">
        <v>1684</v>
      </c>
      <c r="L80" s="148"/>
      <c r="M80" s="149" t="s">
        <v>10</v>
      </c>
      <c r="N80" s="242">
        <v>149.37</v>
      </c>
      <c r="O80" s="242">
        <v>248.95</v>
      </c>
      <c r="P80" s="188">
        <v>0.6</v>
      </c>
      <c r="Q80" s="292">
        <f t="shared" si="2"/>
        <v>125</v>
      </c>
      <c r="R80" s="197">
        <f t="shared" si="3"/>
        <v>323.95</v>
      </c>
    </row>
    <row r="81" spans="1:19" s="7" customFormat="1" ht="12.75">
      <c r="A81" s="160" t="s">
        <v>708</v>
      </c>
      <c r="B81" s="144" t="s">
        <v>810</v>
      </c>
      <c r="C81" s="151" t="s">
        <v>740</v>
      </c>
      <c r="D81" s="145" t="s">
        <v>392</v>
      </c>
      <c r="E81" s="147" t="s">
        <v>454</v>
      </c>
      <c r="F81" s="147" t="s">
        <v>454</v>
      </c>
      <c r="G81" s="147" t="s">
        <v>454</v>
      </c>
      <c r="H81" s="147" t="s">
        <v>454</v>
      </c>
      <c r="I81" s="147" t="s">
        <v>454</v>
      </c>
      <c r="J81" s="148" t="s">
        <v>768</v>
      </c>
      <c r="K81" s="148" t="s">
        <v>1684</v>
      </c>
      <c r="L81" s="148"/>
      <c r="M81" s="149" t="s">
        <v>10</v>
      </c>
      <c r="N81" s="242">
        <v>149.37</v>
      </c>
      <c r="O81" s="242">
        <v>248.95</v>
      </c>
      <c r="P81" s="188">
        <v>0.6</v>
      </c>
      <c r="Q81" s="292">
        <f t="shared" si="2"/>
        <v>125</v>
      </c>
      <c r="R81" s="197">
        <f t="shared" si="3"/>
        <v>323.95</v>
      </c>
    </row>
    <row r="82" spans="1:19" s="7" customFormat="1" ht="12.75">
      <c r="A82" s="160" t="s">
        <v>711</v>
      </c>
      <c r="B82" s="144" t="s">
        <v>811</v>
      </c>
      <c r="C82" s="151" t="s">
        <v>843</v>
      </c>
      <c r="D82" s="145" t="s">
        <v>632</v>
      </c>
      <c r="E82" s="147" t="s">
        <v>454</v>
      </c>
      <c r="F82" s="147" t="s">
        <v>454</v>
      </c>
      <c r="G82" s="147" t="s">
        <v>454</v>
      </c>
      <c r="H82" s="147"/>
      <c r="I82" s="147" t="s">
        <v>454</v>
      </c>
      <c r="J82" s="148" t="s">
        <v>768</v>
      </c>
      <c r="K82" s="148" t="s">
        <v>1684</v>
      </c>
      <c r="L82" s="148"/>
      <c r="M82" s="149" t="s">
        <v>10</v>
      </c>
      <c r="N82" s="242">
        <v>149.37</v>
      </c>
      <c r="O82" s="242">
        <v>248.95</v>
      </c>
      <c r="P82" s="188">
        <v>0.6</v>
      </c>
      <c r="Q82" s="292">
        <f t="shared" si="2"/>
        <v>125</v>
      </c>
      <c r="R82" s="197">
        <f t="shared" si="3"/>
        <v>323.95</v>
      </c>
    </row>
    <row r="83" spans="1:19" s="7" customFormat="1" ht="12.75">
      <c r="A83" s="160" t="s">
        <v>703</v>
      </c>
      <c r="B83" s="144" t="s">
        <v>812</v>
      </c>
      <c r="C83" s="151" t="s">
        <v>831</v>
      </c>
      <c r="D83" s="145" t="s">
        <v>409</v>
      </c>
      <c r="E83" s="147" t="s">
        <v>454</v>
      </c>
      <c r="F83" s="147" t="s">
        <v>454</v>
      </c>
      <c r="G83" s="147" t="s">
        <v>454</v>
      </c>
      <c r="H83" s="147"/>
      <c r="I83" s="147" t="s">
        <v>454</v>
      </c>
      <c r="J83" s="148" t="s">
        <v>768</v>
      </c>
      <c r="K83" s="148" t="s">
        <v>1684</v>
      </c>
      <c r="L83" s="148"/>
      <c r="M83" s="149" t="s">
        <v>10</v>
      </c>
      <c r="N83" s="242">
        <v>642.57000000000005</v>
      </c>
      <c r="O83" s="242">
        <v>1070.95</v>
      </c>
      <c r="P83" s="188">
        <v>0.8</v>
      </c>
      <c r="Q83" s="292">
        <f t="shared" si="2"/>
        <v>125</v>
      </c>
      <c r="R83" s="197">
        <f t="shared" si="3"/>
        <v>1170.95</v>
      </c>
    </row>
    <row r="84" spans="1:19" s="7" customFormat="1" ht="12.75">
      <c r="A84" s="160" t="s">
        <v>702</v>
      </c>
      <c r="B84" s="144" t="s">
        <v>813</v>
      </c>
      <c r="C84" s="151" t="s">
        <v>316</v>
      </c>
      <c r="D84" s="145" t="s">
        <v>727</v>
      </c>
      <c r="E84" s="147" t="s">
        <v>454</v>
      </c>
      <c r="F84" s="147" t="s">
        <v>454</v>
      </c>
      <c r="G84" s="147" t="s">
        <v>454</v>
      </c>
      <c r="H84" s="147"/>
      <c r="I84" s="147" t="s">
        <v>454</v>
      </c>
      <c r="J84" s="148" t="s">
        <v>768</v>
      </c>
      <c r="K84" s="148" t="s">
        <v>1684</v>
      </c>
      <c r="L84" s="148"/>
      <c r="M84" s="149" t="s">
        <v>10</v>
      </c>
      <c r="N84" s="242">
        <v>642.57000000000005</v>
      </c>
      <c r="O84" s="242">
        <v>1070.95</v>
      </c>
      <c r="P84" s="188">
        <v>0.8</v>
      </c>
      <c r="Q84" s="292">
        <f t="shared" si="2"/>
        <v>125</v>
      </c>
      <c r="R84" s="197">
        <f t="shared" si="3"/>
        <v>1170.95</v>
      </c>
    </row>
    <row r="85" spans="1:19" s="7" customFormat="1" ht="12.75">
      <c r="A85" s="160" t="s">
        <v>699</v>
      </c>
      <c r="B85" s="144" t="s">
        <v>814</v>
      </c>
      <c r="C85" s="151" t="s">
        <v>835</v>
      </c>
      <c r="D85" s="145" t="s">
        <v>393</v>
      </c>
      <c r="E85" s="147" t="s">
        <v>454</v>
      </c>
      <c r="F85" s="147" t="s">
        <v>454</v>
      </c>
      <c r="G85" s="147" t="s">
        <v>454</v>
      </c>
      <c r="H85" s="147"/>
      <c r="I85" s="147" t="s">
        <v>454</v>
      </c>
      <c r="J85" s="148" t="s">
        <v>768</v>
      </c>
      <c r="K85" s="148" t="s">
        <v>1684</v>
      </c>
      <c r="L85" s="148"/>
      <c r="M85" s="149" t="s">
        <v>10</v>
      </c>
      <c r="N85" s="242">
        <v>642.57000000000005</v>
      </c>
      <c r="O85" s="242">
        <v>1070.95</v>
      </c>
      <c r="P85" s="188">
        <v>0.8</v>
      </c>
      <c r="Q85" s="292">
        <f t="shared" si="2"/>
        <v>125</v>
      </c>
      <c r="R85" s="197">
        <f t="shared" si="3"/>
        <v>1170.95</v>
      </c>
    </row>
    <row r="86" spans="1:19" s="7" customFormat="1" ht="12.75">
      <c r="A86" s="160" t="s">
        <v>701</v>
      </c>
      <c r="B86" s="144" t="s">
        <v>1690</v>
      </c>
      <c r="C86" s="151" t="s">
        <v>317</v>
      </c>
      <c r="D86" s="145" t="s">
        <v>323</v>
      </c>
      <c r="E86" s="147" t="s">
        <v>454</v>
      </c>
      <c r="F86" s="147" t="s">
        <v>454</v>
      </c>
      <c r="G86" s="147" t="s">
        <v>454</v>
      </c>
      <c r="H86" s="147"/>
      <c r="I86" s="147" t="s">
        <v>454</v>
      </c>
      <c r="J86" s="148" t="s">
        <v>768</v>
      </c>
      <c r="K86" s="148" t="s">
        <v>1684</v>
      </c>
      <c r="L86" s="148"/>
      <c r="M86" s="149" t="s">
        <v>10</v>
      </c>
      <c r="N86" s="242">
        <v>642.57000000000005</v>
      </c>
      <c r="O86" s="242">
        <v>1070.95</v>
      </c>
      <c r="P86" s="188">
        <v>0.8</v>
      </c>
      <c r="Q86" s="292">
        <f t="shared" si="2"/>
        <v>125</v>
      </c>
      <c r="R86" s="197">
        <f t="shared" si="3"/>
        <v>1170.95</v>
      </c>
    </row>
    <row r="87" spans="1:19" s="7" customFormat="1" ht="15" customHeight="1">
      <c r="A87" s="160" t="s">
        <v>700</v>
      </c>
      <c r="B87" s="144" t="s">
        <v>815</v>
      </c>
      <c r="C87" s="151" t="s">
        <v>318</v>
      </c>
      <c r="D87" s="145" t="s">
        <v>321</v>
      </c>
      <c r="E87" s="147" t="s">
        <v>454</v>
      </c>
      <c r="F87" s="147" t="s">
        <v>454</v>
      </c>
      <c r="G87" s="147" t="s">
        <v>454</v>
      </c>
      <c r="H87" s="147" t="s">
        <v>454</v>
      </c>
      <c r="I87" s="147" t="s">
        <v>454</v>
      </c>
      <c r="J87" s="148" t="s">
        <v>768</v>
      </c>
      <c r="K87" s="148" t="s">
        <v>1684</v>
      </c>
      <c r="L87" s="148"/>
      <c r="M87" s="149" t="s">
        <v>10</v>
      </c>
      <c r="N87" s="242">
        <v>642.57000000000005</v>
      </c>
      <c r="O87" s="242">
        <v>1070.95</v>
      </c>
      <c r="P87" s="188">
        <v>0.8</v>
      </c>
      <c r="Q87" s="292">
        <f t="shared" si="2"/>
        <v>125</v>
      </c>
      <c r="R87" s="197">
        <f t="shared" si="3"/>
        <v>1170.95</v>
      </c>
    </row>
    <row r="88" spans="1:19" s="7" customFormat="1" ht="12.75">
      <c r="A88" s="170" t="s">
        <v>2100</v>
      </c>
      <c r="B88" s="165" t="s">
        <v>2191</v>
      </c>
      <c r="C88" s="176" t="s">
        <v>319</v>
      </c>
      <c r="D88" s="216" t="s">
        <v>392</v>
      </c>
      <c r="E88" s="180" t="s">
        <v>454</v>
      </c>
      <c r="F88" s="180" t="s">
        <v>454</v>
      </c>
      <c r="G88" s="180" t="s">
        <v>454</v>
      </c>
      <c r="H88" s="180" t="s">
        <v>454</v>
      </c>
      <c r="I88" s="180" t="s">
        <v>454</v>
      </c>
      <c r="J88" s="181" t="s">
        <v>768</v>
      </c>
      <c r="K88" s="181" t="s">
        <v>1684</v>
      </c>
      <c r="L88" s="181"/>
      <c r="M88" s="182" t="s">
        <v>10</v>
      </c>
      <c r="N88" s="206">
        <v>642.57000000000005</v>
      </c>
      <c r="O88" s="206">
        <v>1070.95</v>
      </c>
      <c r="P88" s="207">
        <v>0.8</v>
      </c>
      <c r="Q88" s="183">
        <f t="shared" si="2"/>
        <v>125</v>
      </c>
      <c r="R88" s="208">
        <f t="shared" si="3"/>
        <v>1170.95</v>
      </c>
    </row>
    <row r="89" spans="1:19" s="7" customFormat="1" ht="12.75">
      <c r="A89" s="160" t="s">
        <v>704</v>
      </c>
      <c r="B89" s="144" t="s">
        <v>816</v>
      </c>
      <c r="C89" s="151" t="s">
        <v>844</v>
      </c>
      <c r="D89" s="145" t="s">
        <v>632</v>
      </c>
      <c r="E89" s="147" t="s">
        <v>454</v>
      </c>
      <c r="F89" s="147" t="s">
        <v>454</v>
      </c>
      <c r="G89" s="147" t="s">
        <v>454</v>
      </c>
      <c r="H89" s="147"/>
      <c r="I89" s="147" t="s">
        <v>454</v>
      </c>
      <c r="J89" s="148" t="s">
        <v>768</v>
      </c>
      <c r="K89" s="148" t="s">
        <v>1684</v>
      </c>
      <c r="L89" s="148"/>
      <c r="M89" s="149" t="s">
        <v>10</v>
      </c>
      <c r="N89" s="242">
        <v>642.57000000000005</v>
      </c>
      <c r="O89" s="242">
        <v>1070.95</v>
      </c>
      <c r="P89" s="188">
        <v>0.8</v>
      </c>
      <c r="Q89" s="292">
        <f t="shared" si="2"/>
        <v>125</v>
      </c>
      <c r="R89" s="197">
        <f t="shared" si="3"/>
        <v>1170.95</v>
      </c>
    </row>
    <row r="90" spans="1:19" s="7" customFormat="1" ht="12.75">
      <c r="A90" s="164" t="s">
        <v>2103</v>
      </c>
      <c r="B90" s="165" t="s">
        <v>2104</v>
      </c>
      <c r="C90" s="165" t="s">
        <v>2112</v>
      </c>
      <c r="D90" s="184" t="s">
        <v>2204</v>
      </c>
      <c r="E90" s="204" t="s">
        <v>454</v>
      </c>
      <c r="F90" s="205" t="s">
        <v>454</v>
      </c>
      <c r="G90" s="205" t="s">
        <v>454</v>
      </c>
      <c r="H90" s="205" t="s">
        <v>454</v>
      </c>
      <c r="I90" s="205" t="s">
        <v>454</v>
      </c>
      <c r="J90" s="181" t="s">
        <v>768</v>
      </c>
      <c r="K90" s="181"/>
      <c r="L90" s="181"/>
      <c r="M90" s="182" t="s">
        <v>16</v>
      </c>
      <c r="N90" s="206">
        <v>498.7</v>
      </c>
      <c r="O90" s="206">
        <v>599.95000000000005</v>
      </c>
      <c r="P90" s="207">
        <v>0</v>
      </c>
      <c r="Q90" s="183">
        <f t="shared" si="2"/>
        <v>125</v>
      </c>
      <c r="R90" s="208">
        <f t="shared" si="3"/>
        <v>599.95000000000005</v>
      </c>
      <c r="S90" s="14"/>
    </row>
    <row r="91" spans="1:19" s="7" customFormat="1" ht="12.75">
      <c r="A91" s="160" t="s">
        <v>121</v>
      </c>
      <c r="B91" s="144" t="s">
        <v>640</v>
      </c>
      <c r="C91" s="151" t="s">
        <v>1704</v>
      </c>
      <c r="D91" s="145" t="s">
        <v>439</v>
      </c>
      <c r="E91" s="147" t="s">
        <v>454</v>
      </c>
      <c r="F91" s="147" t="s">
        <v>454</v>
      </c>
      <c r="G91" s="147" t="s">
        <v>454</v>
      </c>
      <c r="H91" s="147" t="s">
        <v>454</v>
      </c>
      <c r="I91" s="147" t="s">
        <v>454</v>
      </c>
      <c r="J91" s="148" t="s">
        <v>768</v>
      </c>
      <c r="K91" s="148"/>
      <c r="L91" s="148"/>
      <c r="M91" s="149" t="s">
        <v>16</v>
      </c>
      <c r="N91" s="242">
        <v>62.25</v>
      </c>
      <c r="O91" s="242">
        <v>69.95</v>
      </c>
      <c r="P91" s="188">
        <v>0</v>
      </c>
      <c r="Q91" s="292">
        <f t="shared" si="2"/>
        <v>125</v>
      </c>
      <c r="R91" s="197">
        <f t="shared" si="3"/>
        <v>69.95</v>
      </c>
    </row>
    <row r="92" spans="1:19" s="190" customFormat="1" ht="12.75">
      <c r="A92" s="160" t="s">
        <v>427</v>
      </c>
      <c r="B92" s="144" t="s">
        <v>895</v>
      </c>
      <c r="C92" s="151" t="s">
        <v>428</v>
      </c>
      <c r="D92" s="145" t="s">
        <v>429</v>
      </c>
      <c r="E92" s="147" t="s">
        <v>454</v>
      </c>
      <c r="F92" s="147" t="s">
        <v>454</v>
      </c>
      <c r="G92" s="147" t="s">
        <v>454</v>
      </c>
      <c r="H92" s="147" t="s">
        <v>454</v>
      </c>
      <c r="I92" s="147" t="s">
        <v>454</v>
      </c>
      <c r="J92" s="148" t="s">
        <v>768</v>
      </c>
      <c r="K92" s="148"/>
      <c r="L92" s="148"/>
      <c r="M92" s="149" t="s">
        <v>16</v>
      </c>
      <c r="N92" s="242">
        <v>45.12</v>
      </c>
      <c r="O92" s="242">
        <v>59.95</v>
      </c>
      <c r="P92" s="188">
        <v>0</v>
      </c>
      <c r="Q92" s="292">
        <f t="shared" si="2"/>
        <v>125</v>
      </c>
      <c r="R92" s="197">
        <f t="shared" si="3"/>
        <v>59.95</v>
      </c>
      <c r="S92" s="7"/>
    </row>
    <row r="93" spans="1:19" s="190" customFormat="1" ht="12.75">
      <c r="A93" s="295" t="s">
        <v>424</v>
      </c>
      <c r="B93" s="296" t="s">
        <v>772</v>
      </c>
      <c r="C93" s="297" t="s">
        <v>2111</v>
      </c>
      <c r="D93" s="298" t="s">
        <v>432</v>
      </c>
      <c r="E93" s="299" t="s">
        <v>454</v>
      </c>
      <c r="F93" s="299" t="s">
        <v>454</v>
      </c>
      <c r="G93" s="299" t="s">
        <v>454</v>
      </c>
      <c r="H93" s="299" t="s">
        <v>454</v>
      </c>
      <c r="I93" s="299" t="s">
        <v>454</v>
      </c>
      <c r="J93" s="300" t="s">
        <v>768</v>
      </c>
      <c r="K93" s="300" t="s">
        <v>1684</v>
      </c>
      <c r="L93" s="300"/>
      <c r="M93" s="301" t="s">
        <v>16</v>
      </c>
      <c r="N93" s="302">
        <v>349.95</v>
      </c>
      <c r="O93" s="302">
        <v>449.95</v>
      </c>
      <c r="P93" s="303">
        <v>0.8</v>
      </c>
      <c r="Q93" s="304">
        <f t="shared" si="2"/>
        <v>125</v>
      </c>
      <c r="R93" s="305">
        <f t="shared" si="3"/>
        <v>549.95000000000005</v>
      </c>
      <c r="S93" s="7"/>
    </row>
    <row r="94" spans="1:19" s="7" customFormat="1" ht="12.75">
      <c r="A94" s="160" t="s">
        <v>212</v>
      </c>
      <c r="B94" s="144" t="s">
        <v>774</v>
      </c>
      <c r="C94" s="151" t="s">
        <v>931</v>
      </c>
      <c r="D94" s="145" t="s">
        <v>440</v>
      </c>
      <c r="E94" s="147" t="s">
        <v>454</v>
      </c>
      <c r="F94" s="147" t="s">
        <v>454</v>
      </c>
      <c r="G94" s="147" t="s">
        <v>454</v>
      </c>
      <c r="H94" s="147" t="s">
        <v>454</v>
      </c>
      <c r="I94" s="147" t="s">
        <v>454</v>
      </c>
      <c r="J94" s="148" t="s">
        <v>768</v>
      </c>
      <c r="K94" s="148" t="s">
        <v>1684</v>
      </c>
      <c r="L94" s="148"/>
      <c r="M94" s="149" t="s">
        <v>16</v>
      </c>
      <c r="N94" s="242">
        <v>442.48</v>
      </c>
      <c r="O94" s="242">
        <v>599.95000000000005</v>
      </c>
      <c r="P94" s="188">
        <v>0.8</v>
      </c>
      <c r="Q94" s="292">
        <f t="shared" si="2"/>
        <v>125</v>
      </c>
      <c r="R94" s="197">
        <f t="shared" si="3"/>
        <v>699.95</v>
      </c>
    </row>
    <row r="95" spans="1:19" s="7" customFormat="1" ht="12.75">
      <c r="A95" s="160" t="s">
        <v>420</v>
      </c>
      <c r="B95" s="144" t="s">
        <v>421</v>
      </c>
      <c r="C95" s="144" t="s">
        <v>1984</v>
      </c>
      <c r="D95" s="145" t="s">
        <v>436</v>
      </c>
      <c r="E95" s="147" t="s">
        <v>454</v>
      </c>
      <c r="F95" s="147" t="s">
        <v>454</v>
      </c>
      <c r="G95" s="147" t="s">
        <v>454</v>
      </c>
      <c r="H95" s="147" t="s">
        <v>454</v>
      </c>
      <c r="I95" s="147" t="s">
        <v>454</v>
      </c>
      <c r="J95" s="148" t="s">
        <v>768</v>
      </c>
      <c r="K95" s="148" t="s">
        <v>1684</v>
      </c>
      <c r="L95" s="148"/>
      <c r="M95" s="149" t="s">
        <v>16</v>
      </c>
      <c r="N95" s="242">
        <v>381.6</v>
      </c>
      <c r="O95" s="242">
        <v>479.95</v>
      </c>
      <c r="P95" s="188">
        <v>0.7</v>
      </c>
      <c r="Q95" s="292">
        <f t="shared" si="2"/>
        <v>125</v>
      </c>
      <c r="R95" s="197">
        <f t="shared" si="3"/>
        <v>567.45000000000005</v>
      </c>
    </row>
    <row r="96" spans="1:19" s="7" customFormat="1" ht="12.75">
      <c r="A96" s="160" t="s">
        <v>417</v>
      </c>
      <c r="B96" s="144" t="s">
        <v>1671</v>
      </c>
      <c r="C96" s="151" t="s">
        <v>1672</v>
      </c>
      <c r="D96" s="145" t="s">
        <v>894</v>
      </c>
      <c r="E96" s="147" t="s">
        <v>454</v>
      </c>
      <c r="F96" s="147" t="s">
        <v>454</v>
      </c>
      <c r="G96" s="147" t="s">
        <v>454</v>
      </c>
      <c r="H96" s="147" t="s">
        <v>454</v>
      </c>
      <c r="I96" s="147" t="s">
        <v>454</v>
      </c>
      <c r="J96" s="148" t="s">
        <v>768</v>
      </c>
      <c r="K96" s="148" t="s">
        <v>1684</v>
      </c>
      <c r="L96" s="148"/>
      <c r="M96" s="149" t="s">
        <v>16</v>
      </c>
      <c r="N96" s="242">
        <v>264.18</v>
      </c>
      <c r="O96" s="242">
        <v>349.95</v>
      </c>
      <c r="P96" s="188">
        <v>0.8</v>
      </c>
      <c r="Q96" s="292">
        <f t="shared" si="2"/>
        <v>125</v>
      </c>
      <c r="R96" s="197">
        <f t="shared" si="3"/>
        <v>449.95</v>
      </c>
    </row>
    <row r="97" spans="1:18" s="7" customFormat="1" ht="12.75">
      <c r="A97" s="160" t="s">
        <v>415</v>
      </c>
      <c r="B97" s="144" t="s">
        <v>775</v>
      </c>
      <c r="C97" s="151" t="s">
        <v>932</v>
      </c>
      <c r="D97" s="145" t="s">
        <v>433</v>
      </c>
      <c r="E97" s="147" t="s">
        <v>454</v>
      </c>
      <c r="F97" s="147" t="s">
        <v>454</v>
      </c>
      <c r="G97" s="147" t="s">
        <v>454</v>
      </c>
      <c r="H97" s="147" t="s">
        <v>454</v>
      </c>
      <c r="I97" s="147" t="s">
        <v>454</v>
      </c>
      <c r="J97" s="148" t="s">
        <v>768</v>
      </c>
      <c r="K97" s="148" t="s">
        <v>1684</v>
      </c>
      <c r="L97" s="148"/>
      <c r="M97" s="149" t="s">
        <v>16</v>
      </c>
      <c r="N97" s="242">
        <v>776.98</v>
      </c>
      <c r="O97" s="242">
        <v>1049.95</v>
      </c>
      <c r="P97" s="188">
        <v>0.3</v>
      </c>
      <c r="Q97" s="292">
        <f t="shared" si="2"/>
        <v>125</v>
      </c>
      <c r="R97" s="197">
        <f t="shared" si="3"/>
        <v>1087.45</v>
      </c>
    </row>
    <row r="98" spans="1:18" s="7" customFormat="1" ht="12.75">
      <c r="A98" s="160" t="s">
        <v>414</v>
      </c>
      <c r="B98" s="144" t="s">
        <v>776</v>
      </c>
      <c r="C98" s="151" t="s">
        <v>933</v>
      </c>
      <c r="D98" s="145" t="s">
        <v>434</v>
      </c>
      <c r="E98" s="147" t="s">
        <v>454</v>
      </c>
      <c r="F98" s="147" t="s">
        <v>454</v>
      </c>
      <c r="G98" s="147" t="s">
        <v>454</v>
      </c>
      <c r="H98" s="147" t="s">
        <v>454</v>
      </c>
      <c r="I98" s="147" t="s">
        <v>454</v>
      </c>
      <c r="J98" s="148" t="s">
        <v>768</v>
      </c>
      <c r="K98" s="148" t="s">
        <v>1684</v>
      </c>
      <c r="L98" s="148"/>
      <c r="M98" s="149" t="s">
        <v>16</v>
      </c>
      <c r="N98" s="242">
        <v>737.59</v>
      </c>
      <c r="O98" s="242">
        <v>979.95</v>
      </c>
      <c r="P98" s="188">
        <v>0.3</v>
      </c>
      <c r="Q98" s="292">
        <f t="shared" si="2"/>
        <v>125</v>
      </c>
      <c r="R98" s="197">
        <f t="shared" si="3"/>
        <v>1017.45</v>
      </c>
    </row>
    <row r="99" spans="1:18" s="7" customFormat="1" ht="12.75">
      <c r="A99" s="160" t="s">
        <v>119</v>
      </c>
      <c r="B99" s="144" t="s">
        <v>430</v>
      </c>
      <c r="C99" s="151" t="s">
        <v>940</v>
      </c>
      <c r="D99" s="145" t="s">
        <v>128</v>
      </c>
      <c r="E99" s="147" t="s">
        <v>454</v>
      </c>
      <c r="F99" s="147" t="s">
        <v>454</v>
      </c>
      <c r="G99" s="147" t="s">
        <v>454</v>
      </c>
      <c r="H99" s="147" t="s">
        <v>454</v>
      </c>
      <c r="I99" s="147" t="s">
        <v>454</v>
      </c>
      <c r="J99" s="148" t="s">
        <v>768</v>
      </c>
      <c r="K99" s="148"/>
      <c r="L99" s="148"/>
      <c r="M99" s="149" t="s">
        <v>16</v>
      </c>
      <c r="N99" s="242">
        <v>170.46</v>
      </c>
      <c r="O99" s="242">
        <v>219.95</v>
      </c>
      <c r="P99" s="188">
        <v>0.3</v>
      </c>
      <c r="Q99" s="292">
        <f t="shared" si="2"/>
        <v>125</v>
      </c>
      <c r="R99" s="197">
        <f t="shared" si="3"/>
        <v>257.45</v>
      </c>
    </row>
    <row r="100" spans="1:18" s="7" customFormat="1" ht="12.75">
      <c r="A100" s="160" t="s">
        <v>411</v>
      </c>
      <c r="B100" s="144" t="s">
        <v>641</v>
      </c>
      <c r="C100" s="151" t="s">
        <v>939</v>
      </c>
      <c r="D100" s="145" t="s">
        <v>437</v>
      </c>
      <c r="E100" s="147" t="s">
        <v>454</v>
      </c>
      <c r="F100" s="147" t="s">
        <v>454</v>
      </c>
      <c r="G100" s="147" t="s">
        <v>454</v>
      </c>
      <c r="H100" s="147" t="s">
        <v>454</v>
      </c>
      <c r="I100" s="147" t="s">
        <v>454</v>
      </c>
      <c r="J100" s="148" t="s">
        <v>768</v>
      </c>
      <c r="K100" s="148" t="s">
        <v>1684</v>
      </c>
      <c r="L100" s="148"/>
      <c r="M100" s="149" t="s">
        <v>16</v>
      </c>
      <c r="N100" s="242">
        <v>297.82</v>
      </c>
      <c r="O100" s="242">
        <v>379.95</v>
      </c>
      <c r="P100" s="188">
        <v>0.3</v>
      </c>
      <c r="Q100" s="292">
        <f t="shared" si="2"/>
        <v>125</v>
      </c>
      <c r="R100" s="197">
        <f t="shared" si="3"/>
        <v>417.45</v>
      </c>
    </row>
    <row r="101" spans="1:18" s="7" customFormat="1" ht="12.75">
      <c r="A101" s="160" t="s">
        <v>265</v>
      </c>
      <c r="B101" s="144" t="s">
        <v>2144</v>
      </c>
      <c r="C101" s="151" t="s">
        <v>2145</v>
      </c>
      <c r="D101" s="145" t="s">
        <v>2146</v>
      </c>
      <c r="E101" s="147" t="s">
        <v>454</v>
      </c>
      <c r="F101" s="147" t="s">
        <v>454</v>
      </c>
      <c r="G101" s="147" t="s">
        <v>454</v>
      </c>
      <c r="H101" s="147" t="s">
        <v>454</v>
      </c>
      <c r="I101" s="147" t="s">
        <v>454</v>
      </c>
      <c r="J101" s="148" t="s">
        <v>768</v>
      </c>
      <c r="K101" s="148"/>
      <c r="L101" s="148"/>
      <c r="M101" s="149" t="s">
        <v>16</v>
      </c>
      <c r="N101" s="242">
        <v>585.29999999999995</v>
      </c>
      <c r="O101" s="242">
        <v>969.8</v>
      </c>
      <c r="P101" s="188">
        <v>0.8</v>
      </c>
      <c r="Q101" s="292">
        <f t="shared" si="2"/>
        <v>125</v>
      </c>
      <c r="R101" s="197">
        <f t="shared" si="3"/>
        <v>1069.8</v>
      </c>
    </row>
    <row r="102" spans="1:18" s="7" customFormat="1" ht="12.75">
      <c r="A102" s="160" t="s">
        <v>418</v>
      </c>
      <c r="B102" s="144" t="s">
        <v>1635</v>
      </c>
      <c r="C102" s="151" t="s">
        <v>1636</v>
      </c>
      <c r="D102" s="145" t="s">
        <v>438</v>
      </c>
      <c r="E102" s="147" t="s">
        <v>454</v>
      </c>
      <c r="F102" s="147" t="s">
        <v>454</v>
      </c>
      <c r="G102" s="147" t="s">
        <v>454</v>
      </c>
      <c r="H102" s="147" t="s">
        <v>454</v>
      </c>
      <c r="I102" s="147" t="s">
        <v>454</v>
      </c>
      <c r="J102" s="148" t="s">
        <v>768</v>
      </c>
      <c r="K102" s="148" t="s">
        <v>1684</v>
      </c>
      <c r="L102" s="148"/>
      <c r="M102" s="149" t="s">
        <v>16</v>
      </c>
      <c r="N102" s="242">
        <v>453.5</v>
      </c>
      <c r="O102" s="242">
        <v>549.95000000000005</v>
      </c>
      <c r="P102" s="188">
        <v>0.3</v>
      </c>
      <c r="Q102" s="292">
        <f t="shared" si="2"/>
        <v>125</v>
      </c>
      <c r="R102" s="197">
        <f t="shared" si="3"/>
        <v>587.45000000000005</v>
      </c>
    </row>
    <row r="103" spans="1:18" s="7" customFormat="1" ht="12.75">
      <c r="A103" s="160" t="s">
        <v>426</v>
      </c>
      <c r="B103" s="144" t="s">
        <v>896</v>
      </c>
      <c r="C103" s="151" t="s">
        <v>1703</v>
      </c>
      <c r="D103" s="145"/>
      <c r="E103" s="147" t="s">
        <v>454</v>
      </c>
      <c r="F103" s="147" t="s">
        <v>454</v>
      </c>
      <c r="G103" s="147" t="s">
        <v>454</v>
      </c>
      <c r="H103" s="147" t="s">
        <v>454</v>
      </c>
      <c r="I103" s="147" t="s">
        <v>454</v>
      </c>
      <c r="J103" s="148" t="s">
        <v>768</v>
      </c>
      <c r="K103" s="148" t="s">
        <v>1684</v>
      </c>
      <c r="L103" s="148"/>
      <c r="M103" s="149" t="s">
        <v>16</v>
      </c>
      <c r="N103" s="242">
        <v>60.62</v>
      </c>
      <c r="O103" s="242">
        <v>94.95</v>
      </c>
      <c r="P103" s="188">
        <v>0.2</v>
      </c>
      <c r="Q103" s="292">
        <f t="shared" si="2"/>
        <v>125</v>
      </c>
      <c r="R103" s="197">
        <f t="shared" si="3"/>
        <v>119.95</v>
      </c>
    </row>
    <row r="104" spans="1:18" s="7" customFormat="1" ht="12.75">
      <c r="A104" s="160" t="s">
        <v>211</v>
      </c>
      <c r="B104" s="144" t="s">
        <v>778</v>
      </c>
      <c r="C104" s="151" t="s">
        <v>936</v>
      </c>
      <c r="D104" s="145" t="s">
        <v>441</v>
      </c>
      <c r="E104" s="147" t="s">
        <v>454</v>
      </c>
      <c r="F104" s="147" t="s">
        <v>454</v>
      </c>
      <c r="G104" s="147" t="s">
        <v>454</v>
      </c>
      <c r="H104" s="147" t="s">
        <v>454</v>
      </c>
      <c r="I104" s="147" t="s">
        <v>454</v>
      </c>
      <c r="J104" s="148" t="s">
        <v>768</v>
      </c>
      <c r="K104" s="148"/>
      <c r="L104" s="148"/>
      <c r="M104" s="149" t="s">
        <v>16</v>
      </c>
      <c r="N104" s="242">
        <v>84.65</v>
      </c>
      <c r="O104" s="242">
        <v>119.95</v>
      </c>
      <c r="P104" s="188">
        <v>0.1</v>
      </c>
      <c r="Q104" s="292">
        <f t="shared" si="2"/>
        <v>125</v>
      </c>
      <c r="R104" s="197">
        <f t="shared" si="3"/>
        <v>132.44999999999999</v>
      </c>
    </row>
    <row r="105" spans="1:18" s="7" customFormat="1" ht="12.75">
      <c r="A105" s="160" t="s">
        <v>718</v>
      </c>
      <c r="B105" s="144" t="s">
        <v>67</v>
      </c>
      <c r="C105" s="151" t="s">
        <v>104</v>
      </c>
      <c r="D105" s="145"/>
      <c r="E105" s="147" t="s">
        <v>454</v>
      </c>
      <c r="F105" s="147" t="s">
        <v>454</v>
      </c>
      <c r="G105" s="147" t="s">
        <v>454</v>
      </c>
      <c r="H105" s="147" t="s">
        <v>454</v>
      </c>
      <c r="I105" s="147" t="s">
        <v>454</v>
      </c>
      <c r="J105" s="148" t="s">
        <v>768</v>
      </c>
      <c r="K105" s="148" t="s">
        <v>1684</v>
      </c>
      <c r="L105" s="148"/>
      <c r="M105" s="149" t="s">
        <v>16</v>
      </c>
      <c r="N105" s="242">
        <v>194.97</v>
      </c>
      <c r="O105" s="242">
        <v>324.95</v>
      </c>
      <c r="P105" s="188">
        <v>0.2</v>
      </c>
      <c r="Q105" s="292">
        <f t="shared" si="2"/>
        <v>125</v>
      </c>
      <c r="R105" s="197">
        <f t="shared" si="3"/>
        <v>349.95</v>
      </c>
    </row>
    <row r="106" spans="1:18" s="7" customFormat="1" ht="12.75">
      <c r="A106" s="160" t="s">
        <v>216</v>
      </c>
      <c r="B106" s="144" t="s">
        <v>1657</v>
      </c>
      <c r="C106" s="151" t="s">
        <v>313</v>
      </c>
      <c r="D106" s="145" t="s">
        <v>391</v>
      </c>
      <c r="E106" s="147" t="s">
        <v>454</v>
      </c>
      <c r="F106" s="147" t="s">
        <v>454</v>
      </c>
      <c r="G106" s="147" t="s">
        <v>454</v>
      </c>
      <c r="H106" s="147"/>
      <c r="I106" s="147" t="s">
        <v>454</v>
      </c>
      <c r="J106" s="148" t="s">
        <v>768</v>
      </c>
      <c r="K106" s="148"/>
      <c r="L106" s="148"/>
      <c r="M106" s="149" t="s">
        <v>4</v>
      </c>
      <c r="N106" s="242">
        <v>15.57</v>
      </c>
      <c r="O106" s="242">
        <v>23.95</v>
      </c>
      <c r="P106" s="188">
        <v>0</v>
      </c>
      <c r="Q106" s="292">
        <f t="shared" si="2"/>
        <v>125</v>
      </c>
      <c r="R106" s="197">
        <f t="shared" si="3"/>
        <v>23.95</v>
      </c>
    </row>
    <row r="107" spans="1:18" s="7" customFormat="1" ht="12.75">
      <c r="A107" s="160" t="s">
        <v>22</v>
      </c>
      <c r="B107" s="144" t="s">
        <v>1658</v>
      </c>
      <c r="C107" s="151" t="s">
        <v>312</v>
      </c>
      <c r="D107" s="145" t="s">
        <v>390</v>
      </c>
      <c r="E107" s="147" t="s">
        <v>454</v>
      </c>
      <c r="F107" s="147" t="s">
        <v>454</v>
      </c>
      <c r="G107" s="147" t="s">
        <v>454</v>
      </c>
      <c r="H107" s="147"/>
      <c r="I107" s="147" t="s">
        <v>454</v>
      </c>
      <c r="J107" s="148" t="s">
        <v>768</v>
      </c>
      <c r="K107" s="148"/>
      <c r="L107" s="148"/>
      <c r="M107" s="149" t="s">
        <v>4</v>
      </c>
      <c r="N107" s="242">
        <v>15.57</v>
      </c>
      <c r="O107" s="242">
        <v>23.95</v>
      </c>
      <c r="P107" s="188">
        <v>0</v>
      </c>
      <c r="Q107" s="292">
        <f t="shared" si="2"/>
        <v>125</v>
      </c>
      <c r="R107" s="197">
        <f t="shared" si="3"/>
        <v>23.95</v>
      </c>
    </row>
    <row r="108" spans="1:18" s="7" customFormat="1" ht="12.75">
      <c r="A108" s="160" t="s">
        <v>206</v>
      </c>
      <c r="B108" s="144" t="s">
        <v>1659</v>
      </c>
      <c r="C108" s="151" t="s">
        <v>836</v>
      </c>
      <c r="D108" s="145" t="s">
        <v>393</v>
      </c>
      <c r="E108" s="147" t="s">
        <v>454</v>
      </c>
      <c r="F108" s="147" t="s">
        <v>454</v>
      </c>
      <c r="G108" s="147" t="s">
        <v>454</v>
      </c>
      <c r="H108" s="147"/>
      <c r="I108" s="147" t="s">
        <v>454</v>
      </c>
      <c r="J108" s="148" t="s">
        <v>768</v>
      </c>
      <c r="K108" s="148"/>
      <c r="L108" s="148"/>
      <c r="M108" s="149" t="s">
        <v>4</v>
      </c>
      <c r="N108" s="242">
        <v>15.57</v>
      </c>
      <c r="O108" s="242">
        <v>23.95</v>
      </c>
      <c r="P108" s="188">
        <v>0</v>
      </c>
      <c r="Q108" s="292">
        <f t="shared" si="2"/>
        <v>125</v>
      </c>
      <c r="R108" s="197">
        <f t="shared" si="3"/>
        <v>23.95</v>
      </c>
    </row>
    <row r="109" spans="1:18" s="7" customFormat="1" ht="12.75">
      <c r="A109" s="160" t="s">
        <v>116</v>
      </c>
      <c r="B109" s="144" t="s">
        <v>1660</v>
      </c>
      <c r="C109" s="151" t="s">
        <v>315</v>
      </c>
      <c r="D109" s="145" t="s">
        <v>323</v>
      </c>
      <c r="E109" s="147" t="s">
        <v>454</v>
      </c>
      <c r="F109" s="147" t="s">
        <v>454</v>
      </c>
      <c r="G109" s="147" t="s">
        <v>454</v>
      </c>
      <c r="H109" s="147"/>
      <c r="I109" s="147" t="s">
        <v>454</v>
      </c>
      <c r="J109" s="148" t="s">
        <v>768</v>
      </c>
      <c r="K109" s="148"/>
      <c r="L109" s="148"/>
      <c r="M109" s="149" t="s">
        <v>4</v>
      </c>
      <c r="N109" s="242">
        <v>15.54</v>
      </c>
      <c r="O109" s="242">
        <v>23.95</v>
      </c>
      <c r="P109" s="188">
        <v>0</v>
      </c>
      <c r="Q109" s="292">
        <f t="shared" si="2"/>
        <v>125</v>
      </c>
      <c r="R109" s="197">
        <f t="shared" si="3"/>
        <v>23.95</v>
      </c>
    </row>
    <row r="110" spans="1:18" s="7" customFormat="1" ht="12.75">
      <c r="A110" s="160" t="s">
        <v>3</v>
      </c>
      <c r="B110" s="144" t="s">
        <v>1661</v>
      </c>
      <c r="C110" s="151" t="s">
        <v>311</v>
      </c>
      <c r="D110" s="145" t="s">
        <v>321</v>
      </c>
      <c r="E110" s="147" t="s">
        <v>454</v>
      </c>
      <c r="F110" s="147" t="s">
        <v>454</v>
      </c>
      <c r="G110" s="147" t="s">
        <v>454</v>
      </c>
      <c r="H110" s="147" t="s">
        <v>454</v>
      </c>
      <c r="I110" s="147" t="s">
        <v>454</v>
      </c>
      <c r="J110" s="148" t="s">
        <v>768</v>
      </c>
      <c r="K110" s="148"/>
      <c r="L110" s="148"/>
      <c r="M110" s="149" t="s">
        <v>4</v>
      </c>
      <c r="N110" s="242">
        <v>15.57</v>
      </c>
      <c r="O110" s="242">
        <v>23.95</v>
      </c>
      <c r="P110" s="188">
        <v>0</v>
      </c>
      <c r="Q110" s="292">
        <f t="shared" si="2"/>
        <v>125</v>
      </c>
      <c r="R110" s="197">
        <f t="shared" si="3"/>
        <v>23.95</v>
      </c>
    </row>
    <row r="111" spans="1:18" s="7" customFormat="1" ht="12.75">
      <c r="A111" s="160" t="s">
        <v>6</v>
      </c>
      <c r="B111" s="144" t="s">
        <v>1656</v>
      </c>
      <c r="C111" s="151" t="s">
        <v>314</v>
      </c>
      <c r="D111" s="145" t="s">
        <v>392</v>
      </c>
      <c r="E111" s="147" t="s">
        <v>454</v>
      </c>
      <c r="F111" s="147" t="s">
        <v>454</v>
      </c>
      <c r="G111" s="147" t="s">
        <v>454</v>
      </c>
      <c r="H111" s="147" t="s">
        <v>454</v>
      </c>
      <c r="I111" s="147" t="s">
        <v>454</v>
      </c>
      <c r="J111" s="148" t="s">
        <v>768</v>
      </c>
      <c r="K111" s="148"/>
      <c r="L111" s="148"/>
      <c r="M111" s="149" t="s">
        <v>4</v>
      </c>
      <c r="N111" s="242">
        <v>15.57</v>
      </c>
      <c r="O111" s="242">
        <v>23.95</v>
      </c>
      <c r="P111" s="188">
        <v>0</v>
      </c>
      <c r="Q111" s="292">
        <f t="shared" si="2"/>
        <v>125</v>
      </c>
      <c r="R111" s="197">
        <f t="shared" si="3"/>
        <v>23.95</v>
      </c>
    </row>
    <row r="112" spans="1:18" s="7" customFormat="1" ht="12.75">
      <c r="A112" s="160" t="s">
        <v>635</v>
      </c>
      <c r="B112" s="144" t="s">
        <v>1649</v>
      </c>
      <c r="C112" s="151" t="s">
        <v>845</v>
      </c>
      <c r="D112" s="145" t="s">
        <v>788</v>
      </c>
      <c r="E112" s="147" t="s">
        <v>454</v>
      </c>
      <c r="F112" s="147" t="s">
        <v>454</v>
      </c>
      <c r="G112" s="147" t="s">
        <v>454</v>
      </c>
      <c r="H112" s="147"/>
      <c r="I112" s="147" t="s">
        <v>454</v>
      </c>
      <c r="J112" s="148" t="s">
        <v>768</v>
      </c>
      <c r="K112" s="148"/>
      <c r="L112" s="148"/>
      <c r="M112" s="149" t="s">
        <v>4</v>
      </c>
      <c r="N112" s="242">
        <v>15.57</v>
      </c>
      <c r="O112" s="242">
        <v>23.95</v>
      </c>
      <c r="P112" s="188">
        <v>0</v>
      </c>
      <c r="Q112" s="292">
        <f t="shared" si="2"/>
        <v>125</v>
      </c>
      <c r="R112" s="197">
        <f t="shared" si="3"/>
        <v>23.95</v>
      </c>
    </row>
    <row r="113" spans="1:18" s="7" customFormat="1" ht="12.75">
      <c r="A113" s="160" t="s">
        <v>1824</v>
      </c>
      <c r="B113" s="144" t="s">
        <v>1827</v>
      </c>
      <c r="C113" s="244" t="s">
        <v>1788</v>
      </c>
      <c r="D113" s="145"/>
      <c r="E113" s="147" t="s">
        <v>454</v>
      </c>
      <c r="F113" s="147" t="s">
        <v>454</v>
      </c>
      <c r="G113" s="147" t="s">
        <v>454</v>
      </c>
      <c r="H113" s="147" t="s">
        <v>454</v>
      </c>
      <c r="I113" s="147" t="s">
        <v>454</v>
      </c>
      <c r="J113" s="148"/>
      <c r="K113" s="148"/>
      <c r="L113" s="148"/>
      <c r="M113" s="149" t="s">
        <v>10</v>
      </c>
      <c r="N113" s="242">
        <v>123.53</v>
      </c>
      <c r="O113" s="242">
        <v>199.95</v>
      </c>
      <c r="P113" s="188">
        <v>0.1</v>
      </c>
      <c r="Q113" s="292">
        <f t="shared" si="2"/>
        <v>125</v>
      </c>
      <c r="R113" s="197">
        <f t="shared" si="3"/>
        <v>212.45</v>
      </c>
    </row>
    <row r="114" spans="1:18" s="7" customFormat="1" ht="12.75">
      <c r="A114" s="160" t="s">
        <v>1825</v>
      </c>
      <c r="B114" s="144" t="s">
        <v>1696</v>
      </c>
      <c r="C114" s="244" t="s">
        <v>1789</v>
      </c>
      <c r="D114" s="145" t="s">
        <v>2099</v>
      </c>
      <c r="E114" s="147" t="s">
        <v>454</v>
      </c>
      <c r="F114" s="147" t="s">
        <v>454</v>
      </c>
      <c r="G114" s="147" t="s">
        <v>454</v>
      </c>
      <c r="H114" s="147" t="s">
        <v>454</v>
      </c>
      <c r="I114" s="147" t="s">
        <v>454</v>
      </c>
      <c r="J114" s="148"/>
      <c r="K114" s="148"/>
      <c r="L114" s="148"/>
      <c r="M114" s="149" t="s">
        <v>10</v>
      </c>
      <c r="N114" s="242">
        <v>102.28</v>
      </c>
      <c r="O114" s="242">
        <v>169.95</v>
      </c>
      <c r="P114" s="188">
        <v>0.1</v>
      </c>
      <c r="Q114" s="292">
        <f t="shared" si="2"/>
        <v>125</v>
      </c>
      <c r="R114" s="197">
        <f t="shared" si="3"/>
        <v>182.45</v>
      </c>
    </row>
    <row r="115" spans="1:18" s="7" customFormat="1" ht="12.75">
      <c r="A115" s="160" t="s">
        <v>1823</v>
      </c>
      <c r="B115" s="144" t="s">
        <v>122</v>
      </c>
      <c r="C115" s="244" t="s">
        <v>742</v>
      </c>
      <c r="D115" s="145"/>
      <c r="E115" s="147" t="s">
        <v>454</v>
      </c>
      <c r="F115" s="147" t="s">
        <v>454</v>
      </c>
      <c r="G115" s="147" t="s">
        <v>454</v>
      </c>
      <c r="H115" s="147" t="s">
        <v>454</v>
      </c>
      <c r="I115" s="147" t="s">
        <v>454</v>
      </c>
      <c r="J115" s="148"/>
      <c r="K115" s="148"/>
      <c r="L115" s="148"/>
      <c r="M115" s="149" t="s">
        <v>10</v>
      </c>
      <c r="N115" s="242">
        <v>727.28</v>
      </c>
      <c r="O115" s="242">
        <v>1038.95</v>
      </c>
      <c r="P115" s="188">
        <v>2</v>
      </c>
      <c r="Q115" s="292">
        <f t="shared" si="2"/>
        <v>125</v>
      </c>
      <c r="R115" s="197">
        <f t="shared" si="3"/>
        <v>1288.95</v>
      </c>
    </row>
    <row r="116" spans="1:18" s="7" customFormat="1" ht="12.75">
      <c r="A116" s="160" t="s">
        <v>1826</v>
      </c>
      <c r="B116" s="144" t="s">
        <v>897</v>
      </c>
      <c r="C116" s="244" t="s">
        <v>92</v>
      </c>
      <c r="D116" s="145"/>
      <c r="E116" s="147" t="s">
        <v>454</v>
      </c>
      <c r="F116" s="147" t="s">
        <v>454</v>
      </c>
      <c r="G116" s="147" t="s">
        <v>454</v>
      </c>
      <c r="H116" s="147" t="s">
        <v>454</v>
      </c>
      <c r="I116" s="147" t="s">
        <v>454</v>
      </c>
      <c r="J116" s="148"/>
      <c r="K116" s="148"/>
      <c r="L116" s="148"/>
      <c r="M116" s="149" t="s">
        <v>10</v>
      </c>
      <c r="N116" s="242">
        <v>228.47</v>
      </c>
      <c r="O116" s="242">
        <v>326.95</v>
      </c>
      <c r="P116" s="188">
        <v>0.4</v>
      </c>
      <c r="Q116" s="292">
        <f t="shared" si="2"/>
        <v>125</v>
      </c>
      <c r="R116" s="197">
        <f t="shared" si="3"/>
        <v>376.95</v>
      </c>
    </row>
    <row r="117" spans="1:18" s="7" customFormat="1" ht="12.75">
      <c r="A117" s="160" t="s">
        <v>17</v>
      </c>
      <c r="B117" s="144" t="s">
        <v>644</v>
      </c>
      <c r="C117" s="151" t="s">
        <v>1807</v>
      </c>
      <c r="D117" s="145" t="s">
        <v>1752</v>
      </c>
      <c r="E117" s="147" t="s">
        <v>454</v>
      </c>
      <c r="F117" s="147" t="s">
        <v>454</v>
      </c>
      <c r="G117" s="147" t="s">
        <v>454</v>
      </c>
      <c r="H117" s="147" t="s">
        <v>454</v>
      </c>
      <c r="I117" s="147" t="s">
        <v>454</v>
      </c>
      <c r="J117" s="148" t="s">
        <v>768</v>
      </c>
      <c r="K117" s="148"/>
      <c r="L117" s="148"/>
      <c r="M117" s="149" t="s">
        <v>16</v>
      </c>
      <c r="N117" s="242">
        <v>39.99</v>
      </c>
      <c r="O117" s="242">
        <v>59.95</v>
      </c>
      <c r="P117" s="188">
        <v>0</v>
      </c>
      <c r="Q117" s="292">
        <f t="shared" si="2"/>
        <v>125</v>
      </c>
      <c r="R117" s="197">
        <f t="shared" si="3"/>
        <v>59.95</v>
      </c>
    </row>
    <row r="118" spans="1:18" s="7" customFormat="1" ht="12.75">
      <c r="A118" s="160" t="s">
        <v>1487</v>
      </c>
      <c r="B118" s="144" t="s">
        <v>1485</v>
      </c>
      <c r="C118" s="151" t="s">
        <v>1486</v>
      </c>
      <c r="D118" s="145" t="s">
        <v>1709</v>
      </c>
      <c r="E118" s="147" t="s">
        <v>454</v>
      </c>
      <c r="F118" s="147" t="s">
        <v>454</v>
      </c>
      <c r="G118" s="147" t="s">
        <v>454</v>
      </c>
      <c r="H118" s="147" t="s">
        <v>454</v>
      </c>
      <c r="I118" s="147" t="s">
        <v>454</v>
      </c>
      <c r="J118" s="148" t="s">
        <v>768</v>
      </c>
      <c r="K118" s="148"/>
      <c r="L118" s="148"/>
      <c r="M118" s="149" t="s">
        <v>0</v>
      </c>
      <c r="N118" s="242">
        <v>47</v>
      </c>
      <c r="O118" s="242">
        <v>64.95</v>
      </c>
      <c r="P118" s="188">
        <v>0</v>
      </c>
      <c r="Q118" s="292">
        <f t="shared" si="2"/>
        <v>125</v>
      </c>
      <c r="R118" s="197">
        <f t="shared" si="3"/>
        <v>64.95</v>
      </c>
    </row>
    <row r="119" spans="1:18" s="7" customFormat="1" ht="12.75">
      <c r="A119" s="160" t="s">
        <v>294</v>
      </c>
      <c r="B119" s="144" t="s">
        <v>295</v>
      </c>
      <c r="C119" s="151" t="s">
        <v>296</v>
      </c>
      <c r="D119" s="145" t="s">
        <v>1708</v>
      </c>
      <c r="E119" s="147" t="s">
        <v>454</v>
      </c>
      <c r="F119" s="147" t="s">
        <v>454</v>
      </c>
      <c r="G119" s="147" t="s">
        <v>454</v>
      </c>
      <c r="H119" s="147" t="s">
        <v>454</v>
      </c>
      <c r="I119" s="147" t="s">
        <v>454</v>
      </c>
      <c r="J119" s="148" t="s">
        <v>768</v>
      </c>
      <c r="K119" s="148"/>
      <c r="L119" s="148"/>
      <c r="M119" s="149" t="s">
        <v>0</v>
      </c>
      <c r="N119" s="242">
        <v>60</v>
      </c>
      <c r="O119" s="242">
        <v>79.95</v>
      </c>
      <c r="P119" s="188">
        <v>0</v>
      </c>
      <c r="Q119" s="292">
        <f t="shared" si="2"/>
        <v>125</v>
      </c>
      <c r="R119" s="197">
        <f t="shared" si="3"/>
        <v>79.95</v>
      </c>
    </row>
    <row r="120" spans="1:18" s="7" customFormat="1" ht="12.75">
      <c r="A120" s="160" t="s">
        <v>1059</v>
      </c>
      <c r="B120" s="144" t="s">
        <v>1060</v>
      </c>
      <c r="C120" s="151" t="s">
        <v>1068</v>
      </c>
      <c r="D120" s="145" t="s">
        <v>1856</v>
      </c>
      <c r="E120" s="147" t="s">
        <v>454</v>
      </c>
      <c r="F120" s="147" t="s">
        <v>454</v>
      </c>
      <c r="G120" s="147" t="s">
        <v>454</v>
      </c>
      <c r="H120" s="147" t="s">
        <v>454</v>
      </c>
      <c r="I120" s="147" t="s">
        <v>454</v>
      </c>
      <c r="J120" s="148" t="s">
        <v>768</v>
      </c>
      <c r="K120" s="148"/>
      <c r="L120" s="148"/>
      <c r="M120" s="149" t="s">
        <v>4</v>
      </c>
      <c r="N120" s="242">
        <v>2.5</v>
      </c>
      <c r="O120" s="242">
        <v>4.95</v>
      </c>
      <c r="P120" s="188">
        <v>0</v>
      </c>
      <c r="Q120" s="292">
        <f t="shared" si="2"/>
        <v>125</v>
      </c>
      <c r="R120" s="197">
        <f t="shared" si="3"/>
        <v>4.95</v>
      </c>
    </row>
    <row r="121" spans="1:18" s="7" customFormat="1" ht="12.75">
      <c r="A121" s="160" t="s">
        <v>1061</v>
      </c>
      <c r="B121" s="144" t="s">
        <v>1646</v>
      </c>
      <c r="C121" s="151" t="s">
        <v>1069</v>
      </c>
      <c r="D121" s="145" t="s">
        <v>1857</v>
      </c>
      <c r="E121" s="147" t="s">
        <v>454</v>
      </c>
      <c r="F121" s="147" t="s">
        <v>454</v>
      </c>
      <c r="G121" s="147" t="s">
        <v>454</v>
      </c>
      <c r="H121" s="147" t="s">
        <v>454</v>
      </c>
      <c r="I121" s="147" t="s">
        <v>454</v>
      </c>
      <c r="J121" s="148" t="s">
        <v>768</v>
      </c>
      <c r="K121" s="148"/>
      <c r="L121" s="148"/>
      <c r="M121" s="149" t="s">
        <v>4</v>
      </c>
      <c r="N121" s="242">
        <v>2.5</v>
      </c>
      <c r="O121" s="242">
        <v>4.95</v>
      </c>
      <c r="P121" s="188">
        <v>0</v>
      </c>
      <c r="Q121" s="292">
        <f t="shared" si="2"/>
        <v>125</v>
      </c>
      <c r="R121" s="197">
        <f t="shared" si="3"/>
        <v>4.95</v>
      </c>
    </row>
    <row r="122" spans="1:18" s="7" customFormat="1" ht="12.75">
      <c r="A122" s="160" t="s">
        <v>1070</v>
      </c>
      <c r="B122" s="144" t="s">
        <v>1064</v>
      </c>
      <c r="C122" s="151" t="s">
        <v>1066</v>
      </c>
      <c r="D122" s="145" t="s">
        <v>1858</v>
      </c>
      <c r="E122" s="147" t="s">
        <v>454</v>
      </c>
      <c r="F122" s="147" t="s">
        <v>454</v>
      </c>
      <c r="G122" s="147" t="s">
        <v>454</v>
      </c>
      <c r="H122" s="147" t="s">
        <v>454</v>
      </c>
      <c r="I122" s="147" t="s">
        <v>454</v>
      </c>
      <c r="J122" s="148" t="s">
        <v>768</v>
      </c>
      <c r="K122" s="148"/>
      <c r="L122" s="148"/>
      <c r="M122" s="149" t="s">
        <v>4</v>
      </c>
      <c r="N122" s="242">
        <v>2.5</v>
      </c>
      <c r="O122" s="242">
        <v>4.95</v>
      </c>
      <c r="P122" s="188">
        <v>0</v>
      </c>
      <c r="Q122" s="292">
        <f t="shared" si="2"/>
        <v>125</v>
      </c>
      <c r="R122" s="197">
        <f t="shared" si="3"/>
        <v>4.95</v>
      </c>
    </row>
    <row r="123" spans="1:18" s="7" customFormat="1" ht="12.75">
      <c r="A123" s="160" t="s">
        <v>1071</v>
      </c>
      <c r="B123" s="144" t="s">
        <v>1065</v>
      </c>
      <c r="C123" s="151" t="s">
        <v>1067</v>
      </c>
      <c r="D123" s="145" t="s">
        <v>1858</v>
      </c>
      <c r="E123" s="147" t="s">
        <v>454</v>
      </c>
      <c r="F123" s="147" t="s">
        <v>454</v>
      </c>
      <c r="G123" s="147" t="s">
        <v>454</v>
      </c>
      <c r="H123" s="147" t="s">
        <v>454</v>
      </c>
      <c r="I123" s="147" t="s">
        <v>454</v>
      </c>
      <c r="J123" s="148" t="s">
        <v>768</v>
      </c>
      <c r="K123" s="148"/>
      <c r="L123" s="148"/>
      <c r="M123" s="149" t="s">
        <v>4</v>
      </c>
      <c r="N123" s="242">
        <v>2.5</v>
      </c>
      <c r="O123" s="242">
        <v>4.95</v>
      </c>
      <c r="P123" s="188">
        <v>0</v>
      </c>
      <c r="Q123" s="292">
        <f t="shared" si="2"/>
        <v>125</v>
      </c>
      <c r="R123" s="197">
        <f t="shared" si="3"/>
        <v>4.95</v>
      </c>
    </row>
    <row r="124" spans="1:18" s="7" customFormat="1" ht="12.75">
      <c r="A124" s="160" t="s">
        <v>1769</v>
      </c>
      <c r="B124" s="144" t="s">
        <v>1767</v>
      </c>
      <c r="C124" s="151" t="s">
        <v>1783</v>
      </c>
      <c r="D124" s="145" t="s">
        <v>1062</v>
      </c>
      <c r="E124" s="147" t="s">
        <v>454</v>
      </c>
      <c r="F124" s="147" t="s">
        <v>454</v>
      </c>
      <c r="G124" s="147" t="s">
        <v>454</v>
      </c>
      <c r="H124" s="147" t="s">
        <v>454</v>
      </c>
      <c r="I124" s="147" t="s">
        <v>454</v>
      </c>
      <c r="J124" s="148"/>
      <c r="K124" s="148"/>
      <c r="L124" s="148"/>
      <c r="M124" s="149" t="s">
        <v>4</v>
      </c>
      <c r="N124" s="242" t="e">
        <v>#N/A</v>
      </c>
      <c r="O124" s="242" t="e">
        <v>#N/A</v>
      </c>
      <c r="P124" s="188">
        <v>0</v>
      </c>
      <c r="Q124" s="292">
        <v>0</v>
      </c>
      <c r="R124" s="197" t="e">
        <f t="shared" si="3"/>
        <v>#N/A</v>
      </c>
    </row>
    <row r="125" spans="1:18" s="7" customFormat="1" ht="12.75">
      <c r="A125" s="160" t="s">
        <v>1770</v>
      </c>
      <c r="B125" s="144" t="s">
        <v>1768</v>
      </c>
      <c r="C125" s="151" t="s">
        <v>1784</v>
      </c>
      <c r="D125" s="145" t="s">
        <v>1063</v>
      </c>
      <c r="E125" s="147" t="s">
        <v>454</v>
      </c>
      <c r="F125" s="147" t="s">
        <v>454</v>
      </c>
      <c r="G125" s="147" t="s">
        <v>454</v>
      </c>
      <c r="H125" s="147" t="s">
        <v>454</v>
      </c>
      <c r="I125" s="147" t="s">
        <v>454</v>
      </c>
      <c r="J125" s="148"/>
      <c r="K125" s="148"/>
      <c r="L125" s="148"/>
      <c r="M125" s="149" t="s">
        <v>4</v>
      </c>
      <c r="N125" s="242" t="e">
        <v>#N/A</v>
      </c>
      <c r="O125" s="242" t="e">
        <v>#N/A</v>
      </c>
      <c r="P125" s="188">
        <v>0</v>
      </c>
      <c r="Q125" s="292">
        <v>0</v>
      </c>
      <c r="R125" s="197" t="e">
        <f t="shared" si="3"/>
        <v>#N/A</v>
      </c>
    </row>
  </sheetData>
  <sortState xmlns:xlrd2="http://schemas.microsoft.com/office/spreadsheetml/2017/richdata2" ref="A3:Q123">
    <sortCondition ref="B3:B123"/>
  </sortState>
  <mergeCells count="4">
    <mergeCell ref="K2:L2"/>
    <mergeCell ref="A1:C1"/>
    <mergeCell ref="D1:L1"/>
    <mergeCell ref="Q1:R1"/>
  </mergeCells>
  <conditionalFormatting sqref="N3:O125">
    <cfRule type="cellIs" dxfId="6" priority="1" operator="lessThan">
      <formula>0.02</formula>
    </cfRule>
  </conditionalFormatting>
  <hyperlinks>
    <hyperlink ref="J67" r:id="rId1" xr:uid="{381C0A5F-31A9-454F-95FD-E5EEC17ECA76}"/>
    <hyperlink ref="J29" r:id="rId2" xr:uid="{74B9B03A-603C-4C9A-84DB-5F6BF2D09A57}"/>
    <hyperlink ref="J74" r:id="rId3" xr:uid="{FDAD8C19-0B07-4CAE-A1E0-906E9001FDFE}"/>
    <hyperlink ref="J68" r:id="rId4" xr:uid="{499D1F9A-6F05-4E7D-90C4-4F03DFD67C17}"/>
    <hyperlink ref="J75" r:id="rId5" xr:uid="{AE7C1629-0786-4B22-95E8-9585BA53C5B2}"/>
    <hyperlink ref="J36" r:id="rId6" xr:uid="{D6859BB9-F4D3-49C7-8635-27F3BFD756A2}"/>
    <hyperlink ref="J16" r:id="rId7" xr:uid="{03CF49F6-F3F5-455F-AACF-4021728B529A}"/>
    <hyperlink ref="J73" r:id="rId8" xr:uid="{ABC8F764-EC28-4DE5-8089-B12B6A8F75B6}"/>
    <hyperlink ref="J78" r:id="rId9" xr:uid="{999839D0-8FF0-4B32-958C-1275D2455C7E}"/>
    <hyperlink ref="J9" r:id="rId10" xr:uid="{2D0D8EF7-21DC-4211-BDDF-31940351D707}"/>
    <hyperlink ref="J66" r:id="rId11" xr:uid="{47C79807-ABC7-4A40-904F-BE560BE22FDE}"/>
    <hyperlink ref="J10" r:id="rId12" xr:uid="{4F0C3E71-F376-44E3-A812-358EEB96863A}"/>
    <hyperlink ref="J11" r:id="rId13" xr:uid="{69BB80EA-8060-48D4-9C2B-515420E89B59}"/>
    <hyperlink ref="J26" r:id="rId14" xr:uid="{C99B7542-C40B-4818-90BB-26F6B02198C7}"/>
    <hyperlink ref="J25" r:id="rId15" xr:uid="{468AECFA-7687-4335-9949-B112D771702C}"/>
    <hyperlink ref="J21" r:id="rId16" xr:uid="{32B76D0C-3887-47C8-8F96-70A5566B51E2}"/>
    <hyperlink ref="J7" r:id="rId17" xr:uid="{64BEF054-F1DD-4ECA-AF31-FF3F90EC59DE}"/>
    <hyperlink ref="J105" r:id="rId18" xr:uid="{A240F69E-4B45-4B6A-A78D-BED573F28B2B}"/>
    <hyperlink ref="J72" r:id="rId19" xr:uid="{FB546FC5-DBAA-4A58-8026-FBC639BB9306}"/>
    <hyperlink ref="J71" r:id="rId20" xr:uid="{27B71A6A-DAB9-4856-995F-0284C3826101}"/>
    <hyperlink ref="J70" r:id="rId21" xr:uid="{70F73C87-6BE3-48A4-BE2B-ABCEB0CFE6A0}"/>
    <hyperlink ref="J43" r:id="rId22" xr:uid="{AEAB63EB-EF1E-4ABF-AFEE-B7E232F81158}"/>
    <hyperlink ref="J52" r:id="rId23" xr:uid="{1BF827DC-513D-457E-B388-B3DBF381E1F5}"/>
    <hyperlink ref="J41" r:id="rId24" xr:uid="{29EF6B25-A4A2-45D2-8A13-472046A4AA8F}"/>
    <hyperlink ref="J20" r:id="rId25" xr:uid="{EE76E8F6-6719-4F7E-8D4B-68B8BBF25EEC}"/>
    <hyperlink ref="J39" r:id="rId26" xr:uid="{965B4632-A88B-4189-9D87-FE326972CA1C}"/>
    <hyperlink ref="J15" r:id="rId27" xr:uid="{72E5F830-4F1A-458F-AD0A-B67F6F852415}"/>
    <hyperlink ref="J28" r:id="rId28" xr:uid="{AB8558D9-2F18-478D-B53D-AA0C3D86772B}"/>
    <hyperlink ref="J111" r:id="rId29" xr:uid="{74825D96-0D4A-410C-B5AB-5ECFEE1C7D10}"/>
    <hyperlink ref="J106:J111" r:id="rId30" display="PHOTO" xr:uid="{A8599FB9-160F-484C-9241-B0DE27555536}"/>
    <hyperlink ref="J76:J81" r:id="rId31" display="PHOTO" xr:uid="{B6A116F0-3F0B-4516-AA7C-974ADA7B15C5}"/>
    <hyperlink ref="J83" r:id="rId32" xr:uid="{CF8032CA-9AEB-4FE2-A1F0-066EAB44C7A7}"/>
    <hyperlink ref="J96" r:id="rId33" xr:uid="{BB68AD50-A72F-460A-B214-190E80A1656A}"/>
    <hyperlink ref="J91" r:id="rId34" xr:uid="{9BF452B8-1798-4DFD-B646-E98345316E64}"/>
    <hyperlink ref="J57" r:id="rId35" xr:uid="{8061646D-DC05-4138-9EF4-13DFFA6DEDF6}"/>
    <hyperlink ref="J56" r:id="rId36" xr:uid="{81613C40-03FF-4EC1-B672-B64545A7BAD5}"/>
    <hyperlink ref="J60" r:id="rId37" xr:uid="{B00839D1-BE39-446F-A864-D0F744233F04}"/>
    <hyperlink ref="J92" r:id="rId38" xr:uid="{3DD39211-224C-4826-867D-A13A6720B46F}"/>
    <hyperlink ref="J95" r:id="rId39" xr:uid="{A0AA73AD-D4CE-428F-9831-AFE7595367E2}"/>
    <hyperlink ref="J94" r:id="rId40" xr:uid="{9117EC5B-2DFE-4C96-BCEB-174CF3516996}"/>
    <hyperlink ref="J97" r:id="rId41" xr:uid="{3A37F9D6-4B45-4BFD-92F9-FB99C1D6F87E}"/>
    <hyperlink ref="J98" r:id="rId42" xr:uid="{AE53E1CE-037B-4B2D-9616-EF45BFDF1FD0}"/>
    <hyperlink ref="J99" r:id="rId43" xr:uid="{5AB4E472-7CF1-4EDC-BEF1-69F6DA55FF09}"/>
    <hyperlink ref="J100" r:id="rId44" xr:uid="{8693621A-137C-44FA-90E8-4C7B6B2832C8}"/>
    <hyperlink ref="J102" r:id="rId45" xr:uid="{BC9BB2BD-20CF-4BA9-B731-1128DC2C869F}"/>
    <hyperlink ref="J103" r:id="rId46" xr:uid="{11D5D7FC-74E6-40A0-88B2-20E8F8B434D3}"/>
    <hyperlink ref="J104" r:id="rId47" xr:uid="{487C1B14-587D-46E3-9C7B-260C029D1550}"/>
    <hyperlink ref="J119" r:id="rId48" xr:uid="{3396A566-FE41-4639-847B-F6468FE5504D}"/>
    <hyperlink ref="J5" r:id="rId49" xr:uid="{FEDFC6B1-A510-40E2-AD00-A78846854F73}"/>
    <hyperlink ref="J61" r:id="rId50" xr:uid="{F97E80A4-5C98-43D3-A752-C966D8450CCA}"/>
    <hyperlink ref="J59" r:id="rId51" xr:uid="{2263B8EC-71A1-4B0D-ADFA-EA1FAA95AB93}"/>
    <hyperlink ref="J53" r:id="rId52" xr:uid="{39D6CDD7-67D6-4B51-8AF2-0C21F354468E}"/>
    <hyperlink ref="J37" r:id="rId53" xr:uid="{8D7F514F-AD2E-47BD-A359-65B0E1793A20}"/>
    <hyperlink ref="J27" r:id="rId54" xr:uid="{9F3E4E3D-207D-4093-9949-1A6323500F14}"/>
    <hyperlink ref="J23" r:id="rId55" xr:uid="{B02985DD-CA8D-44AC-B9FA-D9B2E152430A}"/>
    <hyperlink ref="J22" r:id="rId56" xr:uid="{346B8225-A0D6-47BF-BBAE-24381872020B}"/>
    <hyperlink ref="J24" r:id="rId57" xr:uid="{23CDBABA-0976-40DC-A398-6203F8EEAD5E}"/>
    <hyperlink ref="J30" r:id="rId58" xr:uid="{99F5A961-5751-4821-BB19-1B1F8ED5800E}"/>
    <hyperlink ref="J33" r:id="rId59" xr:uid="{B0853F45-D408-481A-B3FB-179192CB2887}"/>
    <hyperlink ref="J35" r:id="rId60" xr:uid="{9CCC159C-E9D9-4F73-86CD-08D5F82F4C89}"/>
    <hyperlink ref="J34" r:id="rId61" xr:uid="{FD05CDBC-65E8-4DA4-82C0-F591F858AC67}"/>
    <hyperlink ref="J3" r:id="rId62" xr:uid="{FEB9281B-A81F-45C1-965B-7D7068C37C3D}"/>
    <hyperlink ref="J64" r:id="rId63" xr:uid="{73C7F006-EBE2-416B-8BAD-59E2C34A1E43}"/>
    <hyperlink ref="J63" r:id="rId64" xr:uid="{BE1718A9-5317-43B1-8529-E649CD9C1D96}"/>
    <hyperlink ref="J40" r:id="rId65" xr:uid="{FA1FB6A9-1657-454C-9448-E9052E0CF0F4}"/>
    <hyperlink ref="J8" r:id="rId66" xr:uid="{FF7C8EC1-F732-4772-BF88-C4BE2CAC1A1C}"/>
    <hyperlink ref="J51" r:id="rId67" xr:uid="{AFA3A0CE-360A-4C32-AEA9-C99934B2209B}"/>
    <hyperlink ref="J46" r:id="rId68" xr:uid="{AA647267-EB54-479E-8F66-4A25B0DBC1A9}"/>
    <hyperlink ref="J44:J49" r:id="rId69" display="PHOTO" xr:uid="{47D1D5C4-1AAE-4C43-987A-09DD74AEB085}"/>
    <hyperlink ref="J31" r:id="rId70" xr:uid="{E28C7597-F60E-46BA-BBE0-3FEC8FA3C7C8}"/>
    <hyperlink ref="J32" r:id="rId71" xr:uid="{CD1FB989-3C3D-4AC2-B449-62F8189134C2}"/>
    <hyperlink ref="J55" r:id="rId72" xr:uid="{23ED83CB-1337-472C-A481-70F8EDB89378}"/>
    <hyperlink ref="J122" r:id="rId73" xr:uid="{D988B868-B76B-4A24-8FA8-D0AADD109EB7}"/>
    <hyperlink ref="J123" r:id="rId74" xr:uid="{4BCAD3C5-E50C-4BFB-A3D9-535756E9D075}"/>
    <hyperlink ref="J120" r:id="rId75" xr:uid="{009695C4-E7E4-4352-A053-57425A2761A9}"/>
    <hyperlink ref="J121" r:id="rId76" xr:uid="{CF964380-205D-4533-98B0-74FE898218D8}"/>
    <hyperlink ref="J38" r:id="rId77" xr:uid="{BCFF70FE-08A1-4ABD-9729-B68D402CBD96}"/>
    <hyperlink ref="J118" r:id="rId78" xr:uid="{77B1B913-D318-4D0B-8124-38FA0CD207EE}"/>
    <hyperlink ref="J101" r:id="rId79" xr:uid="{19A7EE41-C8EE-4B6F-B3DE-D53A1AB5C9A6}"/>
    <hyperlink ref="J54" r:id="rId80" xr:uid="{40D1F647-1C78-409D-96DD-AF5BEE9785BC}"/>
    <hyperlink ref="K10" r:id="rId81" xr:uid="{8E0366D3-19DD-4917-A57D-08E50F3535BC}"/>
    <hyperlink ref="K11" r:id="rId82" xr:uid="{38E9B3AE-836F-4CB9-8613-90438693836C}"/>
    <hyperlink ref="K7" r:id="rId83" xr:uid="{0A9534CF-3F46-466C-AF3D-63F36D1017A6}"/>
    <hyperlink ref="K8" r:id="rId84" xr:uid="{1B1EB7E9-D7F0-4739-9CFA-33C1A987B357}"/>
    <hyperlink ref="K15" r:id="rId85" xr:uid="{792F057D-737D-4617-A7BA-CB7EF40C50A6}"/>
    <hyperlink ref="K16" r:id="rId86" xr:uid="{471E7726-8E97-46E3-A35C-CC5CCE6F84FC}"/>
    <hyperlink ref="K17" r:id="rId87" xr:uid="{67EB0FC8-1851-43ED-B438-7B1038BE05E8}"/>
    <hyperlink ref="K18" r:id="rId88" xr:uid="{9323D923-2BFB-482B-A2FF-ADEEF3827D0F}"/>
    <hyperlink ref="K20" r:id="rId89" xr:uid="{581108DE-AC68-4A10-9852-8B6D1ACEC8B4}"/>
    <hyperlink ref="K21" r:id="rId90" xr:uid="{CF6A26A9-DBFA-446D-BEC5-A325E36385BE}"/>
    <hyperlink ref="K25" r:id="rId91" xr:uid="{D04385B0-0590-48DA-B2F1-B53F472F58AD}"/>
    <hyperlink ref="K26" r:id="rId92" xr:uid="{29A004E9-0F48-43C2-8C6C-6A8C070D1F76}"/>
    <hyperlink ref="K28" r:id="rId93" xr:uid="{7C43F7F3-54DB-4F57-BF82-692F23839E5A}"/>
    <hyperlink ref="K29" r:id="rId94" xr:uid="{35595AC8-B22C-44BA-A1B5-A677BC55ADA0}"/>
    <hyperlink ref="K36" r:id="rId95" xr:uid="{23532DD9-7D3E-4A4D-B2D6-ADFC364FA271}"/>
    <hyperlink ref="K37" r:id="rId96" xr:uid="{69D162D2-F68D-48FA-8C91-98218F656E0D}"/>
    <hyperlink ref="K38" r:id="rId97" xr:uid="{7BD68512-948E-4F9A-A236-C38EBB492866}"/>
    <hyperlink ref="K40" r:id="rId98" xr:uid="{42CEF39E-FE26-4B15-9273-F3CC031488AF}"/>
    <hyperlink ref="K41" r:id="rId99" xr:uid="{07E7F0E2-D240-44BA-97FE-E208F6F9878D}"/>
    <hyperlink ref="K43" r:id="rId100" xr:uid="{7A9B2E97-77C3-431F-9C81-106E8D857C16}"/>
    <hyperlink ref="K46" r:id="rId101" xr:uid="{9E1ED6B9-509F-493C-9DA3-82CF185DFCFA}"/>
    <hyperlink ref="K44:K49" r:id="rId102" display="SHEET" xr:uid="{92AACAD1-40E2-4293-A089-2E1938388F29}"/>
    <hyperlink ref="K52" r:id="rId103" xr:uid="{59834484-28BD-44CA-BA54-499F56B7A171}"/>
    <hyperlink ref="K51" r:id="rId104" xr:uid="{73A1C98D-10F2-4F97-8EEE-B8D1180F2667}"/>
    <hyperlink ref="K64" r:id="rId105" xr:uid="{B483DE86-41E7-4B21-AA62-DE2A9BA12DE3}"/>
    <hyperlink ref="K63" r:id="rId106" xr:uid="{927E2628-FD61-4C56-AF5F-E6377F37553A}"/>
    <hyperlink ref="K66" r:id="rId107" xr:uid="{5BE0862F-D84A-40DB-82DB-A9E12D29C66C}"/>
    <hyperlink ref="K68" r:id="rId108" xr:uid="{CF887803-60B5-4005-9E35-5B95AA3E06F3}"/>
    <hyperlink ref="K67" r:id="rId109" xr:uid="{36D18350-6551-4A00-9B09-7C30377F5280}"/>
    <hyperlink ref="J65" r:id="rId110" xr:uid="{FB89EF6F-7F44-4A15-853E-8A2E77BD244F}"/>
    <hyperlink ref="K65" r:id="rId111" xr:uid="{67B08567-2410-4EA8-91DC-3F7CCD460608}"/>
    <hyperlink ref="K69" r:id="rId112" xr:uid="{8377A31A-634B-46B4-872A-280588A1D7B9}"/>
    <hyperlink ref="K70" r:id="rId113" xr:uid="{ADC763E4-BEE6-46E2-86AB-E46993E5A36D}"/>
    <hyperlink ref="K71" r:id="rId114" xr:uid="{E6F9CD2C-DACA-4732-A2DA-9B7346CE7B78}"/>
    <hyperlink ref="K72" r:id="rId115" xr:uid="{7B26DA6D-001F-4AA4-A946-3ADAFF5D2732}"/>
    <hyperlink ref="K73" r:id="rId116" xr:uid="{1D5EB384-2B83-49F2-BD06-EEF142FEC9EC}"/>
    <hyperlink ref="K74" r:id="rId117" xr:uid="{07020F2B-633A-4288-93F0-B3F853DF7983}"/>
    <hyperlink ref="K75" r:id="rId118" xr:uid="{949A41DF-2BBA-40D7-8292-AD75E758B2D9}"/>
    <hyperlink ref="K78" r:id="rId119" xr:uid="{3F184B30-D69D-49DE-97A5-6960B25AD32A}"/>
    <hyperlink ref="K76:K81" r:id="rId120" display="SHEET" xr:uid="{CD1A0963-6AFC-45B0-8AED-C0DA585F73F8}"/>
    <hyperlink ref="K83" r:id="rId121" xr:uid="{9CFB2EA8-24F8-42BA-8C13-27E039AB3724}"/>
    <hyperlink ref="K83:K88" r:id="rId122" display="SHEET" xr:uid="{5AB557F4-67F6-421D-995A-AF31B3792136}"/>
    <hyperlink ref="K105" r:id="rId123" xr:uid="{E961A146-0755-4708-B066-F5263E2BFB36}"/>
    <hyperlink ref="K5" r:id="rId124" xr:uid="{BA7AF4E1-A1DC-4271-96D7-AD6FDF041922}"/>
    <hyperlink ref="K95" r:id="rId125" xr:uid="{AE942FEF-0EBE-472C-9FF7-5F42885D4807}"/>
    <hyperlink ref="K94" r:id="rId126" xr:uid="{B21F6F0A-9313-4EA7-91E9-B936ED24DD23}"/>
    <hyperlink ref="K100" r:id="rId127" xr:uid="{7A485746-3E03-445B-A0BE-742156212CE9}"/>
    <hyperlink ref="K102" r:id="rId128" xr:uid="{963FDFB1-1200-4ED1-AD74-3C59CFEB2C6D}"/>
    <hyperlink ref="K96" r:id="rId129" xr:uid="{526FF786-A660-4D11-8BE1-56746130F000}"/>
    <hyperlink ref="K56" r:id="rId130" xr:uid="{C320108C-7715-44F8-94B4-36D88219C058}"/>
    <hyperlink ref="K39" r:id="rId131" xr:uid="{B7197BA5-533D-4F45-BE90-E075A58669B9}"/>
    <hyperlink ref="K4" r:id="rId132" xr:uid="{01B60F91-9606-4ED9-8159-5E39DE932371}"/>
    <hyperlink ref="J117" r:id="rId133" xr:uid="{C30683BD-97E8-42E8-B5FB-695DCB74C7AB}"/>
    <hyperlink ref="J6" r:id="rId134" xr:uid="{95D7995D-4276-4469-B320-EBFBCEA6C6CF}"/>
    <hyperlink ref="J12" r:id="rId135" xr:uid="{79331E6D-6CE8-4AF7-990C-E8F602E3D38C}"/>
    <hyperlink ref="J14" r:id="rId136" xr:uid="{3F97EAA4-FE02-401C-8855-1B439A8571D1}"/>
    <hyperlink ref="K12" r:id="rId137" xr:uid="{2AC799C1-E557-48D9-86D1-D1345A48F43E}"/>
    <hyperlink ref="K14" r:id="rId138" xr:uid="{275DA3FD-BEDF-4768-A420-1CC17F0FAF46}"/>
    <hyperlink ref="K103" r:id="rId139" xr:uid="{FA2907C9-0623-4B90-824A-EE03BA435D91}"/>
    <hyperlink ref="J17" r:id="rId140" xr:uid="{F3FB255D-B039-487C-8716-EA30E1C2C94F}"/>
    <hyperlink ref="J4" r:id="rId141" xr:uid="{A62AD21D-2C31-4FC8-AB2B-4DC5E4F8EF2F}"/>
    <hyperlink ref="K27" r:id="rId142" xr:uid="{985DAA86-7F30-4188-8341-372F8CD1089E}"/>
    <hyperlink ref="K62" r:id="rId143" xr:uid="{593659C3-56B7-4BB8-A4AC-C06817F91991}"/>
    <hyperlink ref="J93" r:id="rId144" xr:uid="{545B4533-0EAB-471E-9DA6-17914752803D}"/>
    <hyperlink ref="K93" r:id="rId145" xr:uid="{AD60AAC0-55DB-46D0-8CF5-B645407D191F}"/>
    <hyperlink ref="J90" r:id="rId146" xr:uid="{307D05B4-9129-4179-8097-58F82804E639}"/>
    <hyperlink ref="K88" r:id="rId147" xr:uid="{55CDD2C5-F727-4B66-A5E0-D8C38A24F7BD}"/>
  </hyperlinks>
  <pageMargins left="0.7" right="0.7" top="0.75" bottom="0.75" header="0.3" footer="0.3"/>
  <pageSetup orientation="portrait" r:id="rId148"/>
  <legacyDrawing r:id="rId14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692A-0ED3-4425-ABDA-4499ED702FE7}">
  <sheetPr published="0">
    <tabColor theme="4" tint="-0.249977111117893"/>
  </sheetPr>
  <dimension ref="A1:AY115"/>
  <sheetViews>
    <sheetView zoomScale="85" zoomScaleNormal="85" workbookViewId="0">
      <pane xSplit="2" ySplit="2" topLeftCell="C3" activePane="bottomRight" state="frozenSplit"/>
      <selection activeCell="U124" sqref="U124"/>
      <selection pane="topRight" activeCell="U124" sqref="U124"/>
      <selection pane="bottomLeft" activeCell="U124" sqref="U124"/>
      <selection pane="bottomRight" activeCell="A2" sqref="A2"/>
    </sheetView>
  </sheetViews>
  <sheetFormatPr defaultColWidth="67.7109375" defaultRowHeight="15"/>
  <cols>
    <col min="1" max="1" width="22.5703125" style="2" customWidth="1"/>
    <col min="2" max="3" width="84.7109375" style="2" customWidth="1"/>
    <col min="4" max="4" width="104.42578125" style="2" bestFit="1" customWidth="1"/>
    <col min="5" max="8" width="6.28515625" style="2" bestFit="1" customWidth="1"/>
    <col min="9" max="9" width="6.7109375" style="2" bestFit="1" customWidth="1"/>
    <col min="10" max="10" width="6.28515625" style="2" bestFit="1" customWidth="1"/>
    <col min="11" max="11" width="8.7109375" style="11" bestFit="1" customWidth="1"/>
    <col min="12" max="12" width="6.5703125" style="18" bestFit="1" customWidth="1"/>
    <col min="13" max="13" width="7.28515625" style="18" customWidth="1"/>
    <col min="14" max="14" width="12.7109375" style="2" bestFit="1" customWidth="1"/>
    <col min="15" max="15" width="11.28515625" style="2" bestFit="1" customWidth="1"/>
    <col min="16" max="16" width="11.28515625" style="2" customWidth="1"/>
    <col min="17" max="17" width="8.42578125" style="11" bestFit="1" customWidth="1"/>
    <col min="18" max="18" width="9.5703125" style="2" bestFit="1" customWidth="1"/>
    <col min="19" max="19" width="11.28515625" style="2" bestFit="1" customWidth="1"/>
    <col min="20" max="20" width="5.7109375" style="2" customWidth="1"/>
    <col min="21" max="40" width="9.5703125" style="2" customWidth="1"/>
    <col min="41" max="16384" width="67.7109375" style="2"/>
  </cols>
  <sheetData>
    <row r="1" spans="1:20" ht="45">
      <c r="A1" s="346" t="s">
        <v>1945</v>
      </c>
      <c r="B1" s="347"/>
      <c r="C1" s="347"/>
      <c r="D1" s="357" t="s">
        <v>167</v>
      </c>
      <c r="E1" s="357"/>
      <c r="F1" s="357"/>
      <c r="G1" s="357"/>
      <c r="H1" s="357"/>
      <c r="I1" s="357"/>
      <c r="J1" s="357"/>
      <c r="K1" s="357"/>
      <c r="L1" s="357"/>
      <c r="M1" s="357"/>
      <c r="N1" s="136">
        <v>125</v>
      </c>
      <c r="O1" s="1"/>
      <c r="P1" s="1"/>
      <c r="Q1" s="229"/>
      <c r="R1" s="349" t="s">
        <v>213</v>
      </c>
      <c r="S1" s="350"/>
    </row>
    <row r="2" spans="1:20" ht="47.25">
      <c r="A2" s="131" t="s">
        <v>140</v>
      </c>
      <c r="B2" s="131" t="s">
        <v>141</v>
      </c>
      <c r="C2" s="131" t="s">
        <v>142</v>
      </c>
      <c r="D2" s="131" t="s">
        <v>143</v>
      </c>
      <c r="E2" s="131" t="s">
        <v>1766</v>
      </c>
      <c r="F2" s="131" t="s">
        <v>456</v>
      </c>
      <c r="G2" s="131" t="s">
        <v>457</v>
      </c>
      <c r="H2" s="131" t="s">
        <v>458</v>
      </c>
      <c r="I2" s="131" t="s">
        <v>1765</v>
      </c>
      <c r="J2" s="131" t="s">
        <v>460</v>
      </c>
      <c r="K2" s="10" t="s">
        <v>768</v>
      </c>
      <c r="L2" s="355" t="s">
        <v>1685</v>
      </c>
      <c r="M2" s="356"/>
      <c r="N2" s="10" t="s">
        <v>144</v>
      </c>
      <c r="O2" s="132" t="s">
        <v>145</v>
      </c>
      <c r="P2" s="132" t="s">
        <v>146</v>
      </c>
      <c r="Q2" s="131" t="s">
        <v>147</v>
      </c>
      <c r="R2" s="132" t="s">
        <v>148</v>
      </c>
      <c r="S2" s="132" t="s">
        <v>149</v>
      </c>
    </row>
    <row r="3" spans="1:20" s="7" customFormat="1" ht="12.75">
      <c r="A3" s="221" t="s">
        <v>869</v>
      </c>
      <c r="B3" s="156" t="s">
        <v>1010</v>
      </c>
      <c r="C3" s="244" t="s">
        <v>1040</v>
      </c>
      <c r="D3" s="149" t="s">
        <v>2038</v>
      </c>
      <c r="E3" s="147" t="s">
        <v>454</v>
      </c>
      <c r="F3" s="147" t="s">
        <v>454</v>
      </c>
      <c r="G3" s="147" t="s">
        <v>454</v>
      </c>
      <c r="H3" s="147" t="s">
        <v>454</v>
      </c>
      <c r="I3" s="147" t="s">
        <v>454</v>
      </c>
      <c r="J3" s="147" t="s">
        <v>454</v>
      </c>
      <c r="K3" s="148" t="s">
        <v>768</v>
      </c>
      <c r="L3" s="148" t="s">
        <v>1684</v>
      </c>
      <c r="M3" s="262"/>
      <c r="N3" s="189" t="s">
        <v>16</v>
      </c>
      <c r="O3" s="252">
        <v>250</v>
      </c>
      <c r="P3" s="252">
        <v>399.95</v>
      </c>
      <c r="Q3" s="179">
        <v>1</v>
      </c>
      <c r="R3" s="259">
        <f t="shared" ref="R3:R66" si="0">$N$1</f>
        <v>125</v>
      </c>
      <c r="S3" s="260">
        <f t="shared" ref="S3:S31" si="1">Q3*R3+P3</f>
        <v>524.95000000000005</v>
      </c>
    </row>
    <row r="4" spans="1:20" s="7" customFormat="1" ht="12.75">
      <c r="A4" s="221" t="s">
        <v>871</v>
      </c>
      <c r="B4" s="156" t="s">
        <v>1009</v>
      </c>
      <c r="C4" s="244" t="s">
        <v>874</v>
      </c>
      <c r="D4" s="149" t="s">
        <v>1843</v>
      </c>
      <c r="E4" s="147" t="s">
        <v>454</v>
      </c>
      <c r="F4" s="147" t="s">
        <v>454</v>
      </c>
      <c r="G4" s="147" t="s">
        <v>454</v>
      </c>
      <c r="H4" s="147" t="s">
        <v>454</v>
      </c>
      <c r="I4" s="147" t="s">
        <v>454</v>
      </c>
      <c r="J4" s="147" t="s">
        <v>454</v>
      </c>
      <c r="K4" s="148" t="s">
        <v>768</v>
      </c>
      <c r="L4" s="148"/>
      <c r="M4" s="262"/>
      <c r="N4" s="189" t="s">
        <v>59</v>
      </c>
      <c r="O4" s="252">
        <v>1750</v>
      </c>
      <c r="P4" s="252">
        <v>2295.9499999999998</v>
      </c>
      <c r="Q4" s="179">
        <v>1.5</v>
      </c>
      <c r="R4" s="259">
        <f t="shared" si="0"/>
        <v>125</v>
      </c>
      <c r="S4" s="260">
        <f t="shared" si="1"/>
        <v>2483.4499999999998</v>
      </c>
    </row>
    <row r="5" spans="1:20" s="7" customFormat="1" ht="12.75">
      <c r="A5" s="221" t="s">
        <v>792</v>
      </c>
      <c r="B5" s="156" t="s">
        <v>2039</v>
      </c>
      <c r="C5" s="244" t="s">
        <v>2040</v>
      </c>
      <c r="D5" s="149" t="s">
        <v>2041</v>
      </c>
      <c r="E5" s="147" t="s">
        <v>454</v>
      </c>
      <c r="F5" s="147" t="s">
        <v>454</v>
      </c>
      <c r="G5" s="147" t="s">
        <v>454</v>
      </c>
      <c r="H5" s="147" t="s">
        <v>454</v>
      </c>
      <c r="I5" s="147" t="s">
        <v>454</v>
      </c>
      <c r="J5" s="147" t="s">
        <v>454</v>
      </c>
      <c r="K5" s="148" t="s">
        <v>768</v>
      </c>
      <c r="L5" s="148"/>
      <c r="M5" s="262"/>
      <c r="N5" s="189" t="s">
        <v>0</v>
      </c>
      <c r="O5" s="252">
        <v>127.17</v>
      </c>
      <c r="P5" s="252">
        <v>211.95</v>
      </c>
      <c r="Q5" s="179">
        <v>0</v>
      </c>
      <c r="R5" s="259">
        <f t="shared" si="0"/>
        <v>125</v>
      </c>
      <c r="S5" s="260">
        <f t="shared" si="1"/>
        <v>211.95</v>
      </c>
    </row>
    <row r="6" spans="1:20" s="7" customFormat="1" ht="12.75">
      <c r="A6" s="221" t="s">
        <v>68</v>
      </c>
      <c r="B6" s="156" t="s">
        <v>69</v>
      </c>
      <c r="C6" s="244" t="s">
        <v>106</v>
      </c>
      <c r="D6" s="149"/>
      <c r="E6" s="147" t="s">
        <v>454</v>
      </c>
      <c r="F6" s="147" t="s">
        <v>454</v>
      </c>
      <c r="G6" s="147" t="s">
        <v>454</v>
      </c>
      <c r="H6" s="147" t="s">
        <v>454</v>
      </c>
      <c r="I6" s="147" t="s">
        <v>454</v>
      </c>
      <c r="J6" s="147" t="s">
        <v>454</v>
      </c>
      <c r="K6" s="148" t="s">
        <v>768</v>
      </c>
      <c r="L6" s="148" t="s">
        <v>1684</v>
      </c>
      <c r="M6" s="262"/>
      <c r="N6" s="189" t="s">
        <v>10</v>
      </c>
      <c r="O6" s="252">
        <v>180.67</v>
      </c>
      <c r="P6" s="252">
        <v>277.95</v>
      </c>
      <c r="Q6" s="179">
        <v>0.4</v>
      </c>
      <c r="R6" s="259">
        <f t="shared" si="0"/>
        <v>125</v>
      </c>
      <c r="S6" s="260">
        <f t="shared" si="1"/>
        <v>327.95</v>
      </c>
    </row>
    <row r="7" spans="1:20" s="190" customFormat="1" ht="12.75">
      <c r="A7" s="221" t="s">
        <v>115</v>
      </c>
      <c r="B7" s="156" t="s">
        <v>817</v>
      </c>
      <c r="C7" s="244" t="s">
        <v>203</v>
      </c>
      <c r="D7" s="149"/>
      <c r="E7" s="147" t="s">
        <v>454</v>
      </c>
      <c r="F7" s="147" t="s">
        <v>454</v>
      </c>
      <c r="G7" s="147" t="s">
        <v>454</v>
      </c>
      <c r="H7" s="147" t="s">
        <v>454</v>
      </c>
      <c r="I7" s="147" t="s">
        <v>454</v>
      </c>
      <c r="J7" s="147" t="s">
        <v>454</v>
      </c>
      <c r="K7" s="148"/>
      <c r="L7" s="148"/>
      <c r="M7" s="262"/>
      <c r="N7" s="189" t="s">
        <v>10</v>
      </c>
      <c r="O7" s="252">
        <v>15.57</v>
      </c>
      <c r="P7" s="252">
        <v>25.95</v>
      </c>
      <c r="Q7" s="179">
        <v>0</v>
      </c>
      <c r="R7" s="259">
        <f t="shared" si="0"/>
        <v>125</v>
      </c>
      <c r="S7" s="260">
        <f t="shared" si="1"/>
        <v>25.95</v>
      </c>
      <c r="T7" s="7"/>
    </row>
    <row r="8" spans="1:20" s="7" customFormat="1" ht="12.75">
      <c r="A8" s="221" t="s">
        <v>276</v>
      </c>
      <c r="B8" s="156" t="s">
        <v>277</v>
      </c>
      <c r="C8" s="244" t="s">
        <v>278</v>
      </c>
      <c r="D8" s="149"/>
      <c r="E8" s="147" t="s">
        <v>454</v>
      </c>
      <c r="F8" s="147" t="s">
        <v>454</v>
      </c>
      <c r="G8" s="147" t="s">
        <v>454</v>
      </c>
      <c r="H8" s="147" t="s">
        <v>454</v>
      </c>
      <c r="I8" s="147" t="s">
        <v>454</v>
      </c>
      <c r="J8" s="147" t="s">
        <v>454</v>
      </c>
      <c r="K8" s="191" t="s">
        <v>768</v>
      </c>
      <c r="L8" s="148" t="s">
        <v>1684</v>
      </c>
      <c r="M8" s="262"/>
      <c r="N8" s="189" t="s">
        <v>10</v>
      </c>
      <c r="O8" s="252">
        <v>108.57</v>
      </c>
      <c r="P8" s="252">
        <v>180.95</v>
      </c>
      <c r="Q8" s="179">
        <v>0.2</v>
      </c>
      <c r="R8" s="259">
        <f t="shared" si="0"/>
        <v>125</v>
      </c>
      <c r="S8" s="260">
        <f t="shared" si="1"/>
        <v>205.95</v>
      </c>
    </row>
    <row r="9" spans="1:20" s="7" customFormat="1" ht="12.75">
      <c r="A9" s="221" t="s">
        <v>1</v>
      </c>
      <c r="B9" s="156" t="s">
        <v>24</v>
      </c>
      <c r="C9" s="244" t="s">
        <v>85</v>
      </c>
      <c r="D9" s="149" t="s">
        <v>410</v>
      </c>
      <c r="E9" s="147" t="s">
        <v>454</v>
      </c>
      <c r="F9" s="147" t="s">
        <v>454</v>
      </c>
      <c r="G9" s="147" t="s">
        <v>454</v>
      </c>
      <c r="H9" s="147" t="s">
        <v>454</v>
      </c>
      <c r="I9" s="147" t="s">
        <v>454</v>
      </c>
      <c r="J9" s="147" t="s">
        <v>454</v>
      </c>
      <c r="K9" s="148" t="s">
        <v>768</v>
      </c>
      <c r="L9" s="148" t="s">
        <v>1684</v>
      </c>
      <c r="M9" s="262"/>
      <c r="N9" s="189" t="s">
        <v>0</v>
      </c>
      <c r="O9" s="252">
        <v>26.37</v>
      </c>
      <c r="P9" s="252">
        <v>43.95</v>
      </c>
      <c r="Q9" s="179">
        <v>0</v>
      </c>
      <c r="R9" s="259">
        <f t="shared" si="0"/>
        <v>125</v>
      </c>
      <c r="S9" s="260">
        <f t="shared" si="1"/>
        <v>43.95</v>
      </c>
    </row>
    <row r="10" spans="1:20" s="7" customFormat="1" ht="12.75">
      <c r="A10" s="221" t="s">
        <v>1611</v>
      </c>
      <c r="B10" s="156" t="s">
        <v>1613</v>
      </c>
      <c r="C10" s="244" t="s">
        <v>968</v>
      </c>
      <c r="D10" s="149" t="s">
        <v>1616</v>
      </c>
      <c r="E10" s="147" t="s">
        <v>454</v>
      </c>
      <c r="F10" s="147" t="s">
        <v>454</v>
      </c>
      <c r="G10" s="147" t="s">
        <v>454</v>
      </c>
      <c r="H10" s="147" t="s">
        <v>454</v>
      </c>
      <c r="I10" s="147" t="s">
        <v>454</v>
      </c>
      <c r="J10" s="147" t="s">
        <v>454</v>
      </c>
      <c r="K10" s="148"/>
      <c r="L10" s="148"/>
      <c r="M10" s="262"/>
      <c r="N10" s="189" t="s">
        <v>10</v>
      </c>
      <c r="O10" s="252">
        <v>278.94</v>
      </c>
      <c r="P10" s="252">
        <v>465.95</v>
      </c>
      <c r="Q10" s="179">
        <v>0.4</v>
      </c>
      <c r="R10" s="259">
        <f t="shared" si="0"/>
        <v>125</v>
      </c>
      <c r="S10" s="260">
        <f t="shared" si="1"/>
        <v>515.95000000000005</v>
      </c>
    </row>
    <row r="11" spans="1:20" s="7" customFormat="1" ht="12.75">
      <c r="A11" s="221" t="s">
        <v>717</v>
      </c>
      <c r="B11" s="156" t="s">
        <v>1614</v>
      </c>
      <c r="C11" s="244" t="s">
        <v>882</v>
      </c>
      <c r="D11" s="149" t="s">
        <v>1617</v>
      </c>
      <c r="E11" s="147" t="s">
        <v>454</v>
      </c>
      <c r="F11" s="147" t="s">
        <v>454</v>
      </c>
      <c r="G11" s="147" t="s">
        <v>454</v>
      </c>
      <c r="H11" s="147" t="s">
        <v>454</v>
      </c>
      <c r="I11" s="147" t="s">
        <v>454</v>
      </c>
      <c r="J11" s="147" t="s">
        <v>454</v>
      </c>
      <c r="K11" s="148" t="s">
        <v>768</v>
      </c>
      <c r="L11" s="148"/>
      <c r="M11" s="262"/>
      <c r="N11" s="189" t="s">
        <v>10</v>
      </c>
      <c r="O11" s="252">
        <v>117</v>
      </c>
      <c r="P11" s="252">
        <v>195.95</v>
      </c>
      <c r="Q11" s="179">
        <v>0.4</v>
      </c>
      <c r="R11" s="259">
        <f t="shared" si="0"/>
        <v>125</v>
      </c>
      <c r="S11" s="260">
        <f t="shared" si="1"/>
        <v>245.95</v>
      </c>
    </row>
    <row r="12" spans="1:20" s="7" customFormat="1" ht="12.75">
      <c r="A12" s="221" t="s">
        <v>271</v>
      </c>
      <c r="B12" s="156" t="s">
        <v>272</v>
      </c>
      <c r="C12" s="244" t="s">
        <v>273</v>
      </c>
      <c r="D12" s="149"/>
      <c r="E12" s="147" t="s">
        <v>454</v>
      </c>
      <c r="F12" s="147" t="s">
        <v>454</v>
      </c>
      <c r="G12" s="147" t="s">
        <v>454</v>
      </c>
      <c r="H12" s="147" t="s">
        <v>454</v>
      </c>
      <c r="I12" s="147" t="s">
        <v>454</v>
      </c>
      <c r="J12" s="147" t="s">
        <v>454</v>
      </c>
      <c r="K12" s="148" t="s">
        <v>768</v>
      </c>
      <c r="L12" s="148" t="s">
        <v>1684</v>
      </c>
      <c r="M12" s="262"/>
      <c r="N12" s="189" t="s">
        <v>10</v>
      </c>
      <c r="O12" s="252">
        <v>172.77</v>
      </c>
      <c r="P12" s="252">
        <v>287.95</v>
      </c>
      <c r="Q12" s="179">
        <v>0.2</v>
      </c>
      <c r="R12" s="259">
        <f t="shared" si="0"/>
        <v>125</v>
      </c>
      <c r="S12" s="260">
        <f t="shared" si="1"/>
        <v>312.95</v>
      </c>
    </row>
    <row r="13" spans="1:20" s="7" customFormat="1" ht="12.75">
      <c r="A13" s="221" t="s">
        <v>267</v>
      </c>
      <c r="B13" s="156" t="s">
        <v>268</v>
      </c>
      <c r="C13" s="244" t="s">
        <v>327</v>
      </c>
      <c r="D13" s="149"/>
      <c r="E13" s="147" t="s">
        <v>454</v>
      </c>
      <c r="F13" s="147" t="s">
        <v>454</v>
      </c>
      <c r="G13" s="147" t="s">
        <v>454</v>
      </c>
      <c r="H13" s="147" t="s">
        <v>454</v>
      </c>
      <c r="I13" s="147" t="s">
        <v>454</v>
      </c>
      <c r="J13" s="147" t="s">
        <v>454</v>
      </c>
      <c r="K13" s="148" t="s">
        <v>768</v>
      </c>
      <c r="L13" s="148" t="s">
        <v>1684</v>
      </c>
      <c r="M13" s="262"/>
      <c r="N13" s="189" t="s">
        <v>10</v>
      </c>
      <c r="O13" s="252">
        <v>562.16</v>
      </c>
      <c r="P13" s="252">
        <v>936.95</v>
      </c>
      <c r="Q13" s="179">
        <v>0.6</v>
      </c>
      <c r="R13" s="259">
        <f t="shared" si="0"/>
        <v>125</v>
      </c>
      <c r="S13" s="260">
        <f t="shared" si="1"/>
        <v>1011.95</v>
      </c>
    </row>
    <row r="14" spans="1:20" s="7" customFormat="1" ht="12.75">
      <c r="A14" s="221" t="s">
        <v>1595</v>
      </c>
      <c r="B14" s="156" t="s">
        <v>1628</v>
      </c>
      <c r="C14" s="244" t="s">
        <v>363</v>
      </c>
      <c r="D14" s="149" t="s">
        <v>1673</v>
      </c>
      <c r="E14" s="147" t="s">
        <v>454</v>
      </c>
      <c r="F14" s="147" t="s">
        <v>454</v>
      </c>
      <c r="G14" s="147" t="s">
        <v>454</v>
      </c>
      <c r="H14" s="147" t="s">
        <v>454</v>
      </c>
      <c r="I14" s="147" t="s">
        <v>454</v>
      </c>
      <c r="J14" s="147" t="s">
        <v>454</v>
      </c>
      <c r="K14" s="148" t="s">
        <v>768</v>
      </c>
      <c r="L14" s="148" t="s">
        <v>1684</v>
      </c>
      <c r="M14" s="262"/>
      <c r="N14" s="189" t="s">
        <v>16</v>
      </c>
      <c r="O14" s="252">
        <v>129.35</v>
      </c>
      <c r="P14" s="252">
        <v>183.95</v>
      </c>
      <c r="Q14" s="179">
        <v>0</v>
      </c>
      <c r="R14" s="259">
        <f t="shared" si="0"/>
        <v>125</v>
      </c>
      <c r="S14" s="260">
        <f t="shared" si="1"/>
        <v>183.95</v>
      </c>
    </row>
    <row r="15" spans="1:20" s="7" customFormat="1" ht="12.75">
      <c r="A15" s="221" t="s">
        <v>60</v>
      </c>
      <c r="B15" s="156" t="s">
        <v>793</v>
      </c>
      <c r="C15" s="244" t="s">
        <v>101</v>
      </c>
      <c r="D15" s="149"/>
      <c r="E15" s="147" t="s">
        <v>454</v>
      </c>
      <c r="F15" s="147" t="s">
        <v>454</v>
      </c>
      <c r="G15" s="147" t="s">
        <v>454</v>
      </c>
      <c r="H15" s="147" t="s">
        <v>454</v>
      </c>
      <c r="I15" s="147" t="s">
        <v>454</v>
      </c>
      <c r="J15" s="147" t="s">
        <v>454</v>
      </c>
      <c r="K15" s="148" t="s">
        <v>768</v>
      </c>
      <c r="L15" s="148"/>
      <c r="M15" s="262"/>
      <c r="N15" s="189" t="s">
        <v>16</v>
      </c>
      <c r="O15" s="252">
        <v>98.85</v>
      </c>
      <c r="P15" s="252">
        <v>164.95</v>
      </c>
      <c r="Q15" s="179">
        <v>0</v>
      </c>
      <c r="R15" s="259">
        <f t="shared" si="0"/>
        <v>125</v>
      </c>
      <c r="S15" s="260">
        <f t="shared" si="1"/>
        <v>164.95</v>
      </c>
    </row>
    <row r="16" spans="1:20" s="7" customFormat="1" ht="12.75">
      <c r="A16" s="221" t="s">
        <v>62</v>
      </c>
      <c r="B16" s="156" t="s">
        <v>2042</v>
      </c>
      <c r="C16" s="244" t="s">
        <v>2043</v>
      </c>
      <c r="D16" s="149"/>
      <c r="E16" s="147" t="s">
        <v>454</v>
      </c>
      <c r="F16" s="147" t="s">
        <v>454</v>
      </c>
      <c r="G16" s="147" t="s">
        <v>454</v>
      </c>
      <c r="H16" s="147" t="s">
        <v>454</v>
      </c>
      <c r="I16" s="147" t="s">
        <v>454</v>
      </c>
      <c r="J16" s="147" t="s">
        <v>454</v>
      </c>
      <c r="K16" s="148" t="s">
        <v>768</v>
      </c>
      <c r="L16" s="148" t="s">
        <v>1684</v>
      </c>
      <c r="M16" s="262"/>
      <c r="N16" s="189" t="s">
        <v>16</v>
      </c>
      <c r="O16" s="252">
        <v>39.61</v>
      </c>
      <c r="P16" s="252">
        <v>60.95</v>
      </c>
      <c r="Q16" s="179">
        <v>0.1</v>
      </c>
      <c r="R16" s="259">
        <f t="shared" si="0"/>
        <v>125</v>
      </c>
      <c r="S16" s="260">
        <f t="shared" si="1"/>
        <v>73.45</v>
      </c>
    </row>
    <row r="17" spans="1:51" s="7" customFormat="1" ht="12.75">
      <c r="A17" s="221" t="s">
        <v>63</v>
      </c>
      <c r="B17" s="156" t="s">
        <v>923</v>
      </c>
      <c r="C17" s="244" t="s">
        <v>103</v>
      </c>
      <c r="D17" s="149"/>
      <c r="E17" s="147" t="s">
        <v>454</v>
      </c>
      <c r="F17" s="147" t="s">
        <v>454</v>
      </c>
      <c r="G17" s="147" t="s">
        <v>454</v>
      </c>
      <c r="H17" s="147" t="s">
        <v>454</v>
      </c>
      <c r="I17" s="147" t="s">
        <v>454</v>
      </c>
      <c r="J17" s="147" t="s">
        <v>454</v>
      </c>
      <c r="K17" s="148" t="s">
        <v>768</v>
      </c>
      <c r="L17" s="148" t="s">
        <v>1684</v>
      </c>
      <c r="M17" s="262"/>
      <c r="N17" s="189" t="s">
        <v>16</v>
      </c>
      <c r="O17" s="252">
        <v>34.42</v>
      </c>
      <c r="P17" s="252">
        <v>52.95</v>
      </c>
      <c r="Q17" s="179">
        <v>0</v>
      </c>
      <c r="R17" s="259">
        <f t="shared" si="0"/>
        <v>125</v>
      </c>
      <c r="S17" s="260">
        <f t="shared" si="1"/>
        <v>52.95</v>
      </c>
    </row>
    <row r="18" spans="1:51" s="7" customFormat="1" ht="12.75">
      <c r="A18" s="221" t="s">
        <v>274</v>
      </c>
      <c r="B18" s="156" t="s">
        <v>275</v>
      </c>
      <c r="C18" s="244" t="s">
        <v>297</v>
      </c>
      <c r="D18" s="149"/>
      <c r="E18" s="147" t="s">
        <v>454</v>
      </c>
      <c r="F18" s="147" t="s">
        <v>454</v>
      </c>
      <c r="G18" s="147" t="s">
        <v>454</v>
      </c>
      <c r="H18" s="147" t="s">
        <v>454</v>
      </c>
      <c r="I18" s="147" t="s">
        <v>454</v>
      </c>
      <c r="J18" s="147" t="s">
        <v>454</v>
      </c>
      <c r="K18" s="148" t="s">
        <v>768</v>
      </c>
      <c r="L18" s="148" t="s">
        <v>1684</v>
      </c>
      <c r="M18" s="262"/>
      <c r="N18" s="189" t="s">
        <v>10</v>
      </c>
      <c r="O18" s="252">
        <v>212.37</v>
      </c>
      <c r="P18" s="252">
        <v>353.95</v>
      </c>
      <c r="Q18" s="179">
        <v>0.6</v>
      </c>
      <c r="R18" s="259">
        <f t="shared" si="0"/>
        <v>125</v>
      </c>
      <c r="S18" s="260">
        <f t="shared" si="1"/>
        <v>428.95</v>
      </c>
    </row>
    <row r="19" spans="1:51" s="201" customFormat="1" ht="12.75">
      <c r="A19" s="221" t="s">
        <v>15</v>
      </c>
      <c r="B19" s="156" t="s">
        <v>32</v>
      </c>
      <c r="C19" s="244" t="s">
        <v>89</v>
      </c>
      <c r="D19" s="149"/>
      <c r="E19" s="147" t="s">
        <v>454</v>
      </c>
      <c r="F19" s="147" t="s">
        <v>454</v>
      </c>
      <c r="G19" s="147" t="s">
        <v>454</v>
      </c>
      <c r="H19" s="147" t="s">
        <v>454</v>
      </c>
      <c r="I19" s="147" t="s">
        <v>454</v>
      </c>
      <c r="J19" s="147" t="s">
        <v>454</v>
      </c>
      <c r="K19" s="148" t="s">
        <v>768</v>
      </c>
      <c r="L19" s="148"/>
      <c r="M19" s="262"/>
      <c r="N19" s="189" t="s">
        <v>0</v>
      </c>
      <c r="O19" s="252">
        <v>32.97</v>
      </c>
      <c r="P19" s="252">
        <v>54.95</v>
      </c>
      <c r="Q19" s="179">
        <v>0</v>
      </c>
      <c r="R19" s="259">
        <f t="shared" si="0"/>
        <v>125</v>
      </c>
      <c r="S19" s="260">
        <f t="shared" si="1"/>
        <v>54.95</v>
      </c>
      <c r="T19" s="7"/>
      <c r="U19" s="7"/>
      <c r="V19" s="7"/>
      <c r="W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s="201" customFormat="1" ht="12.75">
      <c r="A20" s="221" t="s">
        <v>1758</v>
      </c>
      <c r="B20" s="156" t="s">
        <v>1755</v>
      </c>
      <c r="C20" s="244" t="s">
        <v>2227</v>
      </c>
      <c r="D20" s="149" t="s">
        <v>1759</v>
      </c>
      <c r="E20" s="147" t="s">
        <v>454</v>
      </c>
      <c r="F20" s="147" t="s">
        <v>454</v>
      </c>
      <c r="G20" s="147" t="s">
        <v>454</v>
      </c>
      <c r="H20" s="147" t="s">
        <v>454</v>
      </c>
      <c r="I20" s="147" t="s">
        <v>454</v>
      </c>
      <c r="J20" s="147" t="s">
        <v>454</v>
      </c>
      <c r="K20" s="148" t="s">
        <v>768</v>
      </c>
      <c r="L20" s="148" t="s">
        <v>1684</v>
      </c>
      <c r="M20" s="262"/>
      <c r="N20" s="189" t="s">
        <v>59</v>
      </c>
      <c r="O20" s="252">
        <v>225</v>
      </c>
      <c r="P20" s="252">
        <v>319.95</v>
      </c>
      <c r="Q20" s="179">
        <v>0.7</v>
      </c>
      <c r="R20" s="259">
        <f t="shared" si="0"/>
        <v>125</v>
      </c>
      <c r="S20" s="260">
        <f t="shared" si="1"/>
        <v>407.45</v>
      </c>
      <c r="T20" s="7"/>
      <c r="U20" s="7"/>
      <c r="V20" s="7"/>
      <c r="W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s="201" customFormat="1" ht="12.75">
      <c r="A21" s="170" t="s">
        <v>2187</v>
      </c>
      <c r="B21" s="171" t="s">
        <v>2213</v>
      </c>
      <c r="C21" s="209" t="s">
        <v>2220</v>
      </c>
      <c r="D21" s="182" t="s">
        <v>2188</v>
      </c>
      <c r="E21" s="180" t="s">
        <v>454</v>
      </c>
      <c r="F21" s="180" t="s">
        <v>454</v>
      </c>
      <c r="G21" s="180" t="s">
        <v>454</v>
      </c>
      <c r="H21" s="180" t="s">
        <v>454</v>
      </c>
      <c r="I21" s="180" t="s">
        <v>454</v>
      </c>
      <c r="J21" s="180" t="s">
        <v>454</v>
      </c>
      <c r="K21" s="180"/>
      <c r="L21" s="180"/>
      <c r="M21" s="243"/>
      <c r="N21" s="210" t="s">
        <v>59</v>
      </c>
      <c r="O21" s="211">
        <v>489.99</v>
      </c>
      <c r="P21" s="211">
        <v>699.95</v>
      </c>
      <c r="Q21" s="212">
        <v>0.7</v>
      </c>
      <c r="R21" s="214">
        <f t="shared" si="0"/>
        <v>125</v>
      </c>
      <c r="S21" s="215">
        <f t="shared" si="1"/>
        <v>787.45</v>
      </c>
      <c r="T21" s="7"/>
      <c r="U21" s="7"/>
      <c r="V21" s="7"/>
      <c r="W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s="201" customFormat="1" ht="12.75">
      <c r="A22" s="221" t="s">
        <v>1757</v>
      </c>
      <c r="B22" s="156" t="s">
        <v>1756</v>
      </c>
      <c r="C22" s="244" t="s">
        <v>2228</v>
      </c>
      <c r="D22" s="149" t="s">
        <v>1759</v>
      </c>
      <c r="E22" s="147" t="s">
        <v>454</v>
      </c>
      <c r="F22" s="147" t="s">
        <v>454</v>
      </c>
      <c r="G22" s="147" t="s">
        <v>454</v>
      </c>
      <c r="H22" s="147" t="s">
        <v>454</v>
      </c>
      <c r="I22" s="147" t="s">
        <v>454</v>
      </c>
      <c r="J22" s="147" t="s">
        <v>454</v>
      </c>
      <c r="K22" s="148" t="s">
        <v>768</v>
      </c>
      <c r="L22" s="148" t="s">
        <v>1684</v>
      </c>
      <c r="M22" s="262"/>
      <c r="N22" s="189" t="s">
        <v>59</v>
      </c>
      <c r="O22" s="252">
        <v>598</v>
      </c>
      <c r="P22" s="252">
        <v>849.95</v>
      </c>
      <c r="Q22" s="179">
        <v>0.7</v>
      </c>
      <c r="R22" s="259">
        <f t="shared" si="0"/>
        <v>125</v>
      </c>
      <c r="S22" s="260">
        <f t="shared" si="1"/>
        <v>937.45</v>
      </c>
      <c r="T22" s="7"/>
      <c r="U22" s="7"/>
      <c r="V22" s="7"/>
      <c r="W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s="201" customFormat="1" ht="12.75">
      <c r="A23" s="221" t="s">
        <v>1037</v>
      </c>
      <c r="B23" s="156" t="s">
        <v>1612</v>
      </c>
      <c r="C23" s="244" t="s">
        <v>900</v>
      </c>
      <c r="D23" s="149" t="s">
        <v>1615</v>
      </c>
      <c r="E23" s="147" t="s">
        <v>454</v>
      </c>
      <c r="F23" s="147" t="s">
        <v>454</v>
      </c>
      <c r="G23" s="147" t="s">
        <v>454</v>
      </c>
      <c r="H23" s="147" t="s">
        <v>454</v>
      </c>
      <c r="I23" s="147" t="s">
        <v>454</v>
      </c>
      <c r="J23" s="147" t="s">
        <v>454</v>
      </c>
      <c r="K23" s="148"/>
      <c r="L23" s="148" t="s">
        <v>1684</v>
      </c>
      <c r="M23" s="262"/>
      <c r="N23" s="189" t="s">
        <v>10</v>
      </c>
      <c r="O23" s="252">
        <v>186.57</v>
      </c>
      <c r="P23" s="252">
        <v>310.95</v>
      </c>
      <c r="Q23" s="179">
        <v>0.2</v>
      </c>
      <c r="R23" s="259">
        <f t="shared" si="0"/>
        <v>125</v>
      </c>
      <c r="S23" s="260">
        <f t="shared" si="1"/>
        <v>335.95</v>
      </c>
      <c r="T23" s="7"/>
      <c r="U23" s="7"/>
      <c r="V23" s="7"/>
      <c r="W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s="7" customFormat="1" ht="12.75">
      <c r="A24" s="221" t="s">
        <v>12</v>
      </c>
      <c r="B24" s="156" t="s">
        <v>132</v>
      </c>
      <c r="C24" s="244" t="s">
        <v>107</v>
      </c>
      <c r="D24" s="149" t="s">
        <v>137</v>
      </c>
      <c r="E24" s="147" t="s">
        <v>454</v>
      </c>
      <c r="F24" s="147" t="s">
        <v>454</v>
      </c>
      <c r="G24" s="147" t="s">
        <v>454</v>
      </c>
      <c r="H24" s="147" t="s">
        <v>454</v>
      </c>
      <c r="I24" s="147" t="s">
        <v>454</v>
      </c>
      <c r="J24" s="147" t="s">
        <v>454</v>
      </c>
      <c r="K24" s="148" t="s">
        <v>768</v>
      </c>
      <c r="L24" s="148" t="s">
        <v>1684</v>
      </c>
      <c r="M24" s="262"/>
      <c r="N24" s="189" t="s">
        <v>10</v>
      </c>
      <c r="O24" s="252">
        <v>194.97</v>
      </c>
      <c r="P24" s="252">
        <v>324.95</v>
      </c>
      <c r="Q24" s="179">
        <v>0.2</v>
      </c>
      <c r="R24" s="259">
        <f t="shared" si="0"/>
        <v>125</v>
      </c>
      <c r="S24" s="260">
        <f t="shared" si="1"/>
        <v>349.95</v>
      </c>
    </row>
    <row r="25" spans="1:51" s="7" customFormat="1" ht="12.75">
      <c r="A25" s="221" t="s">
        <v>11</v>
      </c>
      <c r="B25" s="156" t="s">
        <v>138</v>
      </c>
      <c r="C25" s="244" t="s">
        <v>107</v>
      </c>
      <c r="D25" s="149" t="s">
        <v>204</v>
      </c>
      <c r="E25" s="147" t="s">
        <v>454</v>
      </c>
      <c r="F25" s="147" t="s">
        <v>454</v>
      </c>
      <c r="G25" s="147" t="s">
        <v>454</v>
      </c>
      <c r="H25" s="147" t="s">
        <v>454</v>
      </c>
      <c r="I25" s="147" t="s">
        <v>454</v>
      </c>
      <c r="J25" s="147" t="s">
        <v>454</v>
      </c>
      <c r="K25" s="148" t="s">
        <v>768</v>
      </c>
      <c r="L25" s="148" t="s">
        <v>1684</v>
      </c>
      <c r="M25" s="262"/>
      <c r="N25" s="189" t="s">
        <v>10</v>
      </c>
      <c r="O25" s="252">
        <v>194.97</v>
      </c>
      <c r="P25" s="252">
        <v>324.95</v>
      </c>
      <c r="Q25" s="179">
        <v>0.2</v>
      </c>
      <c r="R25" s="259">
        <f t="shared" si="0"/>
        <v>125</v>
      </c>
      <c r="S25" s="260">
        <f t="shared" si="1"/>
        <v>349.95</v>
      </c>
    </row>
    <row r="26" spans="1:51" s="7" customFormat="1" ht="12.75">
      <c r="A26" s="221" t="s">
        <v>21</v>
      </c>
      <c r="B26" s="156" t="s">
        <v>27</v>
      </c>
      <c r="C26" s="244" t="s">
        <v>105</v>
      </c>
      <c r="D26" s="149" t="s">
        <v>128</v>
      </c>
      <c r="E26" s="147" t="s">
        <v>454</v>
      </c>
      <c r="F26" s="147" t="s">
        <v>454</v>
      </c>
      <c r="G26" s="147" t="s">
        <v>454</v>
      </c>
      <c r="H26" s="147" t="s">
        <v>454</v>
      </c>
      <c r="I26" s="147" t="s">
        <v>454</v>
      </c>
      <c r="J26" s="147" t="s">
        <v>454</v>
      </c>
      <c r="K26" s="148"/>
      <c r="L26" s="148"/>
      <c r="M26" s="262"/>
      <c r="N26" s="189" t="s">
        <v>4</v>
      </c>
      <c r="O26" s="252">
        <v>77</v>
      </c>
      <c r="P26" s="252">
        <v>128.94999999999999</v>
      </c>
      <c r="Q26" s="179">
        <v>0.5</v>
      </c>
      <c r="R26" s="259">
        <f t="shared" si="0"/>
        <v>125</v>
      </c>
      <c r="S26" s="260">
        <f t="shared" si="1"/>
        <v>191.45</v>
      </c>
    </row>
    <row r="27" spans="1:51" s="201" customFormat="1" ht="12.75">
      <c r="A27" s="221" t="s">
        <v>655</v>
      </c>
      <c r="B27" s="156" t="s">
        <v>2044</v>
      </c>
      <c r="C27" s="244" t="s">
        <v>2045</v>
      </c>
      <c r="D27" s="149" t="s">
        <v>1632</v>
      </c>
      <c r="E27" s="147" t="s">
        <v>454</v>
      </c>
      <c r="F27" s="147" t="s">
        <v>454</v>
      </c>
      <c r="G27" s="147" t="s">
        <v>454</v>
      </c>
      <c r="H27" s="147" t="s">
        <v>454</v>
      </c>
      <c r="I27" s="147" t="s">
        <v>454</v>
      </c>
      <c r="J27" s="147" t="s">
        <v>454</v>
      </c>
      <c r="K27" s="148"/>
      <c r="L27" s="148" t="s">
        <v>1684</v>
      </c>
      <c r="M27" s="262"/>
      <c r="N27" s="189" t="s">
        <v>0</v>
      </c>
      <c r="O27" s="252">
        <v>64.17</v>
      </c>
      <c r="P27" s="252">
        <v>106.95</v>
      </c>
      <c r="Q27" s="179">
        <v>0</v>
      </c>
      <c r="R27" s="259">
        <f t="shared" si="0"/>
        <v>125</v>
      </c>
      <c r="S27" s="260">
        <f t="shared" si="1"/>
        <v>106.95</v>
      </c>
      <c r="T27" s="7"/>
      <c r="U27" s="7"/>
      <c r="V27" s="7"/>
      <c r="W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s="201" customFormat="1" ht="12.75">
      <c r="A28" s="221" t="s">
        <v>175</v>
      </c>
      <c r="B28" s="156" t="s">
        <v>646</v>
      </c>
      <c r="C28" s="244" t="s">
        <v>878</v>
      </c>
      <c r="D28" s="149" t="s">
        <v>1705</v>
      </c>
      <c r="E28" s="147" t="s">
        <v>454</v>
      </c>
      <c r="F28" s="147" t="s">
        <v>454</v>
      </c>
      <c r="G28" s="147" t="s">
        <v>454</v>
      </c>
      <c r="H28" s="147" t="s">
        <v>454</v>
      </c>
      <c r="I28" s="147" t="s">
        <v>454</v>
      </c>
      <c r="J28" s="147" t="s">
        <v>454</v>
      </c>
      <c r="K28" s="148" t="s">
        <v>768</v>
      </c>
      <c r="L28" s="148"/>
      <c r="M28" s="262"/>
      <c r="N28" s="189" t="s">
        <v>16</v>
      </c>
      <c r="O28" s="252">
        <v>70</v>
      </c>
      <c r="P28" s="252">
        <v>99.95</v>
      </c>
      <c r="Q28" s="179">
        <v>0</v>
      </c>
      <c r="R28" s="259">
        <f t="shared" si="0"/>
        <v>125</v>
      </c>
      <c r="S28" s="260">
        <f t="shared" si="1"/>
        <v>99.95</v>
      </c>
      <c r="T28" s="7"/>
      <c r="U28" s="7"/>
      <c r="V28" s="7"/>
      <c r="W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s="201" customFormat="1" ht="12.75">
      <c r="A29" s="221" t="s">
        <v>176</v>
      </c>
      <c r="B29" s="156" t="s">
        <v>647</v>
      </c>
      <c r="C29" s="244" t="s">
        <v>879</v>
      </c>
      <c r="D29" s="149" t="s">
        <v>1705</v>
      </c>
      <c r="E29" s="147" t="s">
        <v>454</v>
      </c>
      <c r="F29" s="147" t="s">
        <v>454</v>
      </c>
      <c r="G29" s="147" t="s">
        <v>454</v>
      </c>
      <c r="H29" s="147" t="s">
        <v>454</v>
      </c>
      <c r="I29" s="147" t="s">
        <v>454</v>
      </c>
      <c r="J29" s="147" t="s">
        <v>454</v>
      </c>
      <c r="K29" s="148" t="s">
        <v>768</v>
      </c>
      <c r="L29" s="148"/>
      <c r="M29" s="262"/>
      <c r="N29" s="189" t="s">
        <v>16</v>
      </c>
      <c r="O29" s="252">
        <v>70</v>
      </c>
      <c r="P29" s="252">
        <v>99.95</v>
      </c>
      <c r="Q29" s="179">
        <v>0</v>
      </c>
      <c r="R29" s="259">
        <f t="shared" si="0"/>
        <v>125</v>
      </c>
      <c r="S29" s="260">
        <f t="shared" si="1"/>
        <v>99.95</v>
      </c>
      <c r="T29" s="7"/>
      <c r="U29" s="7"/>
      <c r="V29" s="7"/>
      <c r="W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s="201" customFormat="1" ht="12.75">
      <c r="A30" s="221" t="s">
        <v>177</v>
      </c>
      <c r="B30" s="156" t="s">
        <v>648</v>
      </c>
      <c r="C30" s="244" t="s">
        <v>880</v>
      </c>
      <c r="D30" s="149" t="s">
        <v>1705</v>
      </c>
      <c r="E30" s="147" t="s">
        <v>454</v>
      </c>
      <c r="F30" s="147" t="s">
        <v>454</v>
      </c>
      <c r="G30" s="147" t="s">
        <v>454</v>
      </c>
      <c r="H30" s="147" t="s">
        <v>454</v>
      </c>
      <c r="I30" s="147" t="s">
        <v>454</v>
      </c>
      <c r="J30" s="147" t="s">
        <v>454</v>
      </c>
      <c r="K30" s="148" t="s">
        <v>768</v>
      </c>
      <c r="L30" s="148"/>
      <c r="M30" s="262"/>
      <c r="N30" s="189" t="s">
        <v>16</v>
      </c>
      <c r="O30" s="252">
        <v>49</v>
      </c>
      <c r="P30" s="252">
        <v>69.95</v>
      </c>
      <c r="Q30" s="179">
        <v>0</v>
      </c>
      <c r="R30" s="259">
        <f t="shared" si="0"/>
        <v>125</v>
      </c>
      <c r="S30" s="260">
        <f t="shared" si="1"/>
        <v>69.95</v>
      </c>
      <c r="T30" s="7"/>
      <c r="U30" s="7"/>
      <c r="V30" s="7"/>
      <c r="W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s="201" customFormat="1" ht="12.75">
      <c r="A31" s="221" t="s">
        <v>221</v>
      </c>
      <c r="B31" s="156" t="s">
        <v>554</v>
      </c>
      <c r="C31" s="244" t="s">
        <v>1079</v>
      </c>
      <c r="D31" s="149" t="s">
        <v>1711</v>
      </c>
      <c r="E31" s="147" t="s">
        <v>454</v>
      </c>
      <c r="F31" s="147" t="s">
        <v>454</v>
      </c>
      <c r="G31" s="147" t="s">
        <v>454</v>
      </c>
      <c r="H31" s="147" t="s">
        <v>454</v>
      </c>
      <c r="I31" s="147" t="s">
        <v>454</v>
      </c>
      <c r="J31" s="147" t="s">
        <v>454</v>
      </c>
      <c r="K31" s="148" t="s">
        <v>768</v>
      </c>
      <c r="L31" s="148" t="s">
        <v>1684</v>
      </c>
      <c r="M31" s="262"/>
      <c r="N31" s="189" t="s">
        <v>10</v>
      </c>
      <c r="O31" s="252">
        <v>160.77000000000001</v>
      </c>
      <c r="P31" s="252">
        <v>267.95</v>
      </c>
      <c r="Q31" s="179">
        <v>0.5</v>
      </c>
      <c r="R31" s="259">
        <f t="shared" si="0"/>
        <v>125</v>
      </c>
      <c r="S31" s="260">
        <f t="shared" si="1"/>
        <v>330.45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s="201" customFormat="1" ht="12.75">
      <c r="A32" s="221" t="s">
        <v>561</v>
      </c>
      <c r="B32" s="156" t="s">
        <v>563</v>
      </c>
      <c r="C32" s="244" t="s">
        <v>566</v>
      </c>
      <c r="D32" s="147" t="s">
        <v>1829</v>
      </c>
      <c r="E32" s="147" t="s">
        <v>454</v>
      </c>
      <c r="F32" s="147" t="s">
        <v>454</v>
      </c>
      <c r="G32" s="147" t="s">
        <v>454</v>
      </c>
      <c r="H32" s="147" t="s">
        <v>454</v>
      </c>
      <c r="I32" s="147" t="s">
        <v>454</v>
      </c>
      <c r="J32" s="147" t="s">
        <v>454</v>
      </c>
      <c r="K32" s="148" t="s">
        <v>768</v>
      </c>
      <c r="L32" s="148"/>
      <c r="M32" s="262"/>
      <c r="N32" s="189" t="s">
        <v>10</v>
      </c>
      <c r="O32" s="252">
        <v>14.77</v>
      </c>
      <c r="P32" s="252">
        <v>39.950000000000003</v>
      </c>
      <c r="Q32" s="179">
        <v>0</v>
      </c>
      <c r="R32" s="259">
        <f t="shared" si="0"/>
        <v>125</v>
      </c>
      <c r="S32" s="260">
        <v>49.95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s="201" customFormat="1" ht="12.75">
      <c r="A33" s="221" t="s">
        <v>1046</v>
      </c>
      <c r="B33" s="156" t="s">
        <v>1047</v>
      </c>
      <c r="C33" s="244" t="s">
        <v>1050</v>
      </c>
      <c r="D33" s="147" t="s">
        <v>1829</v>
      </c>
      <c r="E33" s="147" t="s">
        <v>454</v>
      </c>
      <c r="F33" s="147" t="s">
        <v>454</v>
      </c>
      <c r="G33" s="147" t="s">
        <v>454</v>
      </c>
      <c r="H33" s="147" t="s">
        <v>454</v>
      </c>
      <c r="I33" s="147" t="s">
        <v>454</v>
      </c>
      <c r="J33" s="147" t="s">
        <v>454</v>
      </c>
      <c r="K33" s="148" t="s">
        <v>768</v>
      </c>
      <c r="L33" s="148"/>
      <c r="M33" s="262"/>
      <c r="N33" s="189" t="s">
        <v>10</v>
      </c>
      <c r="O33" s="252">
        <v>18.5</v>
      </c>
      <c r="P33" s="252">
        <v>0</v>
      </c>
      <c r="Q33" s="179">
        <v>0</v>
      </c>
      <c r="R33" s="259">
        <f t="shared" si="0"/>
        <v>125</v>
      </c>
      <c r="S33" s="260">
        <v>49.95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s="201" customFormat="1" ht="12.75">
      <c r="A34" s="221" t="s">
        <v>1048</v>
      </c>
      <c r="B34" s="156" t="s">
        <v>1049</v>
      </c>
      <c r="C34" s="244" t="s">
        <v>1051</v>
      </c>
      <c r="D34" s="147" t="s">
        <v>1829</v>
      </c>
      <c r="E34" s="147" t="s">
        <v>454</v>
      </c>
      <c r="F34" s="147" t="s">
        <v>454</v>
      </c>
      <c r="G34" s="147" t="s">
        <v>454</v>
      </c>
      <c r="H34" s="147" t="s">
        <v>454</v>
      </c>
      <c r="I34" s="147" t="s">
        <v>454</v>
      </c>
      <c r="J34" s="147" t="s">
        <v>454</v>
      </c>
      <c r="K34" s="148" t="s">
        <v>768</v>
      </c>
      <c r="L34" s="148"/>
      <c r="M34" s="262"/>
      <c r="N34" s="189" t="s">
        <v>10</v>
      </c>
      <c r="O34" s="252">
        <v>14.25</v>
      </c>
      <c r="P34" s="252">
        <v>0</v>
      </c>
      <c r="Q34" s="179">
        <v>0</v>
      </c>
      <c r="R34" s="259">
        <f t="shared" si="0"/>
        <v>125</v>
      </c>
      <c r="S34" s="260">
        <v>49.95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s="201" customFormat="1" ht="12.75">
      <c r="A35" s="221" t="s">
        <v>562</v>
      </c>
      <c r="B35" s="156" t="s">
        <v>565</v>
      </c>
      <c r="C35" s="244" t="s">
        <v>568</v>
      </c>
      <c r="D35" s="147" t="s">
        <v>1829</v>
      </c>
      <c r="E35" s="147" t="s">
        <v>454</v>
      </c>
      <c r="F35" s="147" t="s">
        <v>454</v>
      </c>
      <c r="G35" s="147" t="s">
        <v>454</v>
      </c>
      <c r="H35" s="147" t="s">
        <v>454</v>
      </c>
      <c r="I35" s="147" t="s">
        <v>454</v>
      </c>
      <c r="J35" s="147" t="s">
        <v>454</v>
      </c>
      <c r="K35" s="148" t="s">
        <v>768</v>
      </c>
      <c r="L35" s="148"/>
      <c r="M35" s="262"/>
      <c r="N35" s="189" t="s">
        <v>10</v>
      </c>
      <c r="O35" s="252">
        <v>18.09</v>
      </c>
      <c r="P35" s="252">
        <v>0</v>
      </c>
      <c r="Q35" s="179">
        <v>0</v>
      </c>
      <c r="R35" s="259">
        <f t="shared" si="0"/>
        <v>125</v>
      </c>
      <c r="S35" s="260">
        <f>Q35*R35+P35</f>
        <v>0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s="7" customFormat="1" ht="12.75">
      <c r="A36" s="221" t="s">
        <v>560</v>
      </c>
      <c r="B36" s="156" t="s">
        <v>885</v>
      </c>
      <c r="C36" s="244" t="s">
        <v>905</v>
      </c>
      <c r="D36" s="147" t="s">
        <v>1829</v>
      </c>
      <c r="E36" s="147" t="s">
        <v>454</v>
      </c>
      <c r="F36" s="147" t="s">
        <v>454</v>
      </c>
      <c r="G36" s="147" t="s">
        <v>454</v>
      </c>
      <c r="H36" s="147" t="s">
        <v>454</v>
      </c>
      <c r="I36" s="147" t="s">
        <v>454</v>
      </c>
      <c r="J36" s="147" t="s">
        <v>454</v>
      </c>
      <c r="K36" s="148" t="s">
        <v>768</v>
      </c>
      <c r="L36" s="148"/>
      <c r="M36" s="262"/>
      <c r="N36" s="189" t="s">
        <v>10</v>
      </c>
      <c r="O36" s="252">
        <v>16.45</v>
      </c>
      <c r="P36" s="252">
        <v>39.950000000000003</v>
      </c>
      <c r="Q36" s="179">
        <v>0</v>
      </c>
      <c r="R36" s="259">
        <f t="shared" si="0"/>
        <v>125</v>
      </c>
      <c r="S36" s="260">
        <v>49.95</v>
      </c>
    </row>
    <row r="37" spans="1:51" s="7" customFormat="1" ht="12.75">
      <c r="A37" s="221" t="s">
        <v>570</v>
      </c>
      <c r="B37" s="156" t="s">
        <v>564</v>
      </c>
      <c r="C37" s="244" t="s">
        <v>567</v>
      </c>
      <c r="D37" s="147" t="s">
        <v>1829</v>
      </c>
      <c r="E37" s="147" t="s">
        <v>454</v>
      </c>
      <c r="F37" s="147" t="s">
        <v>454</v>
      </c>
      <c r="G37" s="147" t="s">
        <v>454</v>
      </c>
      <c r="H37" s="147" t="s">
        <v>454</v>
      </c>
      <c r="I37" s="147" t="s">
        <v>454</v>
      </c>
      <c r="J37" s="147" t="s">
        <v>454</v>
      </c>
      <c r="K37" s="148" t="s">
        <v>768</v>
      </c>
      <c r="L37" s="148"/>
      <c r="M37" s="262"/>
      <c r="N37" s="189" t="s">
        <v>10</v>
      </c>
      <c r="O37" s="252">
        <v>99.95</v>
      </c>
      <c r="P37" s="252">
        <v>39.950000000000003</v>
      </c>
      <c r="Q37" s="179">
        <v>0</v>
      </c>
      <c r="R37" s="259">
        <f t="shared" si="0"/>
        <v>125</v>
      </c>
      <c r="S37" s="260">
        <v>49.95</v>
      </c>
    </row>
    <row r="38" spans="1:51" s="7" customFormat="1" ht="12.75">
      <c r="A38" s="221" t="s">
        <v>75</v>
      </c>
      <c r="B38" s="156" t="s">
        <v>198</v>
      </c>
      <c r="C38" s="244" t="s">
        <v>90</v>
      </c>
      <c r="D38" s="149"/>
      <c r="E38" s="147" t="s">
        <v>454</v>
      </c>
      <c r="F38" s="147" t="s">
        <v>454</v>
      </c>
      <c r="G38" s="147" t="s">
        <v>454</v>
      </c>
      <c r="H38" s="147" t="s">
        <v>454</v>
      </c>
      <c r="I38" s="147" t="s">
        <v>454</v>
      </c>
      <c r="J38" s="147" t="s">
        <v>454</v>
      </c>
      <c r="K38" s="148" t="s">
        <v>768</v>
      </c>
      <c r="L38" s="148" t="s">
        <v>1684</v>
      </c>
      <c r="M38" s="262"/>
      <c r="N38" s="189" t="s">
        <v>59</v>
      </c>
      <c r="O38" s="252">
        <v>116.97</v>
      </c>
      <c r="P38" s="252">
        <v>194.95</v>
      </c>
      <c r="Q38" s="179">
        <v>1.5</v>
      </c>
      <c r="R38" s="259">
        <f t="shared" si="0"/>
        <v>125</v>
      </c>
      <c r="S38" s="260">
        <f t="shared" ref="S38:S101" si="2">Q38*R38+P38</f>
        <v>382.45</v>
      </c>
    </row>
    <row r="39" spans="1:51" s="7" customFormat="1" ht="12.75">
      <c r="A39" s="221" t="s">
        <v>19</v>
      </c>
      <c r="B39" s="156" t="s">
        <v>133</v>
      </c>
      <c r="C39" s="244" t="s">
        <v>108</v>
      </c>
      <c r="D39" s="149"/>
      <c r="E39" s="147" t="s">
        <v>454</v>
      </c>
      <c r="F39" s="147" t="s">
        <v>454</v>
      </c>
      <c r="G39" s="147" t="s">
        <v>454</v>
      </c>
      <c r="H39" s="147" t="s">
        <v>454</v>
      </c>
      <c r="I39" s="147" t="s">
        <v>454</v>
      </c>
      <c r="J39" s="147" t="s">
        <v>454</v>
      </c>
      <c r="K39" s="148" t="s">
        <v>768</v>
      </c>
      <c r="L39" s="148" t="s">
        <v>1684</v>
      </c>
      <c r="M39" s="262"/>
      <c r="N39" s="189" t="s">
        <v>59</v>
      </c>
      <c r="O39" s="252">
        <v>64.17</v>
      </c>
      <c r="P39" s="252">
        <v>106.95</v>
      </c>
      <c r="Q39" s="179">
        <v>1.5</v>
      </c>
      <c r="R39" s="259">
        <f t="shared" si="0"/>
        <v>125</v>
      </c>
      <c r="S39" s="260">
        <f t="shared" si="2"/>
        <v>294.45</v>
      </c>
    </row>
    <row r="40" spans="1:51" s="7" customFormat="1" ht="12.75">
      <c r="A40" s="221" t="s">
        <v>76</v>
      </c>
      <c r="B40" s="156" t="s">
        <v>199</v>
      </c>
      <c r="C40" s="244" t="s">
        <v>1762</v>
      </c>
      <c r="D40" s="149"/>
      <c r="E40" s="147" t="s">
        <v>454</v>
      </c>
      <c r="F40" s="147" t="s">
        <v>454</v>
      </c>
      <c r="G40" s="147" t="s">
        <v>454</v>
      </c>
      <c r="H40" s="147" t="s">
        <v>454</v>
      </c>
      <c r="I40" s="147" t="s">
        <v>454</v>
      </c>
      <c r="J40" s="147" t="s">
        <v>454</v>
      </c>
      <c r="K40" s="148" t="s">
        <v>768</v>
      </c>
      <c r="L40" s="148" t="s">
        <v>1684</v>
      </c>
      <c r="M40" s="262"/>
      <c r="N40" s="189" t="s">
        <v>59</v>
      </c>
      <c r="O40" s="252">
        <v>77.37</v>
      </c>
      <c r="P40" s="252">
        <v>128.94999999999999</v>
      </c>
      <c r="Q40" s="179">
        <v>0.7</v>
      </c>
      <c r="R40" s="259">
        <f t="shared" si="0"/>
        <v>125</v>
      </c>
      <c r="S40" s="260">
        <f t="shared" si="2"/>
        <v>216.45</v>
      </c>
    </row>
    <row r="41" spans="1:51" s="7" customFormat="1" ht="12.75">
      <c r="A41" s="221" t="s">
        <v>726</v>
      </c>
      <c r="B41" s="156" t="s">
        <v>886</v>
      </c>
      <c r="C41" s="244" t="s">
        <v>110</v>
      </c>
      <c r="D41" s="149" t="s">
        <v>128</v>
      </c>
      <c r="E41" s="147" t="s">
        <v>454</v>
      </c>
      <c r="F41" s="147" t="s">
        <v>454</v>
      </c>
      <c r="G41" s="147" t="s">
        <v>454</v>
      </c>
      <c r="H41" s="147" t="s">
        <v>454</v>
      </c>
      <c r="I41" s="147" t="s">
        <v>454</v>
      </c>
      <c r="J41" s="147" t="s">
        <v>454</v>
      </c>
      <c r="K41" s="148" t="s">
        <v>768</v>
      </c>
      <c r="L41" s="148"/>
      <c r="M41" s="262"/>
      <c r="N41" s="189" t="s">
        <v>16</v>
      </c>
      <c r="O41" s="252">
        <v>54.21</v>
      </c>
      <c r="P41" s="252">
        <v>99.95</v>
      </c>
      <c r="Q41" s="179">
        <v>0.1</v>
      </c>
      <c r="R41" s="259">
        <f t="shared" si="0"/>
        <v>125</v>
      </c>
      <c r="S41" s="260">
        <f t="shared" si="2"/>
        <v>112.45</v>
      </c>
    </row>
    <row r="42" spans="1:51" s="7" customFormat="1" ht="12.75">
      <c r="A42" s="221" t="s">
        <v>114</v>
      </c>
      <c r="B42" s="156" t="s">
        <v>915</v>
      </c>
      <c r="C42" s="244" t="s">
        <v>917</v>
      </c>
      <c r="D42" s="149" t="s">
        <v>1714</v>
      </c>
      <c r="E42" s="147" t="s">
        <v>454</v>
      </c>
      <c r="F42" s="147" t="s">
        <v>454</v>
      </c>
      <c r="G42" s="147" t="s">
        <v>454</v>
      </c>
      <c r="H42" s="147" t="s">
        <v>454</v>
      </c>
      <c r="I42" s="147" t="s">
        <v>454</v>
      </c>
      <c r="J42" s="147" t="s">
        <v>454</v>
      </c>
      <c r="K42" s="148" t="s">
        <v>768</v>
      </c>
      <c r="L42" s="148" t="s">
        <v>1684</v>
      </c>
      <c r="M42" s="262"/>
      <c r="N42" s="189" t="s">
        <v>10</v>
      </c>
      <c r="O42" s="252">
        <v>52.77</v>
      </c>
      <c r="P42" s="252">
        <v>87.95</v>
      </c>
      <c r="Q42" s="179">
        <v>0.4</v>
      </c>
      <c r="R42" s="259">
        <f t="shared" si="0"/>
        <v>125</v>
      </c>
      <c r="S42" s="260">
        <f t="shared" si="2"/>
        <v>137.94999999999999</v>
      </c>
    </row>
    <row r="43" spans="1:51" s="7" customFormat="1" ht="12.75">
      <c r="A43" s="221" t="s">
        <v>226</v>
      </c>
      <c r="B43" s="156" t="s">
        <v>916</v>
      </c>
      <c r="C43" s="244" t="s">
        <v>918</v>
      </c>
      <c r="D43" s="149" t="s">
        <v>1714</v>
      </c>
      <c r="E43" s="147" t="s">
        <v>454</v>
      </c>
      <c r="F43" s="147" t="s">
        <v>454</v>
      </c>
      <c r="G43" s="147" t="s">
        <v>454</v>
      </c>
      <c r="H43" s="147" t="s">
        <v>454</v>
      </c>
      <c r="I43" s="147" t="s">
        <v>454</v>
      </c>
      <c r="J43" s="147" t="s">
        <v>454</v>
      </c>
      <c r="K43" s="148" t="s">
        <v>768</v>
      </c>
      <c r="L43" s="148" t="s">
        <v>1684</v>
      </c>
      <c r="M43" s="262"/>
      <c r="N43" s="189" t="s">
        <v>10</v>
      </c>
      <c r="O43" s="252">
        <v>65.37</v>
      </c>
      <c r="P43" s="252">
        <v>108.95</v>
      </c>
      <c r="Q43" s="179">
        <v>0.4</v>
      </c>
      <c r="R43" s="259">
        <f t="shared" si="0"/>
        <v>125</v>
      </c>
      <c r="S43" s="260">
        <f t="shared" si="2"/>
        <v>158.94999999999999</v>
      </c>
    </row>
    <row r="44" spans="1:51" s="7" customFormat="1" ht="12.75">
      <c r="A44" s="221" t="s">
        <v>872</v>
      </c>
      <c r="B44" s="156" t="s">
        <v>873</v>
      </c>
      <c r="C44" s="244" t="s">
        <v>875</v>
      </c>
      <c r="D44" s="149" t="s">
        <v>1844</v>
      </c>
      <c r="E44" s="147" t="s">
        <v>454</v>
      </c>
      <c r="F44" s="147" t="s">
        <v>454</v>
      </c>
      <c r="G44" s="147" t="s">
        <v>454</v>
      </c>
      <c r="H44" s="147" t="s">
        <v>454</v>
      </c>
      <c r="I44" s="147" t="s">
        <v>454</v>
      </c>
      <c r="J44" s="147" t="s">
        <v>454</v>
      </c>
      <c r="K44" s="148"/>
      <c r="L44" s="148"/>
      <c r="M44" s="262"/>
      <c r="N44" s="189" t="s">
        <v>59</v>
      </c>
      <c r="O44" s="252">
        <v>84</v>
      </c>
      <c r="P44" s="252">
        <v>119.95</v>
      </c>
      <c r="Q44" s="179">
        <v>0</v>
      </c>
      <c r="R44" s="259">
        <f t="shared" si="0"/>
        <v>125</v>
      </c>
      <c r="S44" s="260">
        <f t="shared" si="2"/>
        <v>119.95</v>
      </c>
    </row>
    <row r="45" spans="1:51" s="201" customFormat="1" ht="12.75">
      <c r="A45" s="221" t="s">
        <v>241</v>
      </c>
      <c r="B45" s="156" t="s">
        <v>30</v>
      </c>
      <c r="C45" s="244" t="s">
        <v>336</v>
      </c>
      <c r="D45" s="149"/>
      <c r="E45" s="147" t="s">
        <v>454</v>
      </c>
      <c r="F45" s="147" t="s">
        <v>454</v>
      </c>
      <c r="G45" s="147" t="s">
        <v>454</v>
      </c>
      <c r="H45" s="147" t="s">
        <v>454</v>
      </c>
      <c r="I45" s="147" t="s">
        <v>454</v>
      </c>
      <c r="J45" s="147" t="s">
        <v>454</v>
      </c>
      <c r="K45" s="148" t="s">
        <v>768</v>
      </c>
      <c r="L45" s="148" t="s">
        <v>1684</v>
      </c>
      <c r="M45" s="262"/>
      <c r="N45" s="189" t="s">
        <v>10</v>
      </c>
      <c r="O45" s="252">
        <v>112.77</v>
      </c>
      <c r="P45" s="252">
        <v>187.95</v>
      </c>
      <c r="Q45" s="179">
        <v>0.4</v>
      </c>
      <c r="R45" s="259">
        <f t="shared" si="0"/>
        <v>125</v>
      </c>
      <c r="S45" s="260">
        <f t="shared" si="2"/>
        <v>237.95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s="201" customFormat="1" ht="12.75">
      <c r="A46" s="221" t="s">
        <v>20</v>
      </c>
      <c r="B46" s="156" t="s">
        <v>2046</v>
      </c>
      <c r="C46" s="244" t="s">
        <v>1763</v>
      </c>
      <c r="D46" s="149"/>
      <c r="E46" s="147" t="s">
        <v>454</v>
      </c>
      <c r="F46" s="147" t="s">
        <v>454</v>
      </c>
      <c r="G46" s="147" t="s">
        <v>454</v>
      </c>
      <c r="H46" s="147" t="s">
        <v>454</v>
      </c>
      <c r="I46" s="147" t="s">
        <v>454</v>
      </c>
      <c r="J46" s="147" t="s">
        <v>454</v>
      </c>
      <c r="K46" s="148" t="s">
        <v>768</v>
      </c>
      <c r="L46" s="148"/>
      <c r="M46" s="262"/>
      <c r="N46" s="189" t="s">
        <v>59</v>
      </c>
      <c r="O46" s="252">
        <v>583.35</v>
      </c>
      <c r="P46" s="252">
        <v>758.95</v>
      </c>
      <c r="Q46" s="179">
        <v>1</v>
      </c>
      <c r="R46" s="259">
        <f t="shared" si="0"/>
        <v>125</v>
      </c>
      <c r="S46" s="260">
        <f t="shared" si="2"/>
        <v>883.95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s="201" customFormat="1" ht="12.75">
      <c r="A47" s="221" t="s">
        <v>111</v>
      </c>
      <c r="B47" s="156" t="s">
        <v>2047</v>
      </c>
      <c r="C47" s="244" t="s">
        <v>1957</v>
      </c>
      <c r="D47" s="149"/>
      <c r="E47" s="147" t="s">
        <v>454</v>
      </c>
      <c r="F47" s="147" t="s">
        <v>454</v>
      </c>
      <c r="G47" s="147" t="s">
        <v>454</v>
      </c>
      <c r="H47" s="147" t="s">
        <v>454</v>
      </c>
      <c r="I47" s="147" t="s">
        <v>454</v>
      </c>
      <c r="J47" s="147" t="s">
        <v>454</v>
      </c>
      <c r="K47" s="148" t="s">
        <v>768</v>
      </c>
      <c r="L47" s="148"/>
      <c r="M47" s="262"/>
      <c r="N47" s="189" t="s">
        <v>59</v>
      </c>
      <c r="O47" s="252">
        <v>287.27</v>
      </c>
      <c r="P47" s="252">
        <v>441.95</v>
      </c>
      <c r="Q47" s="179">
        <v>0.1</v>
      </c>
      <c r="R47" s="259">
        <f t="shared" si="0"/>
        <v>125</v>
      </c>
      <c r="S47" s="260">
        <f t="shared" si="2"/>
        <v>454.45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s="201" customFormat="1" ht="12.75">
      <c r="A48" s="221" t="s">
        <v>469</v>
      </c>
      <c r="B48" s="156" t="s">
        <v>779</v>
      </c>
      <c r="C48" s="244" t="s">
        <v>559</v>
      </c>
      <c r="D48" s="149"/>
      <c r="E48" s="147" t="s">
        <v>454</v>
      </c>
      <c r="F48" s="147" t="s">
        <v>454</v>
      </c>
      <c r="G48" s="147" t="s">
        <v>454</v>
      </c>
      <c r="H48" s="147" t="s">
        <v>454</v>
      </c>
      <c r="I48" s="147" t="s">
        <v>454</v>
      </c>
      <c r="J48" s="147" t="s">
        <v>454</v>
      </c>
      <c r="K48" s="148" t="s">
        <v>768</v>
      </c>
      <c r="L48" s="148"/>
      <c r="M48" s="262"/>
      <c r="N48" s="189" t="s">
        <v>59</v>
      </c>
      <c r="O48" s="252">
        <v>60</v>
      </c>
      <c r="P48" s="252">
        <v>84.95</v>
      </c>
      <c r="Q48" s="179">
        <v>0.8</v>
      </c>
      <c r="R48" s="259">
        <f t="shared" si="0"/>
        <v>125</v>
      </c>
      <c r="S48" s="260">
        <f t="shared" si="2"/>
        <v>184.95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20" s="7" customFormat="1" ht="12.75">
      <c r="A49" s="221" t="s">
        <v>1680</v>
      </c>
      <c r="B49" s="156" t="s">
        <v>1800</v>
      </c>
      <c r="C49" s="244" t="s">
        <v>1796</v>
      </c>
      <c r="D49" s="149" t="s">
        <v>1804</v>
      </c>
      <c r="E49" s="147" t="s">
        <v>454</v>
      </c>
      <c r="F49" s="147" t="s">
        <v>454</v>
      </c>
      <c r="G49" s="147" t="s">
        <v>454</v>
      </c>
      <c r="H49" s="147" t="s">
        <v>454</v>
      </c>
      <c r="I49" s="147" t="s">
        <v>454</v>
      </c>
      <c r="J49" s="147" t="s">
        <v>454</v>
      </c>
      <c r="K49" s="148" t="s">
        <v>768</v>
      </c>
      <c r="L49" s="148"/>
      <c r="M49" s="262"/>
      <c r="N49" s="189" t="s">
        <v>59</v>
      </c>
      <c r="O49" s="252">
        <v>258.75</v>
      </c>
      <c r="P49" s="252">
        <v>389.95</v>
      </c>
      <c r="Q49" s="179">
        <v>0.8</v>
      </c>
      <c r="R49" s="259">
        <f t="shared" si="0"/>
        <v>125</v>
      </c>
      <c r="S49" s="260">
        <f t="shared" si="2"/>
        <v>489.95</v>
      </c>
    </row>
    <row r="50" spans="1:20" s="7" customFormat="1" ht="12.75">
      <c r="A50" s="221" t="s">
        <v>1052</v>
      </c>
      <c r="B50" s="156" t="s">
        <v>1792</v>
      </c>
      <c r="C50" s="244" t="s">
        <v>1797</v>
      </c>
      <c r="D50" s="149" t="s">
        <v>2048</v>
      </c>
      <c r="E50" s="147" t="s">
        <v>454</v>
      </c>
      <c r="F50" s="147" t="s">
        <v>454</v>
      </c>
      <c r="G50" s="147" t="s">
        <v>454</v>
      </c>
      <c r="H50" s="147" t="s">
        <v>454</v>
      </c>
      <c r="I50" s="147" t="s">
        <v>454</v>
      </c>
      <c r="J50" s="147" t="s">
        <v>454</v>
      </c>
      <c r="K50" s="148" t="s">
        <v>768</v>
      </c>
      <c r="L50" s="148"/>
      <c r="M50" s="262"/>
      <c r="N50" s="189" t="s">
        <v>59</v>
      </c>
      <c r="O50" s="252">
        <v>150</v>
      </c>
      <c r="P50" s="252">
        <v>214.95</v>
      </c>
      <c r="Q50" s="179">
        <v>0.8</v>
      </c>
      <c r="R50" s="259">
        <f t="shared" si="0"/>
        <v>125</v>
      </c>
      <c r="S50" s="260">
        <f t="shared" si="2"/>
        <v>314.95</v>
      </c>
    </row>
    <row r="51" spans="1:20" s="190" customFormat="1" ht="12.75">
      <c r="A51" s="170" t="s">
        <v>2219</v>
      </c>
      <c r="B51" s="171" t="s">
        <v>279</v>
      </c>
      <c r="C51" s="176" t="s">
        <v>1795</v>
      </c>
      <c r="D51" s="182" t="s">
        <v>2005</v>
      </c>
      <c r="E51" s="180" t="s">
        <v>454</v>
      </c>
      <c r="F51" s="180" t="s">
        <v>454</v>
      </c>
      <c r="G51" s="180" t="s">
        <v>454</v>
      </c>
      <c r="H51" s="180" t="s">
        <v>454</v>
      </c>
      <c r="I51" s="180" t="s">
        <v>454</v>
      </c>
      <c r="J51" s="180" t="s">
        <v>454</v>
      </c>
      <c r="K51" s="181" t="s">
        <v>768</v>
      </c>
      <c r="L51" s="181" t="s">
        <v>1684</v>
      </c>
      <c r="M51" s="257"/>
      <c r="N51" s="210" t="s">
        <v>59</v>
      </c>
      <c r="O51" s="211">
        <v>315</v>
      </c>
      <c r="P51" s="211">
        <v>449.95</v>
      </c>
      <c r="Q51" s="212">
        <v>0.8</v>
      </c>
      <c r="R51" s="214">
        <f t="shared" si="0"/>
        <v>125</v>
      </c>
      <c r="S51" s="215">
        <f t="shared" si="2"/>
        <v>549.95000000000005</v>
      </c>
      <c r="T51" s="7"/>
    </row>
    <row r="52" spans="1:20" s="190" customFormat="1" ht="12.75">
      <c r="A52" s="221" t="s">
        <v>286</v>
      </c>
      <c r="B52" s="156" t="s">
        <v>287</v>
      </c>
      <c r="C52" s="244" t="s">
        <v>292</v>
      </c>
      <c r="D52" s="149" t="s">
        <v>2006</v>
      </c>
      <c r="E52" s="147" t="s">
        <v>454</v>
      </c>
      <c r="F52" s="147" t="s">
        <v>454</v>
      </c>
      <c r="G52" s="147" t="s">
        <v>454</v>
      </c>
      <c r="H52" s="147" t="s">
        <v>454</v>
      </c>
      <c r="I52" s="147" t="s">
        <v>454</v>
      </c>
      <c r="J52" s="147" t="s">
        <v>454</v>
      </c>
      <c r="K52" s="148" t="s">
        <v>768</v>
      </c>
      <c r="L52" s="148"/>
      <c r="M52" s="262"/>
      <c r="N52" s="189" t="s">
        <v>59</v>
      </c>
      <c r="O52" s="252">
        <v>230</v>
      </c>
      <c r="P52" s="252">
        <v>329.95</v>
      </c>
      <c r="Q52" s="179">
        <v>0.8</v>
      </c>
      <c r="R52" s="259">
        <f t="shared" si="0"/>
        <v>125</v>
      </c>
      <c r="S52" s="260">
        <f t="shared" si="2"/>
        <v>429.95</v>
      </c>
      <c r="T52" s="7"/>
    </row>
    <row r="53" spans="1:20" s="190" customFormat="1" ht="12.75">
      <c r="A53" s="221" t="s">
        <v>1754</v>
      </c>
      <c r="B53" s="156" t="s">
        <v>2209</v>
      </c>
      <c r="C53" s="244" t="s">
        <v>1803</v>
      </c>
      <c r="D53" s="149"/>
      <c r="E53" s="147" t="s">
        <v>454</v>
      </c>
      <c r="F53" s="147" t="s">
        <v>454</v>
      </c>
      <c r="G53" s="147" t="s">
        <v>454</v>
      </c>
      <c r="H53" s="147" t="s">
        <v>454</v>
      </c>
      <c r="I53" s="147" t="s">
        <v>454</v>
      </c>
      <c r="J53" s="147" t="s">
        <v>454</v>
      </c>
      <c r="K53" s="148"/>
      <c r="L53" s="148"/>
      <c r="M53" s="262"/>
      <c r="N53" s="189" t="s">
        <v>59</v>
      </c>
      <c r="O53" s="252">
        <v>230</v>
      </c>
      <c r="P53" s="252">
        <v>329.95</v>
      </c>
      <c r="Q53" s="179">
        <v>0.8</v>
      </c>
      <c r="R53" s="259">
        <f t="shared" si="0"/>
        <v>125</v>
      </c>
      <c r="S53" s="260">
        <f t="shared" si="2"/>
        <v>429.95</v>
      </c>
      <c r="T53" s="7"/>
    </row>
    <row r="54" spans="1:20" s="190" customFormat="1" ht="12.75">
      <c r="A54" s="221" t="s">
        <v>558</v>
      </c>
      <c r="B54" s="156" t="s">
        <v>1801</v>
      </c>
      <c r="C54" s="244" t="s">
        <v>1798</v>
      </c>
      <c r="D54" s="149" t="s">
        <v>2049</v>
      </c>
      <c r="E54" s="147" t="s">
        <v>454</v>
      </c>
      <c r="F54" s="147" t="s">
        <v>454</v>
      </c>
      <c r="G54" s="147" t="s">
        <v>454</v>
      </c>
      <c r="H54" s="147" t="s">
        <v>454</v>
      </c>
      <c r="I54" s="147" t="s">
        <v>454</v>
      </c>
      <c r="J54" s="147" t="s">
        <v>454</v>
      </c>
      <c r="K54" s="148" t="s">
        <v>768</v>
      </c>
      <c r="L54" s="148"/>
      <c r="M54" s="262"/>
      <c r="N54" s="189" t="s">
        <v>59</v>
      </c>
      <c r="O54" s="252">
        <v>150</v>
      </c>
      <c r="P54" s="252">
        <v>214.95</v>
      </c>
      <c r="Q54" s="179">
        <v>0.8</v>
      </c>
      <c r="R54" s="259">
        <f t="shared" si="0"/>
        <v>125</v>
      </c>
      <c r="S54" s="260">
        <f t="shared" si="2"/>
        <v>314.95</v>
      </c>
      <c r="T54" s="7"/>
    </row>
    <row r="55" spans="1:20" s="190" customFormat="1" ht="12.75">
      <c r="A55" s="221" t="s">
        <v>283</v>
      </c>
      <c r="B55" s="156" t="s">
        <v>284</v>
      </c>
      <c r="C55" s="244" t="s">
        <v>291</v>
      </c>
      <c r="D55" s="149" t="s">
        <v>2007</v>
      </c>
      <c r="E55" s="147" t="s">
        <v>454</v>
      </c>
      <c r="F55" s="147" t="s">
        <v>454</v>
      </c>
      <c r="G55" s="147" t="s">
        <v>454</v>
      </c>
      <c r="H55" s="147" t="s">
        <v>454</v>
      </c>
      <c r="I55" s="147" t="s">
        <v>454</v>
      </c>
      <c r="J55" s="147" t="s">
        <v>454</v>
      </c>
      <c r="K55" s="148" t="s">
        <v>768</v>
      </c>
      <c r="L55" s="148"/>
      <c r="M55" s="262"/>
      <c r="N55" s="189" t="s">
        <v>59</v>
      </c>
      <c r="O55" s="252">
        <v>150</v>
      </c>
      <c r="P55" s="252">
        <v>214.95</v>
      </c>
      <c r="Q55" s="179">
        <v>0.8</v>
      </c>
      <c r="R55" s="259">
        <f t="shared" si="0"/>
        <v>125</v>
      </c>
      <c r="S55" s="260">
        <f t="shared" si="2"/>
        <v>314.95</v>
      </c>
      <c r="T55" s="7"/>
    </row>
    <row r="56" spans="1:20" s="190" customFormat="1" ht="12.75">
      <c r="A56" s="221" t="s">
        <v>299</v>
      </c>
      <c r="B56" s="156" t="s">
        <v>300</v>
      </c>
      <c r="C56" s="244" t="s">
        <v>301</v>
      </c>
      <c r="D56" s="149" t="s">
        <v>302</v>
      </c>
      <c r="E56" s="147" t="s">
        <v>454</v>
      </c>
      <c r="F56" s="147" t="s">
        <v>454</v>
      </c>
      <c r="G56" s="147" t="s">
        <v>454</v>
      </c>
      <c r="H56" s="147" t="s">
        <v>454</v>
      </c>
      <c r="I56" s="147" t="s">
        <v>454</v>
      </c>
      <c r="J56" s="147" t="s">
        <v>454</v>
      </c>
      <c r="K56" s="148" t="s">
        <v>768</v>
      </c>
      <c r="L56" s="148"/>
      <c r="M56" s="262"/>
      <c r="N56" s="189" t="s">
        <v>59</v>
      </c>
      <c r="O56" s="252">
        <v>60</v>
      </c>
      <c r="P56" s="252">
        <v>79.95</v>
      </c>
      <c r="Q56" s="179">
        <v>0.8</v>
      </c>
      <c r="R56" s="259">
        <f t="shared" si="0"/>
        <v>125</v>
      </c>
      <c r="S56" s="260">
        <f t="shared" si="2"/>
        <v>179.95</v>
      </c>
      <c r="T56" s="7"/>
    </row>
    <row r="57" spans="1:20" s="190" customFormat="1" ht="12.75">
      <c r="A57" s="221" t="s">
        <v>468</v>
      </c>
      <c r="B57" s="156" t="s">
        <v>1793</v>
      </c>
      <c r="C57" s="244" t="s">
        <v>1799</v>
      </c>
      <c r="D57" s="149" t="s">
        <v>2003</v>
      </c>
      <c r="E57" s="147" t="s">
        <v>454</v>
      </c>
      <c r="F57" s="147" t="s">
        <v>454</v>
      </c>
      <c r="G57" s="147" t="s">
        <v>454</v>
      </c>
      <c r="H57" s="147" t="s">
        <v>454</v>
      </c>
      <c r="I57" s="147" t="s">
        <v>454</v>
      </c>
      <c r="J57" s="147" t="s">
        <v>454</v>
      </c>
      <c r="K57" s="148" t="s">
        <v>768</v>
      </c>
      <c r="L57" s="148"/>
      <c r="M57" s="262"/>
      <c r="N57" s="189" t="s">
        <v>59</v>
      </c>
      <c r="O57" s="252">
        <v>88.5</v>
      </c>
      <c r="P57" s="252">
        <v>124.95</v>
      </c>
      <c r="Q57" s="179">
        <v>0.8</v>
      </c>
      <c r="R57" s="259">
        <f t="shared" si="0"/>
        <v>125</v>
      </c>
      <c r="S57" s="260">
        <f t="shared" si="2"/>
        <v>224.95</v>
      </c>
      <c r="T57" s="7"/>
    </row>
    <row r="58" spans="1:20" s="190" customFormat="1" ht="12.75">
      <c r="A58" s="221" t="s">
        <v>865</v>
      </c>
      <c r="B58" s="156" t="s">
        <v>860</v>
      </c>
      <c r="C58" s="244" t="s">
        <v>866</v>
      </c>
      <c r="D58" s="149" t="s">
        <v>1707</v>
      </c>
      <c r="E58" s="147" t="s">
        <v>454</v>
      </c>
      <c r="F58" s="147" t="s">
        <v>454</v>
      </c>
      <c r="G58" s="147" t="s">
        <v>454</v>
      </c>
      <c r="H58" s="147" t="s">
        <v>454</v>
      </c>
      <c r="I58" s="147" t="s">
        <v>454</v>
      </c>
      <c r="J58" s="147" t="s">
        <v>454</v>
      </c>
      <c r="K58" s="148"/>
      <c r="L58" s="191" t="s">
        <v>1684</v>
      </c>
      <c r="M58" s="306"/>
      <c r="N58" s="189" t="s">
        <v>10</v>
      </c>
      <c r="O58" s="252">
        <v>392.67</v>
      </c>
      <c r="P58" s="252">
        <v>560.95000000000005</v>
      </c>
      <c r="Q58" s="179">
        <v>1.5</v>
      </c>
      <c r="R58" s="259">
        <f t="shared" si="0"/>
        <v>125</v>
      </c>
      <c r="S58" s="260">
        <f t="shared" si="2"/>
        <v>748.45</v>
      </c>
      <c r="T58" s="7"/>
    </row>
    <row r="59" spans="1:20" s="190" customFormat="1" ht="12.75">
      <c r="A59" s="221" t="s">
        <v>861</v>
      </c>
      <c r="B59" s="156" t="s">
        <v>2050</v>
      </c>
      <c r="C59" s="244" t="s">
        <v>2051</v>
      </c>
      <c r="D59" s="149" t="s">
        <v>1707</v>
      </c>
      <c r="E59" s="147" t="s">
        <v>454</v>
      </c>
      <c r="F59" s="147" t="s">
        <v>454</v>
      </c>
      <c r="G59" s="147" t="s">
        <v>454</v>
      </c>
      <c r="H59" s="147" t="s">
        <v>454</v>
      </c>
      <c r="I59" s="147" t="s">
        <v>454</v>
      </c>
      <c r="J59" s="147" t="s">
        <v>454</v>
      </c>
      <c r="K59" s="148" t="s">
        <v>768</v>
      </c>
      <c r="L59" s="148" t="s">
        <v>1684</v>
      </c>
      <c r="M59" s="262"/>
      <c r="N59" s="189" t="s">
        <v>10</v>
      </c>
      <c r="O59" s="252">
        <v>769.97</v>
      </c>
      <c r="P59" s="252">
        <v>1099.95</v>
      </c>
      <c r="Q59" s="179">
        <v>0</v>
      </c>
      <c r="R59" s="259">
        <f t="shared" si="0"/>
        <v>125</v>
      </c>
      <c r="S59" s="260">
        <f t="shared" si="2"/>
        <v>1099.95</v>
      </c>
      <c r="T59" s="7"/>
    </row>
    <row r="60" spans="1:20" s="190" customFormat="1" ht="12.75">
      <c r="A60" s="221" t="s">
        <v>862</v>
      </c>
      <c r="B60" s="156" t="s">
        <v>2074</v>
      </c>
      <c r="C60" s="244" t="s">
        <v>2110</v>
      </c>
      <c r="D60" s="149" t="s">
        <v>1707</v>
      </c>
      <c r="E60" s="147" t="s">
        <v>454</v>
      </c>
      <c r="F60" s="147" t="s">
        <v>454</v>
      </c>
      <c r="G60" s="147" t="s">
        <v>454</v>
      </c>
      <c r="H60" s="147" t="s">
        <v>454</v>
      </c>
      <c r="I60" s="147" t="s">
        <v>454</v>
      </c>
      <c r="J60" s="147" t="s">
        <v>454</v>
      </c>
      <c r="K60" s="148" t="s">
        <v>768</v>
      </c>
      <c r="L60" s="148" t="s">
        <v>1684</v>
      </c>
      <c r="M60" s="262"/>
      <c r="N60" s="189" t="s">
        <v>10</v>
      </c>
      <c r="O60" s="252">
        <v>476.43</v>
      </c>
      <c r="P60" s="252">
        <v>669.95</v>
      </c>
      <c r="Q60" s="179">
        <v>0</v>
      </c>
      <c r="R60" s="259">
        <f t="shared" si="0"/>
        <v>125</v>
      </c>
      <c r="S60" s="260">
        <f t="shared" si="2"/>
        <v>669.95</v>
      </c>
      <c r="T60" s="7"/>
    </row>
    <row r="61" spans="1:20" s="190" customFormat="1" ht="12.75">
      <c r="A61" s="221" t="s">
        <v>65</v>
      </c>
      <c r="B61" s="156" t="s">
        <v>1761</v>
      </c>
      <c r="C61" s="244" t="s">
        <v>1760</v>
      </c>
      <c r="D61" s="149" t="s">
        <v>81</v>
      </c>
      <c r="E61" s="147" t="s">
        <v>454</v>
      </c>
      <c r="F61" s="147" t="s">
        <v>454</v>
      </c>
      <c r="G61" s="147" t="s">
        <v>454</v>
      </c>
      <c r="H61" s="147" t="s">
        <v>454</v>
      </c>
      <c r="I61" s="147" t="s">
        <v>454</v>
      </c>
      <c r="J61" s="147" t="s">
        <v>454</v>
      </c>
      <c r="K61" s="148" t="s">
        <v>768</v>
      </c>
      <c r="L61" s="148" t="s">
        <v>1684</v>
      </c>
      <c r="M61" s="262"/>
      <c r="N61" s="189" t="s">
        <v>0</v>
      </c>
      <c r="O61" s="252">
        <v>137.97</v>
      </c>
      <c r="P61" s="252">
        <v>229.95</v>
      </c>
      <c r="Q61" s="179">
        <v>0.5</v>
      </c>
      <c r="R61" s="259">
        <f t="shared" si="0"/>
        <v>125</v>
      </c>
      <c r="S61" s="260">
        <f t="shared" si="2"/>
        <v>292.45</v>
      </c>
      <c r="T61" s="7"/>
    </row>
    <row r="62" spans="1:20" s="190" customFormat="1" ht="12.75">
      <c r="A62" s="221" t="s">
        <v>18</v>
      </c>
      <c r="B62" s="156" t="s">
        <v>1626</v>
      </c>
      <c r="C62" s="244" t="s">
        <v>86</v>
      </c>
      <c r="D62" s="149" t="s">
        <v>1627</v>
      </c>
      <c r="E62" s="147" t="s">
        <v>454</v>
      </c>
      <c r="F62" s="147" t="s">
        <v>454</v>
      </c>
      <c r="G62" s="147" t="s">
        <v>454</v>
      </c>
      <c r="H62" s="147" t="s">
        <v>454</v>
      </c>
      <c r="I62" s="147" t="s">
        <v>454</v>
      </c>
      <c r="J62" s="147" t="s">
        <v>454</v>
      </c>
      <c r="K62" s="148" t="s">
        <v>768</v>
      </c>
      <c r="L62" s="148" t="s">
        <v>1684</v>
      </c>
      <c r="M62" s="262"/>
      <c r="N62" s="189" t="s">
        <v>0</v>
      </c>
      <c r="O62" s="252">
        <v>73.17</v>
      </c>
      <c r="P62" s="252">
        <v>121.95</v>
      </c>
      <c r="Q62" s="179">
        <v>0</v>
      </c>
      <c r="R62" s="259">
        <f t="shared" si="0"/>
        <v>125</v>
      </c>
      <c r="S62" s="260">
        <f t="shared" si="2"/>
        <v>121.95</v>
      </c>
      <c r="T62" s="7"/>
    </row>
    <row r="63" spans="1:20" s="190" customFormat="1" ht="12.75">
      <c r="A63" s="221" t="s">
        <v>307</v>
      </c>
      <c r="B63" s="156" t="s">
        <v>2097</v>
      </c>
      <c r="C63" s="244" t="s">
        <v>2098</v>
      </c>
      <c r="D63" s="149" t="s">
        <v>309</v>
      </c>
      <c r="E63" s="147" t="s">
        <v>454</v>
      </c>
      <c r="F63" s="147" t="s">
        <v>410</v>
      </c>
      <c r="G63" s="147"/>
      <c r="H63" s="147"/>
      <c r="I63" s="147"/>
      <c r="J63" s="147"/>
      <c r="K63" s="148" t="s">
        <v>768</v>
      </c>
      <c r="L63" s="148" t="s">
        <v>1684</v>
      </c>
      <c r="M63" s="262"/>
      <c r="N63" s="189" t="s">
        <v>10</v>
      </c>
      <c r="O63" s="252">
        <v>80.97</v>
      </c>
      <c r="P63" s="252">
        <v>134.94999999999999</v>
      </c>
      <c r="Q63" s="179">
        <v>0.2</v>
      </c>
      <c r="R63" s="259">
        <f t="shared" si="0"/>
        <v>125</v>
      </c>
      <c r="S63" s="260">
        <f t="shared" si="2"/>
        <v>159.94999999999999</v>
      </c>
      <c r="T63" s="7"/>
    </row>
    <row r="64" spans="1:20" s="190" customFormat="1" ht="12.75">
      <c r="A64" s="221" t="s">
        <v>13</v>
      </c>
      <c r="B64" s="156" t="s">
        <v>2096</v>
      </c>
      <c r="C64" s="244" t="s">
        <v>1764</v>
      </c>
      <c r="D64" s="149" t="s">
        <v>308</v>
      </c>
      <c r="E64" s="147" t="s">
        <v>410</v>
      </c>
      <c r="F64" s="147" t="s">
        <v>454</v>
      </c>
      <c r="G64" s="147" t="s">
        <v>454</v>
      </c>
      <c r="H64" s="147" t="s">
        <v>454</v>
      </c>
      <c r="I64" s="147" t="s">
        <v>454</v>
      </c>
      <c r="J64" s="147" t="s">
        <v>454</v>
      </c>
      <c r="K64" s="148" t="s">
        <v>768</v>
      </c>
      <c r="L64" s="148" t="s">
        <v>1684</v>
      </c>
      <c r="M64" s="262"/>
      <c r="N64" s="189" t="s">
        <v>10</v>
      </c>
      <c r="O64" s="252">
        <v>164.37</v>
      </c>
      <c r="P64" s="252">
        <v>273.95</v>
      </c>
      <c r="Q64" s="179">
        <v>0.2</v>
      </c>
      <c r="R64" s="259">
        <f t="shared" si="0"/>
        <v>125</v>
      </c>
      <c r="S64" s="260">
        <f t="shared" si="2"/>
        <v>298.95</v>
      </c>
      <c r="T64" s="7"/>
    </row>
    <row r="65" spans="1:51" s="190" customFormat="1" ht="12.75">
      <c r="A65" s="221" t="s">
        <v>70</v>
      </c>
      <c r="B65" s="156" t="s">
        <v>201</v>
      </c>
      <c r="C65" s="244" t="s">
        <v>339</v>
      </c>
      <c r="D65" s="149"/>
      <c r="E65" s="147" t="s">
        <v>454</v>
      </c>
      <c r="F65" s="147" t="s">
        <v>454</v>
      </c>
      <c r="G65" s="147" t="s">
        <v>454</v>
      </c>
      <c r="H65" s="147" t="s">
        <v>454</v>
      </c>
      <c r="I65" s="147" t="s">
        <v>454</v>
      </c>
      <c r="J65" s="147" t="s">
        <v>454</v>
      </c>
      <c r="K65" s="148" t="s">
        <v>768</v>
      </c>
      <c r="L65" s="148" t="s">
        <v>1684</v>
      </c>
      <c r="M65" s="262"/>
      <c r="N65" s="189" t="s">
        <v>10</v>
      </c>
      <c r="O65" s="252">
        <v>115.77</v>
      </c>
      <c r="P65" s="252">
        <v>192.95</v>
      </c>
      <c r="Q65" s="179">
        <v>0.5</v>
      </c>
      <c r="R65" s="259">
        <f t="shared" si="0"/>
        <v>125</v>
      </c>
      <c r="S65" s="260">
        <f t="shared" si="2"/>
        <v>255.45</v>
      </c>
      <c r="T65" s="7"/>
    </row>
    <row r="66" spans="1:51" s="7" customFormat="1" ht="12.75">
      <c r="A66" s="221" t="s">
        <v>230</v>
      </c>
      <c r="B66" s="156" t="s">
        <v>818</v>
      </c>
      <c r="C66" s="244" t="s">
        <v>334</v>
      </c>
      <c r="D66" s="149" t="s">
        <v>262</v>
      </c>
      <c r="E66" s="147" t="s">
        <v>454</v>
      </c>
      <c r="F66" s="147" t="s">
        <v>454</v>
      </c>
      <c r="G66" s="147" t="s">
        <v>454</v>
      </c>
      <c r="H66" s="147" t="s">
        <v>454</v>
      </c>
      <c r="I66" s="147" t="s">
        <v>454</v>
      </c>
      <c r="J66" s="147" t="s">
        <v>454</v>
      </c>
      <c r="K66" s="148" t="s">
        <v>768</v>
      </c>
      <c r="L66" s="148" t="s">
        <v>1684</v>
      </c>
      <c r="M66" s="262"/>
      <c r="N66" s="189" t="s">
        <v>10</v>
      </c>
      <c r="O66" s="252">
        <v>360.57</v>
      </c>
      <c r="P66" s="252">
        <v>600.95000000000005</v>
      </c>
      <c r="Q66" s="179">
        <v>0</v>
      </c>
      <c r="R66" s="259">
        <f t="shared" si="0"/>
        <v>125</v>
      </c>
      <c r="S66" s="260">
        <f t="shared" si="2"/>
        <v>600.95000000000005</v>
      </c>
    </row>
    <row r="67" spans="1:51" s="7" customFormat="1" ht="12.75">
      <c r="A67" s="221" t="s">
        <v>231</v>
      </c>
      <c r="B67" s="156" t="s">
        <v>819</v>
      </c>
      <c r="C67" s="244" t="s">
        <v>335</v>
      </c>
      <c r="D67" s="149" t="s">
        <v>262</v>
      </c>
      <c r="E67" s="147" t="s">
        <v>454</v>
      </c>
      <c r="F67" s="147" t="s">
        <v>454</v>
      </c>
      <c r="G67" s="147" t="s">
        <v>454</v>
      </c>
      <c r="H67" s="147" t="s">
        <v>454</v>
      </c>
      <c r="I67" s="147" t="s">
        <v>454</v>
      </c>
      <c r="J67" s="147" t="s">
        <v>454</v>
      </c>
      <c r="K67" s="148" t="s">
        <v>768</v>
      </c>
      <c r="L67" s="148" t="s">
        <v>1684</v>
      </c>
      <c r="M67" s="262"/>
      <c r="N67" s="189" t="s">
        <v>10</v>
      </c>
      <c r="O67" s="252">
        <v>402.57</v>
      </c>
      <c r="P67" s="252">
        <v>670.95</v>
      </c>
      <c r="Q67" s="179">
        <v>0</v>
      </c>
      <c r="R67" s="259">
        <f t="shared" ref="R67:R115" si="3">$N$1</f>
        <v>125</v>
      </c>
      <c r="S67" s="260">
        <f t="shared" si="2"/>
        <v>670.95</v>
      </c>
    </row>
    <row r="68" spans="1:51" s="7" customFormat="1" ht="12.75">
      <c r="A68" s="221" t="s">
        <v>71</v>
      </c>
      <c r="B68" s="156" t="s">
        <v>28</v>
      </c>
      <c r="C68" s="244" t="s">
        <v>14</v>
      </c>
      <c r="D68" s="149"/>
      <c r="E68" s="147" t="s">
        <v>454</v>
      </c>
      <c r="F68" s="147" t="s">
        <v>454</v>
      </c>
      <c r="G68" s="147" t="s">
        <v>454</v>
      </c>
      <c r="H68" s="147" t="s">
        <v>454</v>
      </c>
      <c r="I68" s="147" t="s">
        <v>454</v>
      </c>
      <c r="J68" s="147" t="s">
        <v>454</v>
      </c>
      <c r="K68" s="148" t="s">
        <v>768</v>
      </c>
      <c r="L68" s="148" t="s">
        <v>1684</v>
      </c>
      <c r="M68" s="262"/>
      <c r="N68" s="189" t="s">
        <v>10</v>
      </c>
      <c r="O68" s="252">
        <v>80.97</v>
      </c>
      <c r="P68" s="252">
        <v>134.94999999999999</v>
      </c>
      <c r="Q68" s="179">
        <v>0.2</v>
      </c>
      <c r="R68" s="259">
        <f t="shared" si="3"/>
        <v>125</v>
      </c>
      <c r="S68" s="260">
        <f t="shared" si="2"/>
        <v>159.94999999999999</v>
      </c>
    </row>
    <row r="69" spans="1:51" s="7" customFormat="1" ht="12.75">
      <c r="A69" s="221" t="s">
        <v>72</v>
      </c>
      <c r="B69" s="156" t="s">
        <v>243</v>
      </c>
      <c r="C69" s="244" t="s">
        <v>340</v>
      </c>
      <c r="D69" s="149" t="s">
        <v>404</v>
      </c>
      <c r="E69" s="147" t="s">
        <v>454</v>
      </c>
      <c r="F69" s="147" t="s">
        <v>454</v>
      </c>
      <c r="G69" s="147" t="s">
        <v>454</v>
      </c>
      <c r="H69" s="147" t="s">
        <v>454</v>
      </c>
      <c r="I69" s="147" t="s">
        <v>454</v>
      </c>
      <c r="J69" s="147" t="s">
        <v>454</v>
      </c>
      <c r="K69" s="148" t="s">
        <v>768</v>
      </c>
      <c r="L69" s="148" t="s">
        <v>1684</v>
      </c>
      <c r="M69" s="262"/>
      <c r="N69" s="189" t="s">
        <v>10</v>
      </c>
      <c r="O69" s="252">
        <v>317.97000000000003</v>
      </c>
      <c r="P69" s="252">
        <v>529.95000000000005</v>
      </c>
      <c r="Q69" s="179">
        <v>0</v>
      </c>
      <c r="R69" s="259">
        <f t="shared" si="3"/>
        <v>125</v>
      </c>
      <c r="S69" s="260">
        <f t="shared" si="2"/>
        <v>529.95000000000005</v>
      </c>
    </row>
    <row r="70" spans="1:51" s="7" customFormat="1" ht="12.75">
      <c r="A70" s="221" t="s">
        <v>229</v>
      </c>
      <c r="B70" s="156" t="s">
        <v>913</v>
      </c>
      <c r="C70" s="244" t="s">
        <v>1625</v>
      </c>
      <c r="D70" s="149" t="s">
        <v>398</v>
      </c>
      <c r="E70" s="147" t="s">
        <v>410</v>
      </c>
      <c r="F70" s="147" t="s">
        <v>410</v>
      </c>
      <c r="G70" s="147" t="s">
        <v>454</v>
      </c>
      <c r="H70" s="147" t="s">
        <v>454</v>
      </c>
      <c r="I70" s="147" t="s">
        <v>410</v>
      </c>
      <c r="J70" s="147" t="s">
        <v>454</v>
      </c>
      <c r="K70" s="148" t="s">
        <v>768</v>
      </c>
      <c r="L70" s="148" t="s">
        <v>1684</v>
      </c>
      <c r="M70" s="262"/>
      <c r="N70" s="189" t="s">
        <v>10</v>
      </c>
      <c r="O70" s="252">
        <v>439.66</v>
      </c>
      <c r="P70" s="252">
        <v>732.95</v>
      </c>
      <c r="Q70" s="179">
        <v>0</v>
      </c>
      <c r="R70" s="259">
        <f t="shared" si="3"/>
        <v>125</v>
      </c>
      <c r="S70" s="260">
        <f t="shared" si="2"/>
        <v>732.95</v>
      </c>
    </row>
    <row r="71" spans="1:51" s="190" customFormat="1" ht="12.75">
      <c r="A71" s="221" t="s">
        <v>73</v>
      </c>
      <c r="B71" s="156" t="s">
        <v>244</v>
      </c>
      <c r="C71" s="244" t="s">
        <v>341</v>
      </c>
      <c r="D71" s="149" t="s">
        <v>405</v>
      </c>
      <c r="E71" s="147" t="s">
        <v>454</v>
      </c>
      <c r="F71" s="147" t="s">
        <v>454</v>
      </c>
      <c r="G71" s="147" t="s">
        <v>454</v>
      </c>
      <c r="H71" s="147" t="s">
        <v>454</v>
      </c>
      <c r="I71" s="147" t="s">
        <v>410</v>
      </c>
      <c r="J71" s="147" t="s">
        <v>454</v>
      </c>
      <c r="K71" s="148" t="s">
        <v>768</v>
      </c>
      <c r="L71" s="148" t="s">
        <v>1684</v>
      </c>
      <c r="M71" s="262"/>
      <c r="N71" s="189" t="s">
        <v>10</v>
      </c>
      <c r="O71" s="252">
        <v>361.77</v>
      </c>
      <c r="P71" s="252">
        <v>602.95000000000005</v>
      </c>
      <c r="Q71" s="179">
        <v>0</v>
      </c>
      <c r="R71" s="259">
        <f t="shared" si="3"/>
        <v>125</v>
      </c>
      <c r="S71" s="260">
        <f t="shared" si="2"/>
        <v>602.95000000000005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s="190" customFormat="1" ht="12.75">
      <c r="A72" s="221" t="s">
        <v>228</v>
      </c>
      <c r="B72" s="156" t="s">
        <v>246</v>
      </c>
      <c r="C72" s="244" t="s">
        <v>839</v>
      </c>
      <c r="D72" s="149" t="s">
        <v>393</v>
      </c>
      <c r="E72" s="147" t="s">
        <v>454</v>
      </c>
      <c r="F72" s="147" t="s">
        <v>454</v>
      </c>
      <c r="G72" s="147" t="s">
        <v>454</v>
      </c>
      <c r="H72" s="147" t="s">
        <v>454</v>
      </c>
      <c r="I72" s="147" t="s">
        <v>410</v>
      </c>
      <c r="J72" s="147" t="s">
        <v>454</v>
      </c>
      <c r="K72" s="148" t="s">
        <v>768</v>
      </c>
      <c r="L72" s="148" t="s">
        <v>1684</v>
      </c>
      <c r="M72" s="262"/>
      <c r="N72" s="189" t="s">
        <v>10</v>
      </c>
      <c r="O72" s="252">
        <v>436.77</v>
      </c>
      <c r="P72" s="252">
        <v>727.95</v>
      </c>
      <c r="Q72" s="179">
        <v>0</v>
      </c>
      <c r="R72" s="259">
        <f t="shared" si="3"/>
        <v>125</v>
      </c>
      <c r="S72" s="260">
        <f t="shared" si="2"/>
        <v>727.95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s="7" customFormat="1" ht="12.75">
      <c r="A73" s="221" t="s">
        <v>195</v>
      </c>
      <c r="B73" s="156" t="s">
        <v>247</v>
      </c>
      <c r="C73" s="244" t="s">
        <v>344</v>
      </c>
      <c r="D73" s="149" t="s">
        <v>323</v>
      </c>
      <c r="E73" s="147" t="s">
        <v>454</v>
      </c>
      <c r="F73" s="147" t="s">
        <v>454</v>
      </c>
      <c r="G73" s="147" t="s">
        <v>454</v>
      </c>
      <c r="H73" s="147" t="s">
        <v>454</v>
      </c>
      <c r="I73" s="147" t="s">
        <v>410</v>
      </c>
      <c r="J73" s="147" t="s">
        <v>454</v>
      </c>
      <c r="K73" s="148" t="s">
        <v>768</v>
      </c>
      <c r="L73" s="148" t="s">
        <v>1684</v>
      </c>
      <c r="M73" s="262"/>
      <c r="N73" s="189" t="s">
        <v>10</v>
      </c>
      <c r="O73" s="252">
        <v>317.97000000000003</v>
      </c>
      <c r="P73" s="252">
        <v>529.95000000000005</v>
      </c>
      <c r="Q73" s="179">
        <v>0</v>
      </c>
      <c r="R73" s="259">
        <f t="shared" si="3"/>
        <v>125</v>
      </c>
      <c r="S73" s="260">
        <f t="shared" si="2"/>
        <v>529.95000000000005</v>
      </c>
    </row>
    <row r="74" spans="1:51" s="190" customFormat="1" ht="12.75">
      <c r="A74" s="221" t="s">
        <v>227</v>
      </c>
      <c r="B74" s="156" t="s">
        <v>1633</v>
      </c>
      <c r="C74" s="244" t="s">
        <v>354</v>
      </c>
      <c r="D74" s="149" t="s">
        <v>406</v>
      </c>
      <c r="E74" s="147" t="s">
        <v>410</v>
      </c>
      <c r="F74" s="147" t="s">
        <v>454</v>
      </c>
      <c r="G74" s="147" t="s">
        <v>454</v>
      </c>
      <c r="H74" s="147" t="s">
        <v>454</v>
      </c>
      <c r="I74" s="147" t="s">
        <v>410</v>
      </c>
      <c r="J74" s="147" t="s">
        <v>454</v>
      </c>
      <c r="K74" s="148" t="s">
        <v>768</v>
      </c>
      <c r="L74" s="148" t="s">
        <v>1684</v>
      </c>
      <c r="M74" s="262"/>
      <c r="N74" s="189" t="s">
        <v>10</v>
      </c>
      <c r="O74" s="252">
        <v>463.17</v>
      </c>
      <c r="P74" s="252">
        <v>771.95</v>
      </c>
      <c r="Q74" s="179">
        <v>0</v>
      </c>
      <c r="R74" s="259">
        <f t="shared" si="3"/>
        <v>125</v>
      </c>
      <c r="S74" s="260">
        <f t="shared" si="2"/>
        <v>771.95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s="7" customFormat="1" ht="12.75">
      <c r="A75" s="221" t="s">
        <v>74</v>
      </c>
      <c r="B75" s="156" t="s">
        <v>245</v>
      </c>
      <c r="C75" s="244" t="s">
        <v>343</v>
      </c>
      <c r="D75" s="149" t="s">
        <v>392</v>
      </c>
      <c r="E75" s="147" t="s">
        <v>454</v>
      </c>
      <c r="F75" s="147" t="s">
        <v>454</v>
      </c>
      <c r="G75" s="147" t="s">
        <v>454</v>
      </c>
      <c r="H75" s="147" t="s">
        <v>454</v>
      </c>
      <c r="I75" s="147" t="s">
        <v>454</v>
      </c>
      <c r="J75" s="147" t="s">
        <v>454</v>
      </c>
      <c r="K75" s="148" t="s">
        <v>768</v>
      </c>
      <c r="L75" s="148" t="s">
        <v>1684</v>
      </c>
      <c r="M75" s="262"/>
      <c r="N75" s="189" t="s">
        <v>10</v>
      </c>
      <c r="O75" s="252">
        <v>317.97000000000003</v>
      </c>
      <c r="P75" s="252">
        <v>529.95000000000005</v>
      </c>
      <c r="Q75" s="179">
        <v>0</v>
      </c>
      <c r="R75" s="259">
        <f t="shared" si="3"/>
        <v>125</v>
      </c>
      <c r="S75" s="260">
        <f t="shared" si="2"/>
        <v>529.95000000000005</v>
      </c>
    </row>
    <row r="76" spans="1:51" s="7" customFormat="1" ht="12.75">
      <c r="A76" s="221" t="s">
        <v>1058</v>
      </c>
      <c r="B76" s="156" t="s">
        <v>1056</v>
      </c>
      <c r="C76" s="244" t="s">
        <v>1057</v>
      </c>
      <c r="D76" s="149" t="s">
        <v>632</v>
      </c>
      <c r="E76" s="147" t="s">
        <v>454</v>
      </c>
      <c r="F76" s="147" t="s">
        <v>454</v>
      </c>
      <c r="G76" s="147" t="s">
        <v>454</v>
      </c>
      <c r="H76" s="147" t="s">
        <v>454</v>
      </c>
      <c r="I76" s="147" t="s">
        <v>410</v>
      </c>
      <c r="J76" s="147" t="s">
        <v>454</v>
      </c>
      <c r="K76" s="148" t="s">
        <v>768</v>
      </c>
      <c r="L76" s="148" t="s">
        <v>1684</v>
      </c>
      <c r="M76" s="262"/>
      <c r="N76" s="189" t="s">
        <v>10</v>
      </c>
      <c r="O76" s="252">
        <v>413.37</v>
      </c>
      <c r="P76" s="252">
        <v>688.95</v>
      </c>
      <c r="Q76" s="179">
        <v>0</v>
      </c>
      <c r="R76" s="259">
        <f t="shared" si="3"/>
        <v>125</v>
      </c>
      <c r="S76" s="260">
        <f t="shared" si="2"/>
        <v>688.95</v>
      </c>
    </row>
    <row r="77" spans="1:51" s="7" customFormat="1" ht="12.75">
      <c r="A77" s="164" t="s">
        <v>2103</v>
      </c>
      <c r="B77" s="165" t="s">
        <v>2104</v>
      </c>
      <c r="C77" s="165" t="s">
        <v>2112</v>
      </c>
      <c r="D77" s="184" t="s">
        <v>2204</v>
      </c>
      <c r="E77" s="204" t="s">
        <v>454</v>
      </c>
      <c r="F77" s="205" t="s">
        <v>454</v>
      </c>
      <c r="G77" s="205" t="s">
        <v>454</v>
      </c>
      <c r="H77" s="205" t="s">
        <v>454</v>
      </c>
      <c r="I77" s="205" t="s">
        <v>454</v>
      </c>
      <c r="J77" s="205" t="s">
        <v>454</v>
      </c>
      <c r="K77" s="181" t="s">
        <v>768</v>
      </c>
      <c r="L77" s="181"/>
      <c r="M77" s="181"/>
      <c r="N77" s="182" t="s">
        <v>16</v>
      </c>
      <c r="O77" s="211">
        <v>498.7</v>
      </c>
      <c r="P77" s="211">
        <v>599.95000000000005</v>
      </c>
      <c r="Q77" s="212">
        <v>0</v>
      </c>
      <c r="R77" s="214">
        <f t="shared" si="3"/>
        <v>125</v>
      </c>
      <c r="S77" s="215">
        <f t="shared" si="2"/>
        <v>599.95000000000005</v>
      </c>
      <c r="T77" s="14"/>
    </row>
    <row r="78" spans="1:51" s="7" customFormat="1" ht="12.75">
      <c r="A78" s="221" t="s">
        <v>121</v>
      </c>
      <c r="B78" s="156" t="s">
        <v>640</v>
      </c>
      <c r="C78" s="244" t="s">
        <v>1704</v>
      </c>
      <c r="D78" s="149" t="s">
        <v>447</v>
      </c>
      <c r="E78" s="147" t="s">
        <v>454</v>
      </c>
      <c r="F78" s="147" t="s">
        <v>454</v>
      </c>
      <c r="G78" s="147" t="s">
        <v>454</v>
      </c>
      <c r="H78" s="147" t="s">
        <v>454</v>
      </c>
      <c r="I78" s="147" t="s">
        <v>454</v>
      </c>
      <c r="J78" s="147" t="s">
        <v>454</v>
      </c>
      <c r="K78" s="148" t="s">
        <v>768</v>
      </c>
      <c r="L78" s="148"/>
      <c r="M78" s="262"/>
      <c r="N78" s="189" t="s">
        <v>16</v>
      </c>
      <c r="O78" s="252">
        <v>62.25</v>
      </c>
      <c r="P78" s="252">
        <v>69.95</v>
      </c>
      <c r="Q78" s="179">
        <v>0</v>
      </c>
      <c r="R78" s="259">
        <f t="shared" si="3"/>
        <v>125</v>
      </c>
      <c r="S78" s="260">
        <f t="shared" si="2"/>
        <v>69.95</v>
      </c>
    </row>
    <row r="79" spans="1:51" s="7" customFormat="1" ht="12.75">
      <c r="A79" s="221" t="s">
        <v>427</v>
      </c>
      <c r="B79" s="156" t="s">
        <v>1634</v>
      </c>
      <c r="C79" s="244" t="s">
        <v>1078</v>
      </c>
      <c r="D79" s="149" t="s">
        <v>429</v>
      </c>
      <c r="E79" s="147" t="s">
        <v>454</v>
      </c>
      <c r="F79" s="147" t="s">
        <v>454</v>
      </c>
      <c r="G79" s="147" t="s">
        <v>454</v>
      </c>
      <c r="H79" s="147" t="s">
        <v>454</v>
      </c>
      <c r="I79" s="147" t="s">
        <v>454</v>
      </c>
      <c r="J79" s="147" t="s">
        <v>454</v>
      </c>
      <c r="K79" s="148" t="s">
        <v>768</v>
      </c>
      <c r="L79" s="148"/>
      <c r="M79" s="262"/>
      <c r="N79" s="189" t="s">
        <v>16</v>
      </c>
      <c r="O79" s="252">
        <v>45.12</v>
      </c>
      <c r="P79" s="252">
        <v>59.95</v>
      </c>
      <c r="Q79" s="179">
        <v>0</v>
      </c>
      <c r="R79" s="259">
        <f t="shared" si="3"/>
        <v>125</v>
      </c>
      <c r="S79" s="260">
        <f t="shared" si="2"/>
        <v>59.95</v>
      </c>
    </row>
    <row r="80" spans="1:51" s="7" customFormat="1" ht="12.75">
      <c r="A80" s="295" t="s">
        <v>424</v>
      </c>
      <c r="B80" s="296" t="s">
        <v>772</v>
      </c>
      <c r="C80" s="297" t="s">
        <v>2111</v>
      </c>
      <c r="D80" s="301"/>
      <c r="E80" s="299" t="s">
        <v>454</v>
      </c>
      <c r="F80" s="299" t="s">
        <v>454</v>
      </c>
      <c r="G80" s="299" t="s">
        <v>454</v>
      </c>
      <c r="H80" s="299" t="s">
        <v>454</v>
      </c>
      <c r="I80" s="299" t="s">
        <v>454</v>
      </c>
      <c r="J80" s="299" t="s">
        <v>454</v>
      </c>
      <c r="K80" s="300" t="s">
        <v>768</v>
      </c>
      <c r="L80" s="300" t="s">
        <v>1684</v>
      </c>
      <c r="M80" s="307"/>
      <c r="N80" s="308" t="s">
        <v>16</v>
      </c>
      <c r="O80" s="309">
        <v>349.95</v>
      </c>
      <c r="P80" s="309">
        <v>449.95</v>
      </c>
      <c r="Q80" s="310">
        <v>0.8</v>
      </c>
      <c r="R80" s="311">
        <f t="shared" si="3"/>
        <v>125</v>
      </c>
      <c r="S80" s="312">
        <f t="shared" si="2"/>
        <v>549.95000000000005</v>
      </c>
    </row>
    <row r="81" spans="1:20" s="7" customFormat="1" ht="12.75">
      <c r="A81" s="221" t="s">
        <v>212</v>
      </c>
      <c r="B81" s="156" t="s">
        <v>774</v>
      </c>
      <c r="C81" s="244" t="s">
        <v>931</v>
      </c>
      <c r="D81" s="149" t="s">
        <v>440</v>
      </c>
      <c r="E81" s="147" t="s">
        <v>454</v>
      </c>
      <c r="F81" s="147" t="s">
        <v>454</v>
      </c>
      <c r="G81" s="147" t="s">
        <v>454</v>
      </c>
      <c r="H81" s="147" t="s">
        <v>454</v>
      </c>
      <c r="I81" s="147" t="s">
        <v>454</v>
      </c>
      <c r="J81" s="147" t="s">
        <v>454</v>
      </c>
      <c r="K81" s="148" t="s">
        <v>768</v>
      </c>
      <c r="L81" s="148" t="s">
        <v>1684</v>
      </c>
      <c r="M81" s="262"/>
      <c r="N81" s="189" t="s">
        <v>16</v>
      </c>
      <c r="O81" s="252">
        <v>442.48</v>
      </c>
      <c r="P81" s="252">
        <v>599.95000000000005</v>
      </c>
      <c r="Q81" s="179">
        <v>0.8</v>
      </c>
      <c r="R81" s="259">
        <f t="shared" si="3"/>
        <v>125</v>
      </c>
      <c r="S81" s="260">
        <f t="shared" si="2"/>
        <v>699.95</v>
      </c>
    </row>
    <row r="82" spans="1:20" s="7" customFormat="1" ht="12.75">
      <c r="A82" s="221" t="s">
        <v>420</v>
      </c>
      <c r="B82" s="156" t="s">
        <v>421</v>
      </c>
      <c r="C82" s="144" t="s">
        <v>1984</v>
      </c>
      <c r="D82" s="149" t="s">
        <v>436</v>
      </c>
      <c r="E82" s="147" t="s">
        <v>454</v>
      </c>
      <c r="F82" s="147" t="s">
        <v>454</v>
      </c>
      <c r="G82" s="147" t="s">
        <v>454</v>
      </c>
      <c r="H82" s="147" t="s">
        <v>454</v>
      </c>
      <c r="I82" s="147" t="s">
        <v>454</v>
      </c>
      <c r="J82" s="147" t="s">
        <v>454</v>
      </c>
      <c r="K82" s="148" t="s">
        <v>768</v>
      </c>
      <c r="L82" s="148" t="s">
        <v>1684</v>
      </c>
      <c r="M82" s="262"/>
      <c r="N82" s="189" t="s">
        <v>16</v>
      </c>
      <c r="O82" s="252">
        <v>381.6</v>
      </c>
      <c r="P82" s="252">
        <v>479.95</v>
      </c>
      <c r="Q82" s="179">
        <v>0.7</v>
      </c>
      <c r="R82" s="259">
        <f t="shared" si="3"/>
        <v>125</v>
      </c>
      <c r="S82" s="260">
        <f t="shared" si="2"/>
        <v>567.45000000000005</v>
      </c>
    </row>
    <row r="83" spans="1:20" s="7" customFormat="1" ht="12.75">
      <c r="A83" s="221" t="s">
        <v>416</v>
      </c>
      <c r="B83" s="156" t="s">
        <v>911</v>
      </c>
      <c r="C83" s="244" t="s">
        <v>914</v>
      </c>
      <c r="D83" s="149" t="s">
        <v>449</v>
      </c>
      <c r="E83" s="147" t="s">
        <v>454</v>
      </c>
      <c r="F83" s="147" t="s">
        <v>454</v>
      </c>
      <c r="G83" s="147" t="s">
        <v>454</v>
      </c>
      <c r="H83" s="147" t="s">
        <v>454</v>
      </c>
      <c r="I83" s="147" t="s">
        <v>454</v>
      </c>
      <c r="J83" s="147" t="s">
        <v>454</v>
      </c>
      <c r="K83" s="148" t="s">
        <v>768</v>
      </c>
      <c r="L83" s="148" t="s">
        <v>1684</v>
      </c>
      <c r="M83" s="262"/>
      <c r="N83" s="189" t="s">
        <v>16</v>
      </c>
      <c r="O83" s="252">
        <v>264.18</v>
      </c>
      <c r="P83" s="252">
        <v>349.95</v>
      </c>
      <c r="Q83" s="179">
        <v>0.8</v>
      </c>
      <c r="R83" s="259">
        <f t="shared" si="3"/>
        <v>125</v>
      </c>
      <c r="S83" s="260">
        <f t="shared" si="2"/>
        <v>449.95</v>
      </c>
    </row>
    <row r="84" spans="1:20" s="7" customFormat="1" ht="12.75">
      <c r="A84" s="221" t="s">
        <v>415</v>
      </c>
      <c r="B84" s="156" t="s">
        <v>775</v>
      </c>
      <c r="C84" s="244" t="s">
        <v>932</v>
      </c>
      <c r="D84" s="149" t="s">
        <v>433</v>
      </c>
      <c r="E84" s="147" t="s">
        <v>454</v>
      </c>
      <c r="F84" s="147" t="s">
        <v>454</v>
      </c>
      <c r="G84" s="147" t="s">
        <v>454</v>
      </c>
      <c r="H84" s="147" t="s">
        <v>454</v>
      </c>
      <c r="I84" s="147" t="s">
        <v>454</v>
      </c>
      <c r="J84" s="147" t="s">
        <v>454</v>
      </c>
      <c r="K84" s="148" t="s">
        <v>768</v>
      </c>
      <c r="L84" s="148" t="s">
        <v>1684</v>
      </c>
      <c r="M84" s="262"/>
      <c r="N84" s="189" t="s">
        <v>16</v>
      </c>
      <c r="O84" s="252">
        <v>776.98</v>
      </c>
      <c r="P84" s="252">
        <v>1049.95</v>
      </c>
      <c r="Q84" s="179">
        <v>0.3</v>
      </c>
      <c r="R84" s="259">
        <f t="shared" si="3"/>
        <v>125</v>
      </c>
      <c r="S84" s="260">
        <f t="shared" si="2"/>
        <v>1087.45</v>
      </c>
    </row>
    <row r="85" spans="1:20" s="7" customFormat="1" ht="12.75">
      <c r="A85" s="221" t="s">
        <v>414</v>
      </c>
      <c r="B85" s="156" t="s">
        <v>776</v>
      </c>
      <c r="C85" s="244" t="s">
        <v>933</v>
      </c>
      <c r="D85" s="149" t="s">
        <v>434</v>
      </c>
      <c r="E85" s="147" t="s">
        <v>454</v>
      </c>
      <c r="F85" s="147" t="s">
        <v>454</v>
      </c>
      <c r="G85" s="147" t="s">
        <v>454</v>
      </c>
      <c r="H85" s="147" t="s">
        <v>454</v>
      </c>
      <c r="I85" s="147" t="s">
        <v>454</v>
      </c>
      <c r="J85" s="147" t="s">
        <v>454</v>
      </c>
      <c r="K85" s="148" t="s">
        <v>768</v>
      </c>
      <c r="L85" s="148" t="s">
        <v>1684</v>
      </c>
      <c r="M85" s="262"/>
      <c r="N85" s="189" t="s">
        <v>16</v>
      </c>
      <c r="O85" s="252">
        <v>737.59</v>
      </c>
      <c r="P85" s="252">
        <v>979.95</v>
      </c>
      <c r="Q85" s="179">
        <v>0.3</v>
      </c>
      <c r="R85" s="259">
        <f t="shared" si="3"/>
        <v>125</v>
      </c>
      <c r="S85" s="260">
        <f t="shared" si="2"/>
        <v>1017.45</v>
      </c>
    </row>
    <row r="86" spans="1:20" s="7" customFormat="1" ht="12.75">
      <c r="A86" s="221" t="s">
        <v>119</v>
      </c>
      <c r="B86" s="156" t="s">
        <v>430</v>
      </c>
      <c r="C86" s="244" t="s">
        <v>125</v>
      </c>
      <c r="D86" s="149" t="s">
        <v>128</v>
      </c>
      <c r="E86" s="147" t="s">
        <v>454</v>
      </c>
      <c r="F86" s="147" t="s">
        <v>454</v>
      </c>
      <c r="G86" s="147" t="s">
        <v>454</v>
      </c>
      <c r="H86" s="147" t="s">
        <v>454</v>
      </c>
      <c r="I86" s="147" t="s">
        <v>454</v>
      </c>
      <c r="J86" s="147" t="s">
        <v>454</v>
      </c>
      <c r="K86" s="148" t="s">
        <v>768</v>
      </c>
      <c r="L86" s="148"/>
      <c r="M86" s="262"/>
      <c r="N86" s="189" t="s">
        <v>16</v>
      </c>
      <c r="O86" s="252">
        <v>170.46</v>
      </c>
      <c r="P86" s="252">
        <v>219.95</v>
      </c>
      <c r="Q86" s="179">
        <v>0.3</v>
      </c>
      <c r="R86" s="259">
        <f t="shared" si="3"/>
        <v>125</v>
      </c>
      <c r="S86" s="260">
        <f t="shared" si="2"/>
        <v>257.45</v>
      </c>
    </row>
    <row r="87" spans="1:20" s="7" customFormat="1" ht="12.75">
      <c r="A87" s="221" t="s">
        <v>411</v>
      </c>
      <c r="B87" s="156" t="s">
        <v>641</v>
      </c>
      <c r="C87" s="244" t="s">
        <v>412</v>
      </c>
      <c r="D87" s="149" t="s">
        <v>446</v>
      </c>
      <c r="E87" s="147" t="s">
        <v>454</v>
      </c>
      <c r="F87" s="147" t="s">
        <v>454</v>
      </c>
      <c r="G87" s="147" t="s">
        <v>454</v>
      </c>
      <c r="H87" s="147" t="s">
        <v>454</v>
      </c>
      <c r="I87" s="147" t="s">
        <v>454</v>
      </c>
      <c r="J87" s="147" t="s">
        <v>454</v>
      </c>
      <c r="K87" s="148" t="s">
        <v>768</v>
      </c>
      <c r="L87" s="148" t="s">
        <v>1684</v>
      </c>
      <c r="M87" s="262"/>
      <c r="N87" s="189" t="s">
        <v>16</v>
      </c>
      <c r="O87" s="252">
        <v>297.82</v>
      </c>
      <c r="P87" s="252">
        <v>379.95</v>
      </c>
      <c r="Q87" s="179">
        <v>0.3</v>
      </c>
      <c r="R87" s="259">
        <f t="shared" si="3"/>
        <v>125</v>
      </c>
      <c r="S87" s="260">
        <f t="shared" si="2"/>
        <v>417.45</v>
      </c>
    </row>
    <row r="88" spans="1:20" s="7" customFormat="1" ht="12.75">
      <c r="A88" s="221" t="s">
        <v>77</v>
      </c>
      <c r="B88" s="156" t="s">
        <v>791</v>
      </c>
      <c r="C88" s="244" t="s">
        <v>397</v>
      </c>
      <c r="D88" s="149" t="s">
        <v>82</v>
      </c>
      <c r="E88" s="147" t="s">
        <v>454</v>
      </c>
      <c r="F88" s="147" t="s">
        <v>454</v>
      </c>
      <c r="G88" s="147" t="s">
        <v>454</v>
      </c>
      <c r="H88" s="147"/>
      <c r="I88" s="147"/>
      <c r="J88" s="147"/>
      <c r="K88" s="148"/>
      <c r="L88" s="148"/>
      <c r="M88" s="262"/>
      <c r="N88" s="189" t="s">
        <v>16</v>
      </c>
      <c r="O88" s="252">
        <v>109.95</v>
      </c>
      <c r="P88" s="252">
        <v>184.95</v>
      </c>
      <c r="Q88" s="179">
        <v>0.8</v>
      </c>
      <c r="R88" s="259">
        <f t="shared" si="3"/>
        <v>125</v>
      </c>
      <c r="S88" s="260">
        <f t="shared" si="2"/>
        <v>284.95</v>
      </c>
    </row>
    <row r="89" spans="1:20" s="7" customFormat="1" ht="12.75">
      <c r="A89" s="221" t="s">
        <v>78</v>
      </c>
      <c r="B89" s="156" t="s">
        <v>789</v>
      </c>
      <c r="C89" s="244" t="s">
        <v>394</v>
      </c>
      <c r="D89" s="149" t="s">
        <v>83</v>
      </c>
      <c r="E89" s="147"/>
      <c r="F89" s="147"/>
      <c r="G89" s="147"/>
      <c r="H89" s="147" t="s">
        <v>454</v>
      </c>
      <c r="I89" s="147" t="s">
        <v>454</v>
      </c>
      <c r="J89" s="147" t="s">
        <v>454</v>
      </c>
      <c r="K89" s="148" t="s">
        <v>768</v>
      </c>
      <c r="L89" s="148"/>
      <c r="M89" s="262"/>
      <c r="N89" s="189" t="s">
        <v>16</v>
      </c>
      <c r="O89" s="252">
        <v>556.79999999999995</v>
      </c>
      <c r="P89" s="252">
        <v>969.8</v>
      </c>
      <c r="Q89" s="179">
        <v>0.8</v>
      </c>
      <c r="R89" s="259">
        <f t="shared" si="3"/>
        <v>125</v>
      </c>
      <c r="S89" s="260">
        <f t="shared" si="2"/>
        <v>1069.8</v>
      </c>
    </row>
    <row r="90" spans="1:20" s="7" customFormat="1" ht="12.75">
      <c r="A90" s="221" t="s">
        <v>79</v>
      </c>
      <c r="B90" s="156" t="s">
        <v>789</v>
      </c>
      <c r="C90" s="244" t="s">
        <v>395</v>
      </c>
      <c r="D90" s="149" t="s">
        <v>84</v>
      </c>
      <c r="E90" s="147" t="s">
        <v>454</v>
      </c>
      <c r="F90" s="147" t="s">
        <v>454</v>
      </c>
      <c r="G90" s="147" t="s">
        <v>454</v>
      </c>
      <c r="H90" s="147"/>
      <c r="I90" s="147"/>
      <c r="J90" s="147"/>
      <c r="K90" s="148"/>
      <c r="L90" s="148"/>
      <c r="M90" s="262"/>
      <c r="N90" s="189" t="s">
        <v>16</v>
      </c>
      <c r="O90" s="252">
        <v>556.79999999999995</v>
      </c>
      <c r="P90" s="252">
        <v>969.8</v>
      </c>
      <c r="Q90" s="179">
        <v>0.8</v>
      </c>
      <c r="R90" s="252">
        <f t="shared" si="3"/>
        <v>125</v>
      </c>
      <c r="S90" s="253">
        <f t="shared" si="2"/>
        <v>1069.8</v>
      </c>
    </row>
    <row r="91" spans="1:20" s="7" customFormat="1" ht="12.75">
      <c r="A91" s="221" t="s">
        <v>298</v>
      </c>
      <c r="B91" s="156" t="s">
        <v>789</v>
      </c>
      <c r="C91" s="244" t="s">
        <v>395</v>
      </c>
      <c r="D91" s="149" t="s">
        <v>2052</v>
      </c>
      <c r="E91" s="147" t="s">
        <v>454</v>
      </c>
      <c r="F91" s="147" t="s">
        <v>454</v>
      </c>
      <c r="G91" s="147" t="s">
        <v>454</v>
      </c>
      <c r="H91" s="147"/>
      <c r="I91" s="147"/>
      <c r="J91" s="147"/>
      <c r="K91" s="148"/>
      <c r="L91" s="148"/>
      <c r="M91" s="262"/>
      <c r="N91" s="189" t="s">
        <v>16</v>
      </c>
      <c r="O91" s="252">
        <v>578.41999999999996</v>
      </c>
      <c r="P91" s="252">
        <v>969.8</v>
      </c>
      <c r="Q91" s="179">
        <v>0.8</v>
      </c>
      <c r="R91" s="252">
        <f t="shared" si="3"/>
        <v>125</v>
      </c>
      <c r="S91" s="253">
        <f t="shared" si="2"/>
        <v>1069.8</v>
      </c>
    </row>
    <row r="92" spans="1:20" s="7" customFormat="1" ht="12.75">
      <c r="A92" s="221" t="s">
        <v>266</v>
      </c>
      <c r="B92" s="156" t="s">
        <v>790</v>
      </c>
      <c r="C92" s="244" t="s">
        <v>396</v>
      </c>
      <c r="D92" s="149" t="s">
        <v>2053</v>
      </c>
      <c r="E92" s="147"/>
      <c r="F92" s="147"/>
      <c r="G92" s="147"/>
      <c r="H92" s="147" t="s">
        <v>454</v>
      </c>
      <c r="I92" s="147" t="s">
        <v>454</v>
      </c>
      <c r="J92" s="147" t="s">
        <v>454</v>
      </c>
      <c r="K92" s="148"/>
      <c r="L92" s="148"/>
      <c r="M92" s="262"/>
      <c r="N92" s="189" t="s">
        <v>16</v>
      </c>
      <c r="O92" s="252">
        <v>582.21</v>
      </c>
      <c r="P92" s="252">
        <v>969.8</v>
      </c>
      <c r="Q92" s="179">
        <v>0.8</v>
      </c>
      <c r="R92" s="252">
        <f t="shared" si="3"/>
        <v>125</v>
      </c>
      <c r="S92" s="253">
        <f t="shared" si="2"/>
        <v>1069.8</v>
      </c>
    </row>
    <row r="93" spans="1:20" s="7" customFormat="1" ht="12.75">
      <c r="A93" s="221" t="s">
        <v>418</v>
      </c>
      <c r="B93" s="156" t="s">
        <v>1635</v>
      </c>
      <c r="C93" s="244" t="s">
        <v>1636</v>
      </c>
      <c r="D93" s="149" t="s">
        <v>438</v>
      </c>
      <c r="E93" s="147" t="s">
        <v>454</v>
      </c>
      <c r="F93" s="147" t="s">
        <v>454</v>
      </c>
      <c r="G93" s="147" t="s">
        <v>454</v>
      </c>
      <c r="H93" s="147" t="s">
        <v>454</v>
      </c>
      <c r="I93" s="147" t="s">
        <v>454</v>
      </c>
      <c r="J93" s="147" t="s">
        <v>454</v>
      </c>
      <c r="K93" s="148" t="s">
        <v>768</v>
      </c>
      <c r="L93" s="148" t="s">
        <v>1684</v>
      </c>
      <c r="M93" s="262"/>
      <c r="N93" s="189" t="s">
        <v>16</v>
      </c>
      <c r="O93" s="252">
        <v>453.5</v>
      </c>
      <c r="P93" s="252">
        <v>549.95000000000005</v>
      </c>
      <c r="Q93" s="179">
        <v>0.3</v>
      </c>
      <c r="R93" s="252">
        <f t="shared" si="3"/>
        <v>125</v>
      </c>
      <c r="S93" s="253">
        <f t="shared" si="2"/>
        <v>587.45000000000005</v>
      </c>
      <c r="T93" s="16"/>
    </row>
    <row r="94" spans="1:20" s="7" customFormat="1" ht="12.75">
      <c r="A94" s="221" t="s">
        <v>426</v>
      </c>
      <c r="B94" s="156" t="s">
        <v>896</v>
      </c>
      <c r="C94" s="244" t="s">
        <v>930</v>
      </c>
      <c r="D94" s="149"/>
      <c r="E94" s="147" t="s">
        <v>454</v>
      </c>
      <c r="F94" s="147" t="s">
        <v>454</v>
      </c>
      <c r="G94" s="147" t="s">
        <v>454</v>
      </c>
      <c r="H94" s="147" t="s">
        <v>454</v>
      </c>
      <c r="I94" s="147" t="s">
        <v>454</v>
      </c>
      <c r="J94" s="147" t="s">
        <v>454</v>
      </c>
      <c r="K94" s="148" t="s">
        <v>768</v>
      </c>
      <c r="L94" s="191" t="s">
        <v>1684</v>
      </c>
      <c r="M94" s="306"/>
      <c r="N94" s="189" t="s">
        <v>16</v>
      </c>
      <c r="O94" s="252">
        <v>60.62</v>
      </c>
      <c r="P94" s="252">
        <v>94.95</v>
      </c>
      <c r="Q94" s="179">
        <v>0.2</v>
      </c>
      <c r="R94" s="252">
        <f t="shared" si="3"/>
        <v>125</v>
      </c>
      <c r="S94" s="253">
        <f t="shared" si="2"/>
        <v>119.95</v>
      </c>
    </row>
    <row r="95" spans="1:20" s="7" customFormat="1" ht="12.75">
      <c r="A95" s="221" t="s">
        <v>211</v>
      </c>
      <c r="B95" s="156" t="s">
        <v>778</v>
      </c>
      <c r="C95" s="244" t="s">
        <v>937</v>
      </c>
      <c r="D95" s="149" t="s">
        <v>448</v>
      </c>
      <c r="E95" s="147" t="s">
        <v>454</v>
      </c>
      <c r="F95" s="147" t="s">
        <v>454</v>
      </c>
      <c r="G95" s="147" t="s">
        <v>454</v>
      </c>
      <c r="H95" s="147" t="s">
        <v>454</v>
      </c>
      <c r="I95" s="147" t="s">
        <v>454</v>
      </c>
      <c r="J95" s="147" t="s">
        <v>454</v>
      </c>
      <c r="K95" s="148" t="s">
        <v>768</v>
      </c>
      <c r="L95" s="148"/>
      <c r="M95" s="262"/>
      <c r="N95" s="189" t="s">
        <v>16</v>
      </c>
      <c r="O95" s="252">
        <v>84.65</v>
      </c>
      <c r="P95" s="252">
        <v>119.95</v>
      </c>
      <c r="Q95" s="179">
        <v>0.1</v>
      </c>
      <c r="R95" s="252">
        <f t="shared" si="3"/>
        <v>125</v>
      </c>
      <c r="S95" s="253">
        <f t="shared" si="2"/>
        <v>132.44999999999999</v>
      </c>
    </row>
    <row r="96" spans="1:20" s="7" customFormat="1" ht="12.75">
      <c r="A96" s="221" t="s">
        <v>66</v>
      </c>
      <c r="B96" s="156" t="s">
        <v>67</v>
      </c>
      <c r="C96" s="244" t="s">
        <v>104</v>
      </c>
      <c r="D96" s="149"/>
      <c r="E96" s="147" t="s">
        <v>454</v>
      </c>
      <c r="F96" s="147" t="s">
        <v>454</v>
      </c>
      <c r="G96" s="147" t="s">
        <v>454</v>
      </c>
      <c r="H96" s="147" t="s">
        <v>454</v>
      </c>
      <c r="I96" s="147" t="s">
        <v>454</v>
      </c>
      <c r="J96" s="147" t="s">
        <v>454</v>
      </c>
      <c r="K96" s="148" t="s">
        <v>768</v>
      </c>
      <c r="L96" s="148" t="s">
        <v>1684</v>
      </c>
      <c r="M96" s="262"/>
      <c r="N96" s="189" t="s">
        <v>16</v>
      </c>
      <c r="O96" s="252">
        <v>140.37</v>
      </c>
      <c r="P96" s="252">
        <v>233.95</v>
      </c>
      <c r="Q96" s="179">
        <v>0.2</v>
      </c>
      <c r="R96" s="252">
        <f t="shared" si="3"/>
        <v>125</v>
      </c>
      <c r="S96" s="253">
        <f t="shared" si="2"/>
        <v>258.95</v>
      </c>
      <c r="T96" s="16"/>
    </row>
    <row r="97" spans="1:19" s="7" customFormat="1" ht="12.75">
      <c r="A97" s="221" t="s">
        <v>206</v>
      </c>
      <c r="B97" s="156" t="s">
        <v>924</v>
      </c>
      <c r="C97" s="244" t="s">
        <v>1662</v>
      </c>
      <c r="D97" s="149" t="s">
        <v>269</v>
      </c>
      <c r="E97" s="147" t="s">
        <v>454</v>
      </c>
      <c r="F97" s="147" t="s">
        <v>454</v>
      </c>
      <c r="G97" s="147" t="s">
        <v>454</v>
      </c>
      <c r="H97" s="147" t="s">
        <v>454</v>
      </c>
      <c r="I97" s="147" t="s">
        <v>410</v>
      </c>
      <c r="J97" s="147" t="s">
        <v>454</v>
      </c>
      <c r="K97" s="148" t="s">
        <v>768</v>
      </c>
      <c r="L97" s="148"/>
      <c r="M97" s="262"/>
      <c r="N97" s="189" t="s">
        <v>4</v>
      </c>
      <c r="O97" s="252">
        <v>15.57</v>
      </c>
      <c r="P97" s="252">
        <v>23.95</v>
      </c>
      <c r="Q97" s="179">
        <v>0</v>
      </c>
      <c r="R97" s="252">
        <f t="shared" si="3"/>
        <v>125</v>
      </c>
      <c r="S97" s="253">
        <f t="shared" si="2"/>
        <v>23.95</v>
      </c>
    </row>
    <row r="98" spans="1:19" s="7" customFormat="1" ht="12.75">
      <c r="A98" s="221" t="s">
        <v>3</v>
      </c>
      <c r="B98" s="156" t="s">
        <v>383</v>
      </c>
      <c r="C98" s="244" t="s">
        <v>1663</v>
      </c>
      <c r="D98" s="149" t="s">
        <v>386</v>
      </c>
      <c r="E98" s="147" t="s">
        <v>454</v>
      </c>
      <c r="F98" s="147" t="s">
        <v>454</v>
      </c>
      <c r="G98" s="147" t="s">
        <v>454</v>
      </c>
      <c r="H98" s="147" t="s">
        <v>454</v>
      </c>
      <c r="I98" s="147" t="s">
        <v>454</v>
      </c>
      <c r="J98" s="147" t="s">
        <v>454</v>
      </c>
      <c r="K98" s="148" t="s">
        <v>768</v>
      </c>
      <c r="L98" s="148"/>
      <c r="M98" s="262"/>
      <c r="N98" s="189" t="s">
        <v>4</v>
      </c>
      <c r="O98" s="252">
        <v>15.57</v>
      </c>
      <c r="P98" s="252">
        <v>23.95</v>
      </c>
      <c r="Q98" s="179">
        <v>0</v>
      </c>
      <c r="R98" s="252">
        <f t="shared" si="3"/>
        <v>125</v>
      </c>
      <c r="S98" s="253">
        <f t="shared" si="2"/>
        <v>23.95</v>
      </c>
    </row>
    <row r="99" spans="1:19" s="7" customFormat="1" ht="12.75">
      <c r="A99" s="221" t="s">
        <v>225</v>
      </c>
      <c r="B99" s="156" t="s">
        <v>925</v>
      </c>
      <c r="C99" s="244" t="s">
        <v>1664</v>
      </c>
      <c r="D99" s="149" t="s">
        <v>398</v>
      </c>
      <c r="E99" s="147" t="s">
        <v>410</v>
      </c>
      <c r="F99" s="147" t="s">
        <v>410</v>
      </c>
      <c r="G99" s="147" t="s">
        <v>454</v>
      </c>
      <c r="H99" s="147" t="s">
        <v>454</v>
      </c>
      <c r="I99" s="147" t="s">
        <v>410</v>
      </c>
      <c r="J99" s="147" t="s">
        <v>454</v>
      </c>
      <c r="K99" s="148" t="s">
        <v>768</v>
      </c>
      <c r="L99" s="148"/>
      <c r="M99" s="262"/>
      <c r="N99" s="189" t="s">
        <v>4</v>
      </c>
      <c r="O99" s="252">
        <v>25.77</v>
      </c>
      <c r="P99" s="252">
        <v>42.95</v>
      </c>
      <c r="Q99" s="179">
        <v>0</v>
      </c>
      <c r="R99" s="252">
        <f t="shared" si="3"/>
        <v>125</v>
      </c>
      <c r="S99" s="253">
        <f t="shared" si="2"/>
        <v>42.95</v>
      </c>
    </row>
    <row r="100" spans="1:19" s="7" customFormat="1" ht="12.75">
      <c r="A100" s="221" t="s">
        <v>22</v>
      </c>
      <c r="B100" s="156" t="s">
        <v>926</v>
      </c>
      <c r="C100" s="244" t="s">
        <v>1665</v>
      </c>
      <c r="D100" s="149" t="s">
        <v>405</v>
      </c>
      <c r="E100" s="147" t="s">
        <v>454</v>
      </c>
      <c r="F100" s="147" t="s">
        <v>454</v>
      </c>
      <c r="G100" s="147" t="s">
        <v>454</v>
      </c>
      <c r="H100" s="147" t="s">
        <v>454</v>
      </c>
      <c r="I100" s="147" t="s">
        <v>410</v>
      </c>
      <c r="J100" s="147" t="s">
        <v>454</v>
      </c>
      <c r="K100" s="148" t="s">
        <v>768</v>
      </c>
      <c r="L100" s="148"/>
      <c r="M100" s="262"/>
      <c r="N100" s="189" t="s">
        <v>4</v>
      </c>
      <c r="O100" s="252">
        <v>15.57</v>
      </c>
      <c r="P100" s="252">
        <v>23.95</v>
      </c>
      <c r="Q100" s="179">
        <v>0</v>
      </c>
      <c r="R100" s="252">
        <f t="shared" si="3"/>
        <v>125</v>
      </c>
      <c r="S100" s="253">
        <f t="shared" si="2"/>
        <v>23.95</v>
      </c>
    </row>
    <row r="101" spans="1:19" s="7" customFormat="1" ht="12.75">
      <c r="A101" s="221" t="s">
        <v>116</v>
      </c>
      <c r="B101" s="156" t="s">
        <v>384</v>
      </c>
      <c r="C101" s="244" t="s">
        <v>1666</v>
      </c>
      <c r="D101" s="149" t="s">
        <v>323</v>
      </c>
      <c r="E101" s="147" t="s">
        <v>454</v>
      </c>
      <c r="F101" s="147" t="s">
        <v>454</v>
      </c>
      <c r="G101" s="147" t="s">
        <v>454</v>
      </c>
      <c r="H101" s="147" t="s">
        <v>454</v>
      </c>
      <c r="I101" s="147" t="s">
        <v>410</v>
      </c>
      <c r="J101" s="147" t="s">
        <v>454</v>
      </c>
      <c r="K101" s="148" t="s">
        <v>768</v>
      </c>
      <c r="L101" s="148"/>
      <c r="M101" s="262"/>
      <c r="N101" s="189" t="s">
        <v>4</v>
      </c>
      <c r="O101" s="252">
        <v>15.54</v>
      </c>
      <c r="P101" s="252">
        <v>23.95</v>
      </c>
      <c r="Q101" s="179">
        <v>0</v>
      </c>
      <c r="R101" s="252">
        <f t="shared" si="3"/>
        <v>125</v>
      </c>
      <c r="S101" s="253">
        <f t="shared" si="2"/>
        <v>23.95</v>
      </c>
    </row>
    <row r="102" spans="1:19" s="7" customFormat="1" ht="12.75">
      <c r="A102" s="221" t="s">
        <v>220</v>
      </c>
      <c r="B102" s="156" t="s">
        <v>928</v>
      </c>
      <c r="C102" s="244" t="s">
        <v>1667</v>
      </c>
      <c r="D102" s="149" t="s">
        <v>406</v>
      </c>
      <c r="E102" s="147" t="s">
        <v>410</v>
      </c>
      <c r="F102" s="147" t="s">
        <v>454</v>
      </c>
      <c r="G102" s="147" t="s">
        <v>454</v>
      </c>
      <c r="H102" s="147" t="s">
        <v>454</v>
      </c>
      <c r="I102" s="147" t="s">
        <v>410</v>
      </c>
      <c r="J102" s="147" t="s">
        <v>454</v>
      </c>
      <c r="K102" s="148" t="s">
        <v>768</v>
      </c>
      <c r="L102" s="148"/>
      <c r="M102" s="262"/>
      <c r="N102" s="189" t="s">
        <v>4</v>
      </c>
      <c r="O102" s="252">
        <v>27.57</v>
      </c>
      <c r="P102" s="252">
        <v>45.95</v>
      </c>
      <c r="Q102" s="179">
        <v>0</v>
      </c>
      <c r="R102" s="252">
        <f t="shared" si="3"/>
        <v>125</v>
      </c>
      <c r="S102" s="253">
        <f t="shared" ref="S102:S115" si="4">Q102*R102+P102</f>
        <v>45.95</v>
      </c>
    </row>
    <row r="103" spans="1:19" s="7" customFormat="1" ht="12.75">
      <c r="A103" s="221" t="s">
        <v>6</v>
      </c>
      <c r="B103" s="156" t="s">
        <v>929</v>
      </c>
      <c r="C103" s="244" t="s">
        <v>1668</v>
      </c>
      <c r="D103" s="149" t="s">
        <v>392</v>
      </c>
      <c r="E103" s="147" t="s">
        <v>454</v>
      </c>
      <c r="F103" s="147" t="s">
        <v>454</v>
      </c>
      <c r="G103" s="147" t="s">
        <v>454</v>
      </c>
      <c r="H103" s="147" t="s">
        <v>454</v>
      </c>
      <c r="I103" s="147" t="s">
        <v>454</v>
      </c>
      <c r="J103" s="147" t="s">
        <v>454</v>
      </c>
      <c r="K103" s="148" t="s">
        <v>768</v>
      </c>
      <c r="L103" s="148"/>
      <c r="M103" s="262"/>
      <c r="N103" s="189" t="s">
        <v>4</v>
      </c>
      <c r="O103" s="252">
        <v>15.57</v>
      </c>
      <c r="P103" s="252">
        <v>23.95</v>
      </c>
      <c r="Q103" s="179">
        <v>0</v>
      </c>
      <c r="R103" s="252">
        <f t="shared" si="3"/>
        <v>125</v>
      </c>
      <c r="S103" s="253">
        <f t="shared" si="4"/>
        <v>23.95</v>
      </c>
    </row>
    <row r="104" spans="1:19" s="7" customFormat="1" ht="12.75">
      <c r="A104" s="221" t="s">
        <v>635</v>
      </c>
      <c r="B104" s="156" t="s">
        <v>962</v>
      </c>
      <c r="C104" s="244" t="s">
        <v>1669</v>
      </c>
      <c r="D104" s="149" t="s">
        <v>788</v>
      </c>
      <c r="E104" s="147" t="s">
        <v>454</v>
      </c>
      <c r="F104" s="147" t="s">
        <v>454</v>
      </c>
      <c r="G104" s="147" t="s">
        <v>454</v>
      </c>
      <c r="H104" s="147" t="s">
        <v>454</v>
      </c>
      <c r="I104" s="147" t="s">
        <v>410</v>
      </c>
      <c r="J104" s="147" t="s">
        <v>454</v>
      </c>
      <c r="K104" s="148" t="s">
        <v>768</v>
      </c>
      <c r="L104" s="148"/>
      <c r="M104" s="262"/>
      <c r="N104" s="189" t="s">
        <v>4</v>
      </c>
      <c r="O104" s="252">
        <v>15.57</v>
      </c>
      <c r="P104" s="252">
        <v>23.95</v>
      </c>
      <c r="Q104" s="179">
        <v>0</v>
      </c>
      <c r="R104" s="252">
        <f t="shared" si="3"/>
        <v>125</v>
      </c>
      <c r="S104" s="253">
        <f t="shared" si="4"/>
        <v>23.95</v>
      </c>
    </row>
    <row r="105" spans="1:19" ht="14.25">
      <c r="A105" s="170" t="s">
        <v>80</v>
      </c>
      <c r="B105" s="171" t="s">
        <v>214</v>
      </c>
      <c r="C105" s="209" t="s">
        <v>1814</v>
      </c>
      <c r="D105" s="182" t="s">
        <v>1673</v>
      </c>
      <c r="E105" s="180" t="s">
        <v>454</v>
      </c>
      <c r="F105" s="180" t="s">
        <v>454</v>
      </c>
      <c r="G105" s="180" t="s">
        <v>454</v>
      </c>
      <c r="H105" s="180" t="s">
        <v>454</v>
      </c>
      <c r="I105" s="180" t="s">
        <v>454</v>
      </c>
      <c r="J105" s="180" t="s">
        <v>454</v>
      </c>
      <c r="K105" s="181" t="s">
        <v>768</v>
      </c>
      <c r="L105" s="254" t="s">
        <v>1684</v>
      </c>
      <c r="M105" s="255"/>
      <c r="N105" s="210" t="s">
        <v>16</v>
      </c>
      <c r="O105" s="211">
        <v>112</v>
      </c>
      <c r="P105" s="211">
        <v>159.94999999999999</v>
      </c>
      <c r="Q105" s="212">
        <v>0</v>
      </c>
      <c r="R105" s="211">
        <f t="shared" si="3"/>
        <v>125</v>
      </c>
      <c r="S105" s="213">
        <f t="shared" si="4"/>
        <v>159.94999999999999</v>
      </c>
    </row>
    <row r="106" spans="1:19" s="7" customFormat="1" ht="12.75">
      <c r="A106" s="221" t="s">
        <v>17</v>
      </c>
      <c r="B106" s="156" t="s">
        <v>644</v>
      </c>
      <c r="C106" s="244" t="s">
        <v>1807</v>
      </c>
      <c r="D106" s="149" t="s">
        <v>1752</v>
      </c>
      <c r="E106" s="147" t="s">
        <v>454</v>
      </c>
      <c r="F106" s="147" t="s">
        <v>454</v>
      </c>
      <c r="G106" s="147" t="s">
        <v>454</v>
      </c>
      <c r="H106" s="147" t="s">
        <v>454</v>
      </c>
      <c r="I106" s="147" t="s">
        <v>454</v>
      </c>
      <c r="J106" s="147" t="s">
        <v>454</v>
      </c>
      <c r="K106" s="148" t="s">
        <v>768</v>
      </c>
      <c r="L106" s="148"/>
      <c r="M106" s="262"/>
      <c r="N106" s="189" t="s">
        <v>16</v>
      </c>
      <c r="O106" s="252">
        <v>39.99</v>
      </c>
      <c r="P106" s="252">
        <v>59.95</v>
      </c>
      <c r="Q106" s="179">
        <v>0</v>
      </c>
      <c r="R106" s="252">
        <f t="shared" si="3"/>
        <v>125</v>
      </c>
      <c r="S106" s="253">
        <f t="shared" si="4"/>
        <v>59.95</v>
      </c>
    </row>
    <row r="107" spans="1:19" s="7" customFormat="1" ht="12.75">
      <c r="A107" s="221" t="s">
        <v>1487</v>
      </c>
      <c r="B107" s="156" t="s">
        <v>1485</v>
      </c>
      <c r="C107" s="244" t="s">
        <v>1486</v>
      </c>
      <c r="D107" s="149" t="s">
        <v>1709</v>
      </c>
      <c r="E107" s="147" t="s">
        <v>454</v>
      </c>
      <c r="F107" s="147" t="s">
        <v>454</v>
      </c>
      <c r="G107" s="147" t="s">
        <v>454</v>
      </c>
      <c r="H107" s="147" t="s">
        <v>454</v>
      </c>
      <c r="I107" s="147" t="s">
        <v>454</v>
      </c>
      <c r="J107" s="147" t="s">
        <v>454</v>
      </c>
      <c r="K107" s="148" t="s">
        <v>768</v>
      </c>
      <c r="L107" s="148"/>
      <c r="M107" s="262"/>
      <c r="N107" s="189" t="s">
        <v>0</v>
      </c>
      <c r="O107" s="252">
        <v>47</v>
      </c>
      <c r="P107" s="252">
        <v>64.95</v>
      </c>
      <c r="Q107" s="179">
        <v>0</v>
      </c>
      <c r="R107" s="252">
        <f t="shared" si="3"/>
        <v>125</v>
      </c>
      <c r="S107" s="253">
        <f t="shared" si="4"/>
        <v>64.95</v>
      </c>
    </row>
    <row r="108" spans="1:19" s="7" customFormat="1" ht="12.75">
      <c r="A108" s="221" t="s">
        <v>294</v>
      </c>
      <c r="B108" s="156" t="s">
        <v>295</v>
      </c>
      <c r="C108" s="244" t="s">
        <v>296</v>
      </c>
      <c r="D108" s="149" t="s">
        <v>1708</v>
      </c>
      <c r="E108" s="147" t="s">
        <v>454</v>
      </c>
      <c r="F108" s="147" t="s">
        <v>454</v>
      </c>
      <c r="G108" s="147" t="s">
        <v>454</v>
      </c>
      <c r="H108" s="147" t="s">
        <v>454</v>
      </c>
      <c r="I108" s="147" t="s">
        <v>454</v>
      </c>
      <c r="J108" s="147" t="s">
        <v>454</v>
      </c>
      <c r="K108" s="148" t="s">
        <v>768</v>
      </c>
      <c r="L108" s="148"/>
      <c r="M108" s="262"/>
      <c r="N108" s="189" t="s">
        <v>0</v>
      </c>
      <c r="O108" s="252">
        <v>60</v>
      </c>
      <c r="P108" s="252">
        <v>79.95</v>
      </c>
      <c r="Q108" s="179">
        <v>0</v>
      </c>
      <c r="R108" s="252">
        <f t="shared" si="3"/>
        <v>125</v>
      </c>
      <c r="S108" s="253">
        <f t="shared" si="4"/>
        <v>79.95</v>
      </c>
    </row>
    <row r="109" spans="1:19" s="7" customFormat="1" ht="12.75">
      <c r="A109" s="221" t="s">
        <v>9</v>
      </c>
      <c r="B109" s="156" t="s">
        <v>919</v>
      </c>
      <c r="C109" s="244" t="s">
        <v>920</v>
      </c>
      <c r="D109" s="149" t="s">
        <v>2054</v>
      </c>
      <c r="E109" s="147" t="s">
        <v>454</v>
      </c>
      <c r="F109" s="147" t="s">
        <v>454</v>
      </c>
      <c r="G109" s="147" t="s">
        <v>454</v>
      </c>
      <c r="H109" s="147" t="s">
        <v>454</v>
      </c>
      <c r="I109" s="147" t="s">
        <v>454</v>
      </c>
      <c r="J109" s="147" t="s">
        <v>454</v>
      </c>
      <c r="K109" s="148" t="s">
        <v>768</v>
      </c>
      <c r="L109" s="148" t="s">
        <v>1684</v>
      </c>
      <c r="M109" s="262"/>
      <c r="N109" s="189" t="s">
        <v>10</v>
      </c>
      <c r="O109" s="252">
        <v>53</v>
      </c>
      <c r="P109" s="252">
        <v>88.95</v>
      </c>
      <c r="Q109" s="179">
        <v>0.2</v>
      </c>
      <c r="R109" s="252">
        <f t="shared" si="3"/>
        <v>125</v>
      </c>
      <c r="S109" s="253">
        <f t="shared" si="4"/>
        <v>113.95</v>
      </c>
    </row>
    <row r="110" spans="1:19" s="7" customFormat="1" ht="12.75">
      <c r="A110" s="221" t="s">
        <v>1059</v>
      </c>
      <c r="B110" s="156" t="s">
        <v>1060</v>
      </c>
      <c r="C110" s="244" t="s">
        <v>1068</v>
      </c>
      <c r="D110" s="149" t="s">
        <v>1856</v>
      </c>
      <c r="E110" s="147" t="s">
        <v>454</v>
      </c>
      <c r="F110" s="147" t="s">
        <v>454</v>
      </c>
      <c r="G110" s="147" t="s">
        <v>454</v>
      </c>
      <c r="H110" s="147" t="s">
        <v>454</v>
      </c>
      <c r="I110" s="147" t="s">
        <v>454</v>
      </c>
      <c r="J110" s="147" t="s">
        <v>454</v>
      </c>
      <c r="K110" s="148" t="s">
        <v>768</v>
      </c>
      <c r="L110" s="148"/>
      <c r="M110" s="262"/>
      <c r="N110" s="189" t="s">
        <v>4</v>
      </c>
      <c r="O110" s="252">
        <v>2.5</v>
      </c>
      <c r="P110" s="252">
        <v>4.95</v>
      </c>
      <c r="Q110" s="179">
        <v>0</v>
      </c>
      <c r="R110" s="252">
        <f t="shared" si="3"/>
        <v>125</v>
      </c>
      <c r="S110" s="253">
        <f t="shared" si="4"/>
        <v>4.95</v>
      </c>
    </row>
    <row r="111" spans="1:19" s="7" customFormat="1" ht="12.75">
      <c r="A111" s="221" t="s">
        <v>1061</v>
      </c>
      <c r="B111" s="156" t="s">
        <v>1646</v>
      </c>
      <c r="C111" s="244" t="s">
        <v>1069</v>
      </c>
      <c r="D111" s="149" t="s">
        <v>1857</v>
      </c>
      <c r="E111" s="147" t="s">
        <v>454</v>
      </c>
      <c r="F111" s="147" t="s">
        <v>454</v>
      </c>
      <c r="G111" s="147" t="s">
        <v>454</v>
      </c>
      <c r="H111" s="147" t="s">
        <v>454</v>
      </c>
      <c r="I111" s="147" t="s">
        <v>454</v>
      </c>
      <c r="J111" s="147" t="s">
        <v>454</v>
      </c>
      <c r="K111" s="148" t="s">
        <v>768</v>
      </c>
      <c r="L111" s="148"/>
      <c r="M111" s="262"/>
      <c r="N111" s="189" t="s">
        <v>4</v>
      </c>
      <c r="O111" s="252">
        <v>2.5</v>
      </c>
      <c r="P111" s="252">
        <v>4.95</v>
      </c>
      <c r="Q111" s="179">
        <v>0</v>
      </c>
      <c r="R111" s="252">
        <f t="shared" si="3"/>
        <v>125</v>
      </c>
      <c r="S111" s="253">
        <f t="shared" si="4"/>
        <v>4.95</v>
      </c>
    </row>
    <row r="112" spans="1:19" s="7" customFormat="1" ht="12.75">
      <c r="A112" s="221" t="s">
        <v>1070</v>
      </c>
      <c r="B112" s="156" t="s">
        <v>1064</v>
      </c>
      <c r="C112" s="244" t="s">
        <v>1066</v>
      </c>
      <c r="D112" s="149" t="s">
        <v>1858</v>
      </c>
      <c r="E112" s="147" t="s">
        <v>454</v>
      </c>
      <c r="F112" s="147" t="s">
        <v>454</v>
      </c>
      <c r="G112" s="147" t="s">
        <v>454</v>
      </c>
      <c r="H112" s="147" t="s">
        <v>454</v>
      </c>
      <c r="I112" s="147" t="s">
        <v>454</v>
      </c>
      <c r="J112" s="147" t="s">
        <v>454</v>
      </c>
      <c r="K112" s="148" t="s">
        <v>768</v>
      </c>
      <c r="L112" s="148"/>
      <c r="M112" s="262"/>
      <c r="N112" s="189" t="s">
        <v>4</v>
      </c>
      <c r="O112" s="252">
        <v>2.5</v>
      </c>
      <c r="P112" s="252">
        <v>4.95</v>
      </c>
      <c r="Q112" s="179">
        <v>0</v>
      </c>
      <c r="R112" s="252">
        <f t="shared" si="3"/>
        <v>125</v>
      </c>
      <c r="S112" s="253">
        <f t="shared" si="4"/>
        <v>4.95</v>
      </c>
    </row>
    <row r="113" spans="1:19" s="7" customFormat="1" ht="12.75">
      <c r="A113" s="221" t="s">
        <v>1071</v>
      </c>
      <c r="B113" s="156" t="s">
        <v>1065</v>
      </c>
      <c r="C113" s="244" t="s">
        <v>1067</v>
      </c>
      <c r="D113" s="149" t="s">
        <v>1858</v>
      </c>
      <c r="E113" s="147" t="s">
        <v>454</v>
      </c>
      <c r="F113" s="147" t="s">
        <v>454</v>
      </c>
      <c r="G113" s="147" t="s">
        <v>454</v>
      </c>
      <c r="H113" s="147" t="s">
        <v>454</v>
      </c>
      <c r="I113" s="147" t="s">
        <v>454</v>
      </c>
      <c r="J113" s="147" t="s">
        <v>454</v>
      </c>
      <c r="K113" s="148" t="s">
        <v>768</v>
      </c>
      <c r="L113" s="148"/>
      <c r="M113" s="262"/>
      <c r="N113" s="189" t="s">
        <v>4</v>
      </c>
      <c r="O113" s="252">
        <v>2.5</v>
      </c>
      <c r="P113" s="252">
        <v>4.95</v>
      </c>
      <c r="Q113" s="179">
        <v>0</v>
      </c>
      <c r="R113" s="252">
        <f t="shared" si="3"/>
        <v>125</v>
      </c>
      <c r="S113" s="253">
        <f t="shared" si="4"/>
        <v>4.95</v>
      </c>
    </row>
    <row r="114" spans="1:19" s="7" customFormat="1" ht="12.75">
      <c r="A114" s="221" t="s">
        <v>1771</v>
      </c>
      <c r="B114" s="156" t="s">
        <v>1773</v>
      </c>
      <c r="C114" s="244" t="s">
        <v>1775</v>
      </c>
      <c r="D114" s="149"/>
      <c r="E114" s="147" t="s">
        <v>454</v>
      </c>
      <c r="F114" s="147" t="s">
        <v>454</v>
      </c>
      <c r="G114" s="147" t="s">
        <v>454</v>
      </c>
      <c r="H114" s="147" t="s">
        <v>454</v>
      </c>
      <c r="I114" s="147" t="s">
        <v>454</v>
      </c>
      <c r="J114" s="147" t="s">
        <v>454</v>
      </c>
      <c r="K114" s="148"/>
      <c r="L114" s="148"/>
      <c r="M114" s="262"/>
      <c r="N114" s="189" t="s">
        <v>4</v>
      </c>
      <c r="O114" s="252" t="e">
        <v>#N/A</v>
      </c>
      <c r="P114" s="252" t="e">
        <v>#N/A</v>
      </c>
      <c r="Q114" s="179">
        <v>0</v>
      </c>
      <c r="R114" s="252">
        <f t="shared" si="3"/>
        <v>125</v>
      </c>
      <c r="S114" s="253" t="e">
        <f t="shared" si="4"/>
        <v>#N/A</v>
      </c>
    </row>
    <row r="115" spans="1:19" s="7" customFormat="1" ht="12.75">
      <c r="A115" s="221" t="s">
        <v>1772</v>
      </c>
      <c r="B115" s="156" t="s">
        <v>1774</v>
      </c>
      <c r="C115" s="244" t="s">
        <v>1776</v>
      </c>
      <c r="D115" s="149"/>
      <c r="E115" s="147" t="s">
        <v>454</v>
      </c>
      <c r="F115" s="147" t="s">
        <v>454</v>
      </c>
      <c r="G115" s="147" t="s">
        <v>454</v>
      </c>
      <c r="H115" s="147" t="s">
        <v>454</v>
      </c>
      <c r="I115" s="147" t="s">
        <v>454</v>
      </c>
      <c r="J115" s="147" t="s">
        <v>454</v>
      </c>
      <c r="K115" s="148"/>
      <c r="L115" s="148"/>
      <c r="M115" s="262"/>
      <c r="N115" s="189" t="s">
        <v>4</v>
      </c>
      <c r="O115" s="252" t="e">
        <v>#N/A</v>
      </c>
      <c r="P115" s="252" t="e">
        <v>#N/A</v>
      </c>
      <c r="Q115" s="179">
        <v>0</v>
      </c>
      <c r="R115" s="252">
        <f t="shared" si="3"/>
        <v>125</v>
      </c>
      <c r="S115" s="253" t="e">
        <f t="shared" si="4"/>
        <v>#N/A</v>
      </c>
    </row>
  </sheetData>
  <sortState xmlns:xlrd2="http://schemas.microsoft.com/office/spreadsheetml/2017/richdata2" ref="A3:R112">
    <sortCondition ref="B3:B112"/>
  </sortState>
  <mergeCells count="4">
    <mergeCell ref="L2:M2"/>
    <mergeCell ref="A1:C1"/>
    <mergeCell ref="D1:M1"/>
    <mergeCell ref="R1:S1"/>
  </mergeCells>
  <conditionalFormatting sqref="O3:P115">
    <cfRule type="cellIs" dxfId="5" priority="3" operator="lessThan">
      <formula>0.02</formula>
    </cfRule>
  </conditionalFormatting>
  <hyperlinks>
    <hyperlink ref="K79" r:id="rId1" xr:uid="{9066ED1D-7762-4926-9E79-9AE1ACF7ABD1}"/>
    <hyperlink ref="K108" r:id="rId2" xr:uid="{A0002F03-22A1-45C7-A94B-513E3D557879}"/>
    <hyperlink ref="K109" r:id="rId3" xr:uid="{574ED2B9-7A30-4648-8F4E-C5C23178B39D}"/>
    <hyperlink ref="K97" r:id="rId4" xr:uid="{CF434926-78E5-43B0-8C55-F222B6A90DA2}"/>
    <hyperlink ref="K86:K92" r:id="rId5" display="PHOTO" xr:uid="{4C97E2CA-A9EC-4056-99BA-3CADCB1FC614}"/>
    <hyperlink ref="K81" r:id="rId6" xr:uid="{99762643-8D26-4247-A1CE-7A29489B41BF}"/>
    <hyperlink ref="K85" r:id="rId7" xr:uid="{927BB2A7-7CF6-4585-A516-CE8FE96651DC}"/>
    <hyperlink ref="K82" r:id="rId8" xr:uid="{580859BD-95D9-493B-B144-B3A05DFC1017}"/>
    <hyperlink ref="K95" r:id="rId9" xr:uid="{C1CA3669-C377-4E0E-8DA1-728A90E550B5}"/>
    <hyperlink ref="K94" r:id="rId10" xr:uid="{D6EF7D0D-6A50-41F5-A841-4CD9D21E69C6}"/>
    <hyperlink ref="K93" r:id="rId11" xr:uid="{41963974-90E2-415A-8A62-FF4729510607}"/>
    <hyperlink ref="K84" r:id="rId12" xr:uid="{2DA75819-2A1A-4BD4-9B65-02207BAB6BB7}"/>
    <hyperlink ref="K78" r:id="rId13" xr:uid="{4D2C8BC0-A54E-4908-A61C-A94E07E9560B}"/>
    <hyperlink ref="K87" r:id="rId14" xr:uid="{BA66FAB6-0571-47B2-9F0D-2A84404A88AD}"/>
    <hyperlink ref="K86" r:id="rId15" xr:uid="{027D04D0-4584-4076-9F48-52A66E6D6421}"/>
    <hyperlink ref="K17" r:id="rId16" xr:uid="{8C3CF128-5A4D-4FBE-A6F7-1544DD5F3BD7}"/>
    <hyperlink ref="K15" r:id="rId17" xr:uid="{D709C66D-3575-4E01-B5A8-7A07705214DC}"/>
    <hyperlink ref="K16" r:id="rId18" xr:uid="{3AF86FC8-CB8F-40F0-A43F-4380A042B4BF}"/>
    <hyperlink ref="K6" r:id="rId19" xr:uid="{A6B0A0FB-547A-44A2-9FB5-3AA043B6728F}"/>
    <hyperlink ref="K9" r:id="rId20" xr:uid="{4A80684F-358B-4557-B169-A032A1BF4D20}"/>
    <hyperlink ref="K96" r:id="rId21" xr:uid="{E3B0633A-913C-4C40-9CA8-8F4170403143}"/>
    <hyperlink ref="K13" r:id="rId22" xr:uid="{74129C88-2CCA-49C3-9A2E-F42FE6000501}"/>
    <hyperlink ref="K31" r:id="rId23" xr:uid="{4382CD17-1C53-4C31-BF4B-F44FADCF43B2}"/>
    <hyperlink ref="K42" r:id="rId24" xr:uid="{6DC9B0EB-47AF-4D9E-AE90-A4D012B6A6E5}"/>
    <hyperlink ref="K45" r:id="rId25" xr:uid="{E4A2ECEB-F307-4A08-A51E-51C66802FECE}"/>
    <hyperlink ref="K46" r:id="rId26" xr:uid="{0927CF4C-7EE3-4B26-A447-D4DB450C6E42}"/>
    <hyperlink ref="K43" r:id="rId27" xr:uid="{06C256D5-B6BA-4B2E-B417-1C05F1213C37}"/>
    <hyperlink ref="K65" r:id="rId28" xr:uid="{0ED67101-DAE8-427C-9530-7281EBF08C1A}"/>
    <hyperlink ref="K64" r:id="rId29" xr:uid="{FA9D717E-1EB0-4CF1-87C0-2F786A226EA7}"/>
    <hyperlink ref="K68" r:id="rId30" xr:uid="{0DF52EE4-E71C-442C-AF30-7EF85C52C4D6}"/>
    <hyperlink ref="K66" r:id="rId31" xr:uid="{05892F52-C0A9-49B5-B03A-56A121AD96FD}"/>
    <hyperlink ref="K67" r:id="rId32" xr:uid="{EDEACF74-9BA1-4004-B0E4-7DDB1CD2820D}"/>
    <hyperlink ref="K36:K38" r:id="rId33" display="PHOTO" xr:uid="{1087BB79-AF16-45D3-995A-E88AD8CB0385}"/>
    <hyperlink ref="K12" r:id="rId34" xr:uid="{7927B8B8-CED4-4413-8A70-F34D6489A2E0}"/>
    <hyperlink ref="K83" r:id="rId35" xr:uid="{FB9EC787-5881-4D48-B092-29BD74843EA5}"/>
    <hyperlink ref="K55" r:id="rId36" xr:uid="{1CF9B2A3-972C-4DE3-8A03-B7321C2397AA}"/>
    <hyperlink ref="K52" r:id="rId37" xr:uid="{3C891A6F-3FD9-48DE-BA26-AEB95331E66F}"/>
    <hyperlink ref="K51" r:id="rId38" xr:uid="{E3DE2D9C-5CF2-4EF2-BC00-F60CF3DA2C82}"/>
    <hyperlink ref="K56" r:id="rId39" xr:uid="{90CAB55B-AFFA-4E9B-A733-5066B657EFBD}"/>
    <hyperlink ref="K57" r:id="rId40" xr:uid="{56BDF849-CA97-4545-A8E0-22D0642EFAA9}"/>
    <hyperlink ref="K54" r:id="rId41" xr:uid="{B6611F00-A442-4B49-9E4F-463587448FFB}"/>
    <hyperlink ref="K48" r:id="rId42" xr:uid="{14FC23A6-1D69-4950-9B0C-7C9E5B5AF3BE}"/>
    <hyperlink ref="K69" r:id="rId43" xr:uid="{D474267B-02D0-4B24-9F34-86F9DD7CA98B}"/>
    <hyperlink ref="K40" r:id="rId44" xr:uid="{C50EAE84-1F65-4E8A-9ADF-4D3C4F38F377}"/>
    <hyperlink ref="K29" r:id="rId45" xr:uid="{4DD4DD15-90A3-404D-886C-2DAF7788E314}"/>
    <hyperlink ref="K28" r:id="rId46" xr:uid="{85A4F9E1-5A26-44C3-9889-3E70AC137146}"/>
    <hyperlink ref="K30" r:id="rId47" xr:uid="{F169F34A-9AD6-4216-B7BF-FB6823D05AC3}"/>
    <hyperlink ref="K41" r:id="rId48" xr:uid="{0A76DCC8-8610-4FB6-9019-A9BE98BF65C8}"/>
    <hyperlink ref="K19" r:id="rId49" xr:uid="{E9F8BAD6-11EA-4432-AD4D-F5DC8660BA36}"/>
    <hyperlink ref="K18" r:id="rId50" xr:uid="{03091D03-2D3B-4611-8DCE-B9E60CBBE6AF}"/>
    <hyperlink ref="K32" r:id="rId51" xr:uid="{23B9CA7B-7F4A-41DE-A927-28BC50B9ADF8}"/>
    <hyperlink ref="K35" r:id="rId52" xr:uid="{44F7D9F6-18A8-409C-B483-B0074FAEB308}"/>
    <hyperlink ref="K37" r:id="rId53" xr:uid="{954529CE-2CDE-46FC-9941-B8B4817CA8E9}"/>
    <hyperlink ref="K36" r:id="rId54" xr:uid="{0B5466A9-41E5-4A78-9577-ABEE6A18FBEC}"/>
    <hyperlink ref="K47" r:id="rId55" xr:uid="{FA0E53B1-10A9-41D5-B8BE-6FC65DB387D1}"/>
    <hyperlink ref="K63" r:id="rId56" xr:uid="{E601FE60-BC72-4E2A-86D3-21721AC02738}"/>
    <hyperlink ref="K4" r:id="rId57" xr:uid="{3F09F13A-A107-4E9D-ADD7-C3ECA4FAFDB3}"/>
    <hyperlink ref="K60" r:id="rId58" xr:uid="{E99E7E16-3A6A-4647-B220-6DE647354955}"/>
    <hyperlink ref="K59" r:id="rId59" xr:uid="{11575BF6-4819-4770-8192-05582A8B6DA0}"/>
    <hyperlink ref="K3" r:id="rId60" xr:uid="{76F0A064-ADE7-46A2-AE8F-7F6351F225C8}"/>
    <hyperlink ref="K33" r:id="rId61" xr:uid="{46BC5464-581D-47B8-BDD6-5D0322F9DF8C}"/>
    <hyperlink ref="K34" r:id="rId62" xr:uid="{58C7265F-1050-48AF-992E-194CD9645376}"/>
    <hyperlink ref="K50" r:id="rId63" xr:uid="{3AF68D0E-DF0F-4E53-918B-75928C0C2182}"/>
    <hyperlink ref="K89" r:id="rId64" xr:uid="{470C3431-6E01-4D05-A7F7-4095626243AB}"/>
    <hyperlink ref="K112" r:id="rId65" xr:uid="{ACC57DDD-BD18-44C3-9085-859C6EFB296D}"/>
    <hyperlink ref="K113" r:id="rId66" xr:uid="{4E091A2C-D81E-499D-BA8C-720029A68F8D}"/>
    <hyperlink ref="K110" r:id="rId67" xr:uid="{D231F0A3-CF50-47BA-AFA9-B26E735DC593}"/>
    <hyperlink ref="K111" r:id="rId68" xr:uid="{C0A470BF-1754-42F7-A292-23030F3DB5ED}"/>
    <hyperlink ref="K107" r:id="rId69" xr:uid="{26E52404-6991-4FA0-824A-982FA5B4D307}"/>
    <hyperlink ref="K5" r:id="rId70" xr:uid="{3417E2AB-C8A5-402C-91AE-8A7A8CD2B58A}"/>
    <hyperlink ref="K62" r:id="rId71" xr:uid="{7B987945-52E3-4017-90D1-EFFE7C66625F}"/>
    <hyperlink ref="K49" r:id="rId72" xr:uid="{03F9D80D-1EAA-45F1-96E2-C6D025CF4107}"/>
    <hyperlink ref="L59" r:id="rId73" xr:uid="{AE700242-6A6F-4081-8A90-20A1042B795F}"/>
    <hyperlink ref="L60" r:id="rId74" xr:uid="{5FB2D5B3-5BB9-4208-8154-D7AF37230E8B}"/>
    <hyperlink ref="L6" r:id="rId75" xr:uid="{4A027D10-119D-4609-8D33-82A719D90DF8}"/>
    <hyperlink ref="L8" r:id="rId76" xr:uid="{ABEC82F8-A961-4720-B38E-597D77E27B56}"/>
    <hyperlink ref="L9" r:id="rId77" xr:uid="{7F081F76-4F1E-47A2-A33D-16ECC5FA6A4A}"/>
    <hyperlink ref="L12" r:id="rId78" xr:uid="{5F7C7CA3-A1FE-42F1-8F77-EFE4C99F846C}"/>
    <hyperlink ref="L13" r:id="rId79" xr:uid="{EBE5E25C-7519-4FD0-BBD6-72C5B38F3265}"/>
    <hyperlink ref="L14" r:id="rId80" xr:uid="{7A0DB8E3-9830-48ED-BCAC-03F2931139EC}"/>
    <hyperlink ref="K14" r:id="rId81" xr:uid="{4736F44B-AB2B-4BCD-BE95-B0B29BEEAD70}"/>
    <hyperlink ref="L16" r:id="rId82" xr:uid="{F03BBCE4-C68B-4E57-B1AF-7E67EE7C08F2}"/>
    <hyperlink ref="L17" r:id="rId83" xr:uid="{D41E83EF-EC6E-48A0-B1CD-E8A86E2DEC32}"/>
    <hyperlink ref="L18" r:id="rId84" xr:uid="{7C24ADC4-BB9D-4279-8838-FEAE400FEA34}"/>
    <hyperlink ref="L23" r:id="rId85" xr:uid="{FDF9B15A-DA31-440A-A39A-C2ED634BB1DC}"/>
    <hyperlink ref="L24" r:id="rId86" xr:uid="{EC82DE54-C7F9-44AC-B331-A74E0EBA980C}"/>
    <hyperlink ref="L25" r:id="rId87" xr:uid="{421A6362-050F-40B2-86F5-E89D8AD64273}"/>
    <hyperlink ref="L27" r:id="rId88" xr:uid="{2BFD1970-883C-4A6B-8365-ED3340E00EDD}"/>
    <hyperlink ref="L31" r:id="rId89" xr:uid="{CCE60A1A-C70E-4C50-A8BD-3C48053C601A}"/>
    <hyperlink ref="K38" r:id="rId90" xr:uid="{FC02C517-BE56-4C2D-B347-5900CFCB1178}"/>
    <hyperlink ref="L38" r:id="rId91" xr:uid="{DDE18D49-19DD-47D4-B64A-EA6B1F703281}"/>
    <hyperlink ref="L39" r:id="rId92" xr:uid="{677179E4-E614-4E56-A84C-69810F06BA76}"/>
    <hyperlink ref="K39" r:id="rId93" xr:uid="{8DEDAFFC-336D-462B-AC19-CF1978DAE29C}"/>
    <hyperlink ref="L40" r:id="rId94" xr:uid="{867E5D60-8849-49CB-B9F3-5DA4378C7661}"/>
    <hyperlink ref="L42" r:id="rId95" xr:uid="{F8E77D1D-3B75-429F-A2C4-59F95F8D97E5}"/>
    <hyperlink ref="L43" r:id="rId96" xr:uid="{48EB4410-E888-48BC-9C21-9848A44E7949}"/>
    <hyperlink ref="L45" r:id="rId97" xr:uid="{2FD75C7D-2D51-4326-950A-64C5BB56384B}"/>
    <hyperlink ref="L61" r:id="rId98" xr:uid="{8BBF9FB5-4F81-44BE-BFF5-8D56483BF056}"/>
    <hyperlink ref="L62" r:id="rId99" xr:uid="{39D5E1A3-7005-4173-B2BC-A252104C55D9}"/>
    <hyperlink ref="L64" r:id="rId100" xr:uid="{EDED4D59-DEDD-47AE-B33B-203E777B3BFD}"/>
    <hyperlink ref="L63" r:id="rId101" xr:uid="{2BCE8ED0-C600-43C4-A914-AA45A282CAE8}"/>
    <hyperlink ref="L65" r:id="rId102" xr:uid="{28789EF7-482A-4BC6-B246-5CF90F027BFE}"/>
    <hyperlink ref="L66" r:id="rId103" xr:uid="{D61FB0FE-A17A-4865-80F4-3E0B2F89F108}"/>
    <hyperlink ref="L67" r:id="rId104" xr:uid="{CBB3FA66-666B-44D0-89FD-799DC97FBD38}"/>
    <hyperlink ref="L68" r:id="rId105" xr:uid="{1DE461CF-7645-4D58-9DEA-33D094E27986}"/>
    <hyperlink ref="L69" r:id="rId106" xr:uid="{583C39DB-5A99-4095-9A22-52943D8000C8}"/>
    <hyperlink ref="L69:L75" r:id="rId107" display="SHEET" xr:uid="{4D804106-ED35-4092-BCE8-6C331204C09B}"/>
    <hyperlink ref="L96" r:id="rId108" xr:uid="{4C49AC82-9EF1-4DE2-BC0B-29340AEF08EF}"/>
    <hyperlink ref="L109" r:id="rId109" xr:uid="{E5A15766-E20F-4211-AA6B-22F3E8261B69}"/>
    <hyperlink ref="L82" r:id="rId110" xr:uid="{F1FB2D8B-CE54-474E-865A-963F6105D60D}"/>
    <hyperlink ref="L81" r:id="rId111" xr:uid="{B8A2405E-64D3-4B68-8C49-592E011F60E8}"/>
    <hyperlink ref="L87" r:id="rId112" xr:uid="{CC29B247-E01F-43EA-8EB3-411FCFCD4909}"/>
    <hyperlink ref="L93" r:id="rId113" xr:uid="{FA1012D0-0DE1-4CA4-BB00-CA579E3587EF}"/>
    <hyperlink ref="L83" r:id="rId114" xr:uid="{09DD977C-B8E1-465B-BDAF-8E6BF7B9EF7E}"/>
    <hyperlink ref="L51" r:id="rId115" xr:uid="{A4AE15C1-1B97-43DF-9A7D-DA1BDC5C2A2E}"/>
    <hyperlink ref="K61" r:id="rId116" xr:uid="{C2091AFC-4519-4F08-9C8A-41605C3A4523}"/>
    <hyperlink ref="K106" r:id="rId117" xr:uid="{C7250AAB-134A-4BE7-8AFA-3A466CD6382A}"/>
    <hyperlink ref="K11" r:id="rId118" xr:uid="{4E73AC08-8DE3-494C-AD82-DC3FF05A94D4}"/>
    <hyperlink ref="K20" r:id="rId119" xr:uid="{DC53517E-A586-4DEB-816E-30DA6982541C}"/>
    <hyperlink ref="K22" r:id="rId120" xr:uid="{191EE081-C3CD-4F34-9A9C-15A00F1E3C3B}"/>
    <hyperlink ref="L20" r:id="rId121" xr:uid="{7E9E35B5-FF12-405B-8BD4-7D92D114E299}"/>
    <hyperlink ref="L22" r:id="rId122" xr:uid="{ED8A16E5-F69D-4123-9926-EB913F1B35B1}"/>
    <hyperlink ref="L3" r:id="rId123" xr:uid="{05276D3B-DA78-40EC-B736-F1B64C2C0C4F}"/>
    <hyperlink ref="L94" r:id="rId124" xr:uid="{E327AF72-7FB7-45B5-8CEB-C29311AAD0FA}"/>
    <hyperlink ref="K8" r:id="rId125" xr:uid="{7FFF4132-09DC-4353-85E3-FB8EA816456D}"/>
    <hyperlink ref="K24" r:id="rId126" xr:uid="{C18B2516-C826-45CB-AC7D-40B28867EC8B}"/>
    <hyperlink ref="K25" r:id="rId127" xr:uid="{58C3165A-C583-4582-91D4-3104C1ECEF75}"/>
    <hyperlink ref="L58" r:id="rId128" xr:uid="{27847611-9D34-487B-BF6B-C654863CCE95}"/>
    <hyperlink ref="K80" r:id="rId129" xr:uid="{D24F940A-C170-440F-B902-68405BD12959}"/>
    <hyperlink ref="L80" r:id="rId130" xr:uid="{47051F73-4014-4C4A-B83D-C36FAC7D4E2E}"/>
    <hyperlink ref="K77" r:id="rId131" xr:uid="{E733FA4F-28C1-4D90-9C6C-410AE7D51049}"/>
    <hyperlink ref="L105" r:id="rId132" xr:uid="{227F20AD-D6CB-43A2-B0A1-6424E046DC7F}"/>
    <hyperlink ref="K105" r:id="rId133" xr:uid="{E960A881-74AF-40D6-9325-A8B79ECDD223}"/>
  </hyperlinks>
  <pageMargins left="0.7" right="0.7" top="0.75" bottom="0.75" header="0.3" footer="0.3"/>
  <pageSetup orientation="portrait" r:id="rId134"/>
  <legacyDrawing r:id="rId13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115D-5810-430D-A047-DF238B1DBB9B}">
  <sheetPr published="0">
    <tabColor theme="8" tint="0.39997558519241921"/>
  </sheetPr>
  <dimension ref="A1:AY140"/>
  <sheetViews>
    <sheetView zoomScale="85" zoomScaleNormal="85" workbookViewId="0">
      <pane xSplit="2" ySplit="2" topLeftCell="C3" activePane="bottomRight" state="frozenSplit"/>
      <selection pane="topRight" activeCell="C1" sqref="C1"/>
      <selection pane="bottomLeft" activeCell="A12" sqref="A12"/>
      <selection pane="bottomRight" activeCell="A2" sqref="A2"/>
    </sheetView>
  </sheetViews>
  <sheetFormatPr defaultRowHeight="15"/>
  <cols>
    <col min="1" max="1" width="23.28515625" bestFit="1" customWidth="1"/>
    <col min="2" max="2" width="81.42578125" customWidth="1"/>
    <col min="3" max="3" width="106.42578125" style="7" customWidth="1"/>
    <col min="4" max="4" width="122.42578125" style="18" customWidth="1"/>
    <col min="5" max="5" width="4" style="135" customWidth="1"/>
    <col min="6" max="6" width="5.140625" style="17" customWidth="1"/>
    <col min="7" max="7" width="5.5703125" style="17" customWidth="1"/>
    <col min="8" max="8" width="7.28515625" style="17" customWidth="1"/>
    <col min="9" max="9" width="11.5703125" style="17" customWidth="1"/>
    <col min="10" max="10" width="8.7109375" style="133" customWidth="1"/>
    <col min="11" max="12" width="6.42578125" style="133" customWidth="1"/>
    <col min="13" max="13" width="12" style="18" bestFit="1" customWidth="1"/>
    <col min="14" max="14" width="11.42578125" style="20" bestFit="1" customWidth="1"/>
    <col min="15" max="15" width="11.42578125" style="69" bestFit="1" customWidth="1"/>
    <col min="16" max="16" width="8.42578125" style="18" bestFit="1" customWidth="1"/>
    <col min="17" max="17" width="9.5703125" bestFit="1" customWidth="1"/>
    <col min="18" max="18" width="13.28515625" style="142" bestFit="1" customWidth="1"/>
  </cols>
  <sheetData>
    <row r="1" spans="1:19" s="2" customFormat="1" ht="45">
      <c r="A1" s="346" t="s">
        <v>1815</v>
      </c>
      <c r="B1" s="347"/>
      <c r="C1" s="347"/>
      <c r="D1" s="348" t="s">
        <v>1039</v>
      </c>
      <c r="E1" s="348"/>
      <c r="F1" s="348"/>
      <c r="G1" s="348"/>
      <c r="H1" s="348"/>
      <c r="I1" s="348"/>
      <c r="J1" s="348"/>
      <c r="K1" s="348"/>
      <c r="L1" s="348"/>
      <c r="M1" s="9">
        <v>125</v>
      </c>
      <c r="N1" s="54"/>
      <c r="O1" s="68"/>
      <c r="P1" s="229"/>
      <c r="Q1" s="349" t="s">
        <v>213</v>
      </c>
      <c r="R1" s="350"/>
    </row>
    <row r="2" spans="1:19" s="12" customFormat="1" ht="47.25">
      <c r="A2" s="10" t="s">
        <v>140</v>
      </c>
      <c r="B2" s="10" t="s">
        <v>141</v>
      </c>
      <c r="C2" s="10" t="s">
        <v>142</v>
      </c>
      <c r="D2" s="10" t="s">
        <v>143</v>
      </c>
      <c r="E2" s="134" t="s">
        <v>450</v>
      </c>
      <c r="F2" s="4" t="s">
        <v>452</v>
      </c>
      <c r="G2" s="4" t="s">
        <v>455</v>
      </c>
      <c r="H2" s="4" t="s">
        <v>453</v>
      </c>
      <c r="I2" s="4" t="s">
        <v>1785</v>
      </c>
      <c r="J2" s="141" t="s">
        <v>768</v>
      </c>
      <c r="K2" s="351" t="s">
        <v>1685</v>
      </c>
      <c r="L2" s="352"/>
      <c r="M2" s="10" t="s">
        <v>144</v>
      </c>
      <c r="N2" s="219" t="s">
        <v>145</v>
      </c>
      <c r="O2" s="261" t="s">
        <v>146</v>
      </c>
      <c r="P2" s="10" t="s">
        <v>147</v>
      </c>
      <c r="Q2" s="202" t="s">
        <v>148</v>
      </c>
      <c r="R2" s="219" t="s">
        <v>149</v>
      </c>
    </row>
    <row r="3" spans="1:19" s="14" customFormat="1" ht="12.75">
      <c r="A3" s="162" t="s">
        <v>521</v>
      </c>
      <c r="B3" s="144" t="s">
        <v>555</v>
      </c>
      <c r="C3" s="151" t="s">
        <v>967</v>
      </c>
      <c r="D3" s="174" t="s">
        <v>855</v>
      </c>
      <c r="E3" s="146" t="s">
        <v>454</v>
      </c>
      <c r="F3" s="147"/>
      <c r="G3" s="147"/>
      <c r="H3" s="147"/>
      <c r="I3" s="147"/>
      <c r="J3" s="148" t="s">
        <v>768</v>
      </c>
      <c r="K3" s="148" t="s">
        <v>1684</v>
      </c>
      <c r="L3" s="148"/>
      <c r="M3" s="149" t="s">
        <v>10</v>
      </c>
      <c r="N3" s="150">
        <v>463.77</v>
      </c>
      <c r="O3" s="150">
        <v>772.95</v>
      </c>
      <c r="P3" s="188">
        <v>0.5</v>
      </c>
      <c r="Q3" s="199">
        <f t="shared" ref="Q3:Q66" si="0">$M$1</f>
        <v>125</v>
      </c>
      <c r="R3" s="152">
        <f t="shared" ref="R3:R44" si="1">P3*Q3+O3</f>
        <v>835.45</v>
      </c>
    </row>
    <row r="4" spans="1:19" s="14" customFormat="1" ht="12.75">
      <c r="A4" s="162" t="s">
        <v>871</v>
      </c>
      <c r="B4" s="144" t="s">
        <v>1009</v>
      </c>
      <c r="C4" s="151" t="s">
        <v>966</v>
      </c>
      <c r="D4" s="174" t="s">
        <v>2114</v>
      </c>
      <c r="E4" s="146" t="s">
        <v>454</v>
      </c>
      <c r="F4" s="147" t="s">
        <v>454</v>
      </c>
      <c r="G4" s="147" t="s">
        <v>454</v>
      </c>
      <c r="H4" s="147" t="s">
        <v>454</v>
      </c>
      <c r="I4" s="147" t="s">
        <v>454</v>
      </c>
      <c r="J4" s="148" t="s">
        <v>768</v>
      </c>
      <c r="K4" s="148"/>
      <c r="L4" s="148"/>
      <c r="M4" s="149" t="s">
        <v>59</v>
      </c>
      <c r="N4" s="150">
        <v>1750</v>
      </c>
      <c r="O4" s="150">
        <v>2295.9499999999998</v>
      </c>
      <c r="P4" s="188">
        <v>1.5</v>
      </c>
      <c r="Q4" s="199">
        <f t="shared" si="0"/>
        <v>125</v>
      </c>
      <c r="R4" s="152">
        <f t="shared" si="1"/>
        <v>2483.4499999999998</v>
      </c>
    </row>
    <row r="5" spans="1:19" s="7" customFormat="1" ht="12.75">
      <c r="A5" s="162" t="s">
        <v>1571</v>
      </c>
      <c r="B5" s="144" t="s">
        <v>1845</v>
      </c>
      <c r="C5" s="151" t="s">
        <v>1846</v>
      </c>
      <c r="D5" s="174" t="s">
        <v>1828</v>
      </c>
      <c r="E5" s="146" t="s">
        <v>454</v>
      </c>
      <c r="F5" s="147" t="s">
        <v>454</v>
      </c>
      <c r="G5" s="147" t="s">
        <v>454</v>
      </c>
      <c r="H5" s="147" t="s">
        <v>454</v>
      </c>
      <c r="I5" s="147" t="s">
        <v>454</v>
      </c>
      <c r="J5" s="148"/>
      <c r="K5" s="148" t="s">
        <v>1684</v>
      </c>
      <c r="L5" s="148"/>
      <c r="M5" s="149" t="s">
        <v>0</v>
      </c>
      <c r="N5" s="150">
        <v>127.17</v>
      </c>
      <c r="O5" s="150">
        <v>211.95</v>
      </c>
      <c r="P5" s="188">
        <v>0</v>
      </c>
      <c r="Q5" s="199">
        <f t="shared" si="0"/>
        <v>125</v>
      </c>
      <c r="R5" s="152">
        <f t="shared" si="1"/>
        <v>211.95</v>
      </c>
      <c r="S5" s="14"/>
    </row>
    <row r="6" spans="1:19" s="7" customFormat="1" ht="12.75">
      <c r="A6" s="162" t="s">
        <v>523</v>
      </c>
      <c r="B6" s="144" t="s">
        <v>797</v>
      </c>
      <c r="C6" s="151" t="s">
        <v>968</v>
      </c>
      <c r="D6" s="174" t="s">
        <v>856</v>
      </c>
      <c r="E6" s="146" t="s">
        <v>454</v>
      </c>
      <c r="F6" s="147" t="s">
        <v>454</v>
      </c>
      <c r="G6" s="147" t="s">
        <v>454</v>
      </c>
      <c r="H6" s="147" t="s">
        <v>454</v>
      </c>
      <c r="I6" s="147" t="s">
        <v>454</v>
      </c>
      <c r="J6" s="148" t="s">
        <v>768</v>
      </c>
      <c r="K6" s="148"/>
      <c r="L6" s="148"/>
      <c r="M6" s="149" t="s">
        <v>4</v>
      </c>
      <c r="N6" s="150">
        <v>232.17</v>
      </c>
      <c r="O6" s="150">
        <v>386.95</v>
      </c>
      <c r="P6" s="188">
        <v>0.4</v>
      </c>
      <c r="Q6" s="199">
        <f t="shared" si="0"/>
        <v>125</v>
      </c>
      <c r="R6" s="152">
        <f t="shared" si="1"/>
        <v>436.95</v>
      </c>
      <c r="S6" s="14"/>
    </row>
    <row r="7" spans="1:19" s="7" customFormat="1" ht="12.75">
      <c r="A7" s="162" t="s">
        <v>480</v>
      </c>
      <c r="B7" s="144" t="s">
        <v>544</v>
      </c>
      <c r="C7" s="151" t="s">
        <v>969</v>
      </c>
      <c r="D7" s="174"/>
      <c r="E7" s="146" t="s">
        <v>454</v>
      </c>
      <c r="F7" s="147" t="s">
        <v>454</v>
      </c>
      <c r="G7" s="147" t="s">
        <v>454</v>
      </c>
      <c r="H7" s="147" t="s">
        <v>454</v>
      </c>
      <c r="I7" s="147" t="s">
        <v>454</v>
      </c>
      <c r="J7" s="148" t="s">
        <v>768</v>
      </c>
      <c r="K7" s="148" t="s">
        <v>1684</v>
      </c>
      <c r="L7" s="148"/>
      <c r="M7" s="149" t="s">
        <v>10</v>
      </c>
      <c r="N7" s="150">
        <v>203.37</v>
      </c>
      <c r="O7" s="150">
        <v>338.95</v>
      </c>
      <c r="P7" s="188">
        <v>0.3</v>
      </c>
      <c r="Q7" s="199">
        <f t="shared" si="0"/>
        <v>125</v>
      </c>
      <c r="R7" s="152">
        <f t="shared" si="1"/>
        <v>376.45</v>
      </c>
      <c r="S7" s="14"/>
    </row>
    <row r="8" spans="1:19" s="7" customFormat="1" ht="12.75">
      <c r="A8" s="162" t="s">
        <v>1621</v>
      </c>
      <c r="B8" s="144" t="s">
        <v>118</v>
      </c>
      <c r="C8" s="151" t="s">
        <v>389</v>
      </c>
      <c r="D8" s="174" t="s">
        <v>2170</v>
      </c>
      <c r="E8" s="146" t="s">
        <v>454</v>
      </c>
      <c r="F8" s="147" t="s">
        <v>454</v>
      </c>
      <c r="G8" s="147" t="s">
        <v>454</v>
      </c>
      <c r="H8" s="147" t="s">
        <v>454</v>
      </c>
      <c r="I8" s="147" t="s">
        <v>454</v>
      </c>
      <c r="J8" s="148"/>
      <c r="K8" s="148" t="s">
        <v>1684</v>
      </c>
      <c r="L8" s="148"/>
      <c r="M8" s="149" t="s">
        <v>16</v>
      </c>
      <c r="N8" s="150">
        <v>84.57</v>
      </c>
      <c r="O8" s="150">
        <v>140.94999999999999</v>
      </c>
      <c r="P8" s="188">
        <v>0.3</v>
      </c>
      <c r="Q8" s="199">
        <f t="shared" si="0"/>
        <v>125</v>
      </c>
      <c r="R8" s="152">
        <f t="shared" si="1"/>
        <v>178.45</v>
      </c>
      <c r="S8" s="14"/>
    </row>
    <row r="9" spans="1:19" s="7" customFormat="1" ht="12.75">
      <c r="A9" s="162" t="s">
        <v>1619</v>
      </c>
      <c r="B9" s="144" t="s">
        <v>1847</v>
      </c>
      <c r="C9" s="151" t="s">
        <v>1848</v>
      </c>
      <c r="D9" s="174" t="s">
        <v>1620</v>
      </c>
      <c r="E9" s="146" t="s">
        <v>454</v>
      </c>
      <c r="F9" s="147" t="s">
        <v>454</v>
      </c>
      <c r="G9" s="147" t="s">
        <v>454</v>
      </c>
      <c r="H9" s="147" t="s">
        <v>454</v>
      </c>
      <c r="I9" s="147" t="s">
        <v>454</v>
      </c>
      <c r="J9" s="148"/>
      <c r="K9" s="148" t="s">
        <v>1684</v>
      </c>
      <c r="L9" s="148"/>
      <c r="M9" s="149" t="s">
        <v>16</v>
      </c>
      <c r="N9" s="150">
        <v>107.97</v>
      </c>
      <c r="O9" s="150">
        <v>179.95</v>
      </c>
      <c r="P9" s="188">
        <v>0.3</v>
      </c>
      <c r="Q9" s="199">
        <f t="shared" si="0"/>
        <v>125</v>
      </c>
      <c r="R9" s="152">
        <f t="shared" si="1"/>
        <v>217.45</v>
      </c>
      <c r="S9" s="14"/>
    </row>
    <row r="10" spans="1:19" s="7" customFormat="1" ht="12.75">
      <c r="A10" s="162" t="s">
        <v>1578</v>
      </c>
      <c r="B10" s="144" t="s">
        <v>539</v>
      </c>
      <c r="C10" s="151" t="s">
        <v>94</v>
      </c>
      <c r="D10" s="174" t="s">
        <v>128</v>
      </c>
      <c r="E10" s="146" t="s">
        <v>454</v>
      </c>
      <c r="F10" s="147" t="s">
        <v>454</v>
      </c>
      <c r="G10" s="147" t="s">
        <v>454</v>
      </c>
      <c r="H10" s="147" t="s">
        <v>454</v>
      </c>
      <c r="I10" s="147" t="s">
        <v>454</v>
      </c>
      <c r="J10" s="148"/>
      <c r="K10" s="148" t="s">
        <v>1684</v>
      </c>
      <c r="L10" s="148"/>
      <c r="M10" s="149" t="s">
        <v>16</v>
      </c>
      <c r="N10" s="150">
        <v>92.97</v>
      </c>
      <c r="O10" s="150">
        <v>154.94999999999999</v>
      </c>
      <c r="P10" s="188">
        <v>0.6</v>
      </c>
      <c r="Q10" s="199">
        <f t="shared" si="0"/>
        <v>125</v>
      </c>
      <c r="R10" s="152">
        <f t="shared" si="1"/>
        <v>229.95</v>
      </c>
      <c r="S10" s="14"/>
    </row>
    <row r="11" spans="1:19" s="7" customFormat="1" ht="12.75">
      <c r="A11" s="162" t="s">
        <v>527</v>
      </c>
      <c r="B11" s="144" t="s">
        <v>795</v>
      </c>
      <c r="C11" s="151" t="s">
        <v>794</v>
      </c>
      <c r="D11" s="174" t="s">
        <v>857</v>
      </c>
      <c r="E11" s="146" t="s">
        <v>454</v>
      </c>
      <c r="F11" s="147" t="s">
        <v>454</v>
      </c>
      <c r="G11" s="147" t="s">
        <v>454</v>
      </c>
      <c r="H11" s="147" t="s">
        <v>454</v>
      </c>
      <c r="I11" s="147" t="s">
        <v>454</v>
      </c>
      <c r="J11" s="148" t="s">
        <v>768</v>
      </c>
      <c r="K11" s="148" t="s">
        <v>1684</v>
      </c>
      <c r="L11" s="148"/>
      <c r="M11" s="149" t="s">
        <v>16</v>
      </c>
      <c r="N11" s="150">
        <v>363.57</v>
      </c>
      <c r="O11" s="150">
        <v>605.95000000000005</v>
      </c>
      <c r="P11" s="188">
        <v>0.5</v>
      </c>
      <c r="Q11" s="199">
        <f t="shared" si="0"/>
        <v>125</v>
      </c>
      <c r="R11" s="152">
        <f t="shared" si="1"/>
        <v>668.45</v>
      </c>
      <c r="S11" s="14"/>
    </row>
    <row r="12" spans="1:19" s="7" customFormat="1" ht="12.75">
      <c r="A12" s="162" t="s">
        <v>1681</v>
      </c>
      <c r="B12" s="144" t="s">
        <v>1682</v>
      </c>
      <c r="C12" s="151" t="s">
        <v>1683</v>
      </c>
      <c r="D12" s="174"/>
      <c r="E12" s="146" t="s">
        <v>454</v>
      </c>
      <c r="F12" s="147" t="s">
        <v>454</v>
      </c>
      <c r="G12" s="147" t="s">
        <v>454</v>
      </c>
      <c r="H12" s="147" t="s">
        <v>454</v>
      </c>
      <c r="I12" s="147" t="s">
        <v>454</v>
      </c>
      <c r="J12" s="148" t="s">
        <v>768</v>
      </c>
      <c r="K12" s="148" t="s">
        <v>1684</v>
      </c>
      <c r="L12" s="148"/>
      <c r="M12" s="149" t="s">
        <v>0</v>
      </c>
      <c r="N12" s="150">
        <v>56.69</v>
      </c>
      <c r="O12" s="150">
        <v>94.95</v>
      </c>
      <c r="P12" s="188">
        <v>0</v>
      </c>
      <c r="Q12" s="199">
        <f t="shared" si="0"/>
        <v>125</v>
      </c>
      <c r="R12" s="152">
        <f t="shared" si="1"/>
        <v>94.95</v>
      </c>
      <c r="S12" s="14"/>
    </row>
    <row r="13" spans="1:19" s="7" customFormat="1" ht="12.75">
      <c r="A13" s="162" t="s">
        <v>1575</v>
      </c>
      <c r="B13" s="144" t="s">
        <v>1576</v>
      </c>
      <c r="C13" s="151" t="s">
        <v>1577</v>
      </c>
      <c r="D13" s="174" t="s">
        <v>732</v>
      </c>
      <c r="E13" s="146" t="s">
        <v>454</v>
      </c>
      <c r="F13" s="147" t="s">
        <v>454</v>
      </c>
      <c r="G13" s="147" t="s">
        <v>454</v>
      </c>
      <c r="H13" s="147" t="s">
        <v>454</v>
      </c>
      <c r="I13" s="147" t="s">
        <v>454</v>
      </c>
      <c r="J13" s="148" t="s">
        <v>768</v>
      </c>
      <c r="K13" s="148" t="s">
        <v>1684</v>
      </c>
      <c r="L13" s="148"/>
      <c r="M13" s="149" t="s">
        <v>0</v>
      </c>
      <c r="N13" s="150">
        <v>137.37</v>
      </c>
      <c r="O13" s="150">
        <v>228.95</v>
      </c>
      <c r="P13" s="188">
        <v>0.2</v>
      </c>
      <c r="Q13" s="199">
        <f t="shared" si="0"/>
        <v>125</v>
      </c>
      <c r="R13" s="152">
        <f t="shared" si="1"/>
        <v>253.95</v>
      </c>
      <c r="S13" s="14"/>
    </row>
    <row r="14" spans="1:19" s="7" customFormat="1" ht="12.75">
      <c r="A14" s="162" t="s">
        <v>535</v>
      </c>
      <c r="B14" s="144" t="s">
        <v>542</v>
      </c>
      <c r="C14" s="151" t="s">
        <v>970</v>
      </c>
      <c r="D14" s="174" t="s">
        <v>128</v>
      </c>
      <c r="E14" s="146" t="s">
        <v>454</v>
      </c>
      <c r="F14" s="147" t="s">
        <v>454</v>
      </c>
      <c r="G14" s="147" t="s">
        <v>454</v>
      </c>
      <c r="H14" s="147" t="s">
        <v>454</v>
      </c>
      <c r="I14" s="147" t="s">
        <v>454</v>
      </c>
      <c r="J14" s="148" t="s">
        <v>768</v>
      </c>
      <c r="K14" s="148" t="s">
        <v>1684</v>
      </c>
      <c r="L14" s="148"/>
      <c r="M14" s="149" t="s">
        <v>59</v>
      </c>
      <c r="N14" s="150">
        <v>265.77</v>
      </c>
      <c r="O14" s="150">
        <v>442.95</v>
      </c>
      <c r="P14" s="188">
        <v>1</v>
      </c>
      <c r="Q14" s="199">
        <f t="shared" si="0"/>
        <v>125</v>
      </c>
      <c r="R14" s="152">
        <f t="shared" si="1"/>
        <v>567.95000000000005</v>
      </c>
      <c r="S14" s="14"/>
    </row>
    <row r="15" spans="1:19" s="7" customFormat="1" ht="12.75">
      <c r="A15" s="162" t="s">
        <v>1758</v>
      </c>
      <c r="B15" s="144" t="s">
        <v>1755</v>
      </c>
      <c r="C15" s="151" t="s">
        <v>2199</v>
      </c>
      <c r="D15" s="174" t="s">
        <v>1759</v>
      </c>
      <c r="E15" s="146" t="s">
        <v>454</v>
      </c>
      <c r="F15" s="147" t="s">
        <v>454</v>
      </c>
      <c r="G15" s="147" t="s">
        <v>454</v>
      </c>
      <c r="H15" s="147" t="s">
        <v>454</v>
      </c>
      <c r="I15" s="147" t="s">
        <v>454</v>
      </c>
      <c r="J15" s="148" t="s">
        <v>768</v>
      </c>
      <c r="K15" s="148" t="s">
        <v>1684</v>
      </c>
      <c r="L15" s="148"/>
      <c r="M15" s="149" t="s">
        <v>59</v>
      </c>
      <c r="N15" s="150">
        <v>225</v>
      </c>
      <c r="O15" s="150">
        <v>319.95</v>
      </c>
      <c r="P15" s="188">
        <v>0.7</v>
      </c>
      <c r="Q15" s="199">
        <f t="shared" si="0"/>
        <v>125</v>
      </c>
      <c r="R15" s="152">
        <f t="shared" si="1"/>
        <v>407.45</v>
      </c>
      <c r="S15" s="14"/>
    </row>
    <row r="16" spans="1:19" s="7" customFormat="1" ht="12.75">
      <c r="A16" s="170" t="s">
        <v>2187</v>
      </c>
      <c r="B16" s="171" t="s">
        <v>2213</v>
      </c>
      <c r="C16" s="209" t="s">
        <v>2201</v>
      </c>
      <c r="D16" s="182" t="s">
        <v>2188</v>
      </c>
      <c r="E16" s="180" t="s">
        <v>454</v>
      </c>
      <c r="F16" s="180" t="s">
        <v>454</v>
      </c>
      <c r="G16" s="180" t="s">
        <v>454</v>
      </c>
      <c r="H16" s="180" t="s">
        <v>454</v>
      </c>
      <c r="I16" s="180" t="s">
        <v>454</v>
      </c>
      <c r="J16" s="180"/>
      <c r="K16" s="180"/>
      <c r="L16" s="180"/>
      <c r="M16" s="182" t="s">
        <v>59</v>
      </c>
      <c r="N16" s="211">
        <v>489.99</v>
      </c>
      <c r="O16" s="211">
        <v>699.95</v>
      </c>
      <c r="P16" s="212">
        <v>0.7</v>
      </c>
      <c r="Q16" s="211">
        <f t="shared" si="0"/>
        <v>125</v>
      </c>
      <c r="R16" s="213">
        <f t="shared" si="1"/>
        <v>787.45</v>
      </c>
    </row>
    <row r="17" spans="1:51" s="201" customFormat="1" ht="12.75">
      <c r="A17" s="162" t="s">
        <v>1757</v>
      </c>
      <c r="B17" s="144" t="s">
        <v>1756</v>
      </c>
      <c r="C17" s="151" t="s">
        <v>2200</v>
      </c>
      <c r="D17" s="174" t="s">
        <v>1759</v>
      </c>
      <c r="E17" s="146" t="s">
        <v>454</v>
      </c>
      <c r="F17" s="147" t="s">
        <v>454</v>
      </c>
      <c r="G17" s="147" t="s">
        <v>454</v>
      </c>
      <c r="H17" s="147" t="s">
        <v>454</v>
      </c>
      <c r="I17" s="147" t="s">
        <v>454</v>
      </c>
      <c r="J17" s="148" t="s">
        <v>768</v>
      </c>
      <c r="K17" s="148" t="s">
        <v>1684</v>
      </c>
      <c r="L17" s="262"/>
      <c r="M17" s="189" t="s">
        <v>59</v>
      </c>
      <c r="N17" s="150">
        <v>598</v>
      </c>
      <c r="O17" s="150">
        <v>849.95</v>
      </c>
      <c r="P17" s="188">
        <v>0.7</v>
      </c>
      <c r="Q17" s="199">
        <f t="shared" si="0"/>
        <v>125</v>
      </c>
      <c r="R17" s="152">
        <f t="shared" si="1"/>
        <v>937.45</v>
      </c>
      <c r="S17" s="14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s="7" customFormat="1" ht="12.75">
      <c r="A18" s="162" t="s">
        <v>514</v>
      </c>
      <c r="B18" s="144" t="s">
        <v>550</v>
      </c>
      <c r="C18" s="151" t="s">
        <v>971</v>
      </c>
      <c r="D18" s="174" t="s">
        <v>58</v>
      </c>
      <c r="E18" s="146" t="s">
        <v>454</v>
      </c>
      <c r="F18" s="147" t="s">
        <v>454</v>
      </c>
      <c r="G18" s="147" t="s">
        <v>454</v>
      </c>
      <c r="H18" s="147" t="s">
        <v>454</v>
      </c>
      <c r="I18" s="147" t="s">
        <v>454</v>
      </c>
      <c r="J18" s="148" t="s">
        <v>768</v>
      </c>
      <c r="K18" s="148" t="s">
        <v>1684</v>
      </c>
      <c r="L18" s="148"/>
      <c r="M18" s="149" t="s">
        <v>10</v>
      </c>
      <c r="N18" s="150">
        <v>76.17</v>
      </c>
      <c r="O18" s="150">
        <v>126.95</v>
      </c>
      <c r="P18" s="188">
        <v>0.2</v>
      </c>
      <c r="Q18" s="199">
        <f t="shared" si="0"/>
        <v>125</v>
      </c>
      <c r="R18" s="152">
        <f t="shared" si="1"/>
        <v>151.94999999999999</v>
      </c>
      <c r="S18" s="14"/>
    </row>
    <row r="19" spans="1:51" s="7" customFormat="1" ht="12.75">
      <c r="A19" s="162" t="s">
        <v>157</v>
      </c>
      <c r="B19" s="144" t="s">
        <v>207</v>
      </c>
      <c r="C19" s="151" t="s">
        <v>972</v>
      </c>
      <c r="D19" s="174" t="s">
        <v>1038</v>
      </c>
      <c r="E19" s="146" t="s">
        <v>454</v>
      </c>
      <c r="F19" s="147" t="s">
        <v>454</v>
      </c>
      <c r="G19" s="147" t="s">
        <v>454</v>
      </c>
      <c r="H19" s="147" t="s">
        <v>454</v>
      </c>
      <c r="I19" s="147" t="s">
        <v>454</v>
      </c>
      <c r="J19" s="148" t="s">
        <v>768</v>
      </c>
      <c r="K19" s="148" t="s">
        <v>1684</v>
      </c>
      <c r="L19" s="148"/>
      <c r="M19" s="149" t="s">
        <v>10</v>
      </c>
      <c r="N19" s="150">
        <v>141.57</v>
      </c>
      <c r="O19" s="150">
        <v>235.95</v>
      </c>
      <c r="P19" s="188">
        <v>0.2</v>
      </c>
      <c r="Q19" s="199">
        <f t="shared" si="0"/>
        <v>125</v>
      </c>
      <c r="R19" s="152">
        <f t="shared" si="1"/>
        <v>260.95</v>
      </c>
      <c r="S19" s="14"/>
    </row>
    <row r="20" spans="1:51" s="7" customFormat="1" ht="12.75">
      <c r="A20" s="162" t="s">
        <v>1080</v>
      </c>
      <c r="B20" s="144" t="s">
        <v>1081</v>
      </c>
      <c r="C20" s="151" t="s">
        <v>1082</v>
      </c>
      <c r="D20" s="174" t="s">
        <v>732</v>
      </c>
      <c r="E20" s="146" t="s">
        <v>454</v>
      </c>
      <c r="F20" s="147" t="s">
        <v>454</v>
      </c>
      <c r="G20" s="147" t="s">
        <v>454</v>
      </c>
      <c r="H20" s="147" t="s">
        <v>454</v>
      </c>
      <c r="I20" s="147" t="s">
        <v>454</v>
      </c>
      <c r="J20" s="148" t="s">
        <v>768</v>
      </c>
      <c r="K20" s="148" t="s">
        <v>1684</v>
      </c>
      <c r="L20" s="148"/>
      <c r="M20" s="149" t="s">
        <v>0</v>
      </c>
      <c r="N20" s="150">
        <v>173.37</v>
      </c>
      <c r="O20" s="150">
        <v>288.95</v>
      </c>
      <c r="P20" s="188">
        <v>0.2</v>
      </c>
      <c r="Q20" s="199">
        <f t="shared" si="0"/>
        <v>125</v>
      </c>
      <c r="R20" s="152">
        <f t="shared" si="1"/>
        <v>313.95</v>
      </c>
      <c r="S20" s="14"/>
    </row>
    <row r="21" spans="1:51" s="7" customFormat="1" ht="12.75">
      <c r="A21" s="162" t="s">
        <v>1086</v>
      </c>
      <c r="B21" s="144" t="s">
        <v>1087</v>
      </c>
      <c r="C21" s="151" t="s">
        <v>1088</v>
      </c>
      <c r="D21" s="174" t="s">
        <v>1710</v>
      </c>
      <c r="E21" s="146" t="s">
        <v>454</v>
      </c>
      <c r="F21" s="147" t="s">
        <v>454</v>
      </c>
      <c r="G21" s="147" t="s">
        <v>454</v>
      </c>
      <c r="H21" s="147" t="s">
        <v>454</v>
      </c>
      <c r="I21" s="147" t="s">
        <v>454</v>
      </c>
      <c r="J21" s="148" t="s">
        <v>768</v>
      </c>
      <c r="K21" s="148" t="s">
        <v>1684</v>
      </c>
      <c r="L21" s="148"/>
      <c r="M21" s="149" t="s">
        <v>10</v>
      </c>
      <c r="N21" s="150">
        <v>450</v>
      </c>
      <c r="O21" s="150">
        <v>749.95</v>
      </c>
      <c r="P21" s="188">
        <v>2</v>
      </c>
      <c r="Q21" s="199">
        <f t="shared" si="0"/>
        <v>125</v>
      </c>
      <c r="R21" s="152">
        <f t="shared" si="1"/>
        <v>999.95</v>
      </c>
      <c r="S21" s="14"/>
    </row>
    <row r="22" spans="1:51" s="7" customFormat="1" ht="12.75">
      <c r="A22" s="162" t="s">
        <v>1816</v>
      </c>
      <c r="B22" s="144" t="s">
        <v>1072</v>
      </c>
      <c r="C22" s="151" t="s">
        <v>1076</v>
      </c>
      <c r="D22" s="174" t="s">
        <v>1819</v>
      </c>
      <c r="E22" s="146" t="s">
        <v>454</v>
      </c>
      <c r="F22" s="147" t="s">
        <v>454</v>
      </c>
      <c r="G22" s="147" t="s">
        <v>454</v>
      </c>
      <c r="H22" s="147" t="s">
        <v>454</v>
      </c>
      <c r="I22" s="147" t="s">
        <v>454</v>
      </c>
      <c r="J22" s="148" t="s">
        <v>768</v>
      </c>
      <c r="K22" s="148" t="s">
        <v>1684</v>
      </c>
      <c r="L22" s="148"/>
      <c r="M22" s="149" t="s">
        <v>4</v>
      </c>
      <c r="N22" s="150">
        <v>75.268299999999996</v>
      </c>
      <c r="O22" s="150">
        <v>112.95</v>
      </c>
      <c r="P22" s="188">
        <v>1</v>
      </c>
      <c r="Q22" s="199">
        <f t="shared" si="0"/>
        <v>125</v>
      </c>
      <c r="R22" s="152">
        <f t="shared" si="1"/>
        <v>237.95</v>
      </c>
      <c r="S22" s="14"/>
    </row>
    <row r="23" spans="1:51" s="7" customFormat="1" ht="12.75">
      <c r="A23" s="162" t="s">
        <v>1074</v>
      </c>
      <c r="B23" s="144" t="s">
        <v>1073</v>
      </c>
      <c r="C23" s="151" t="s">
        <v>1077</v>
      </c>
      <c r="D23" s="174" t="s">
        <v>1818</v>
      </c>
      <c r="E23" s="146" t="s">
        <v>454</v>
      </c>
      <c r="F23" s="147" t="s">
        <v>454</v>
      </c>
      <c r="G23" s="147" t="s">
        <v>454</v>
      </c>
      <c r="H23" s="147" t="s">
        <v>454</v>
      </c>
      <c r="I23" s="147" t="s">
        <v>454</v>
      </c>
      <c r="J23" s="148" t="s">
        <v>768</v>
      </c>
      <c r="K23" s="148"/>
      <c r="L23" s="148"/>
      <c r="M23" s="149" t="s">
        <v>1817</v>
      </c>
      <c r="N23" s="150">
        <v>65.727199999999996</v>
      </c>
      <c r="O23" s="150">
        <v>98.95</v>
      </c>
      <c r="P23" s="188">
        <v>0</v>
      </c>
      <c r="Q23" s="199">
        <f t="shared" si="0"/>
        <v>125</v>
      </c>
      <c r="R23" s="152">
        <f t="shared" si="1"/>
        <v>98.95</v>
      </c>
      <c r="S23" s="14"/>
    </row>
    <row r="24" spans="1:51" s="7" customFormat="1" ht="12.75">
      <c r="A24" s="162" t="s">
        <v>483</v>
      </c>
      <c r="B24" s="144" t="s">
        <v>293</v>
      </c>
      <c r="C24" s="151" t="s">
        <v>751</v>
      </c>
      <c r="D24" s="174" t="s">
        <v>1706</v>
      </c>
      <c r="E24" s="146" t="s">
        <v>454</v>
      </c>
      <c r="F24" s="147" t="s">
        <v>454</v>
      </c>
      <c r="G24" s="147" t="s">
        <v>454</v>
      </c>
      <c r="H24" s="147" t="s">
        <v>454</v>
      </c>
      <c r="I24" s="147" t="s">
        <v>454</v>
      </c>
      <c r="J24" s="148" t="s">
        <v>768</v>
      </c>
      <c r="K24" s="148" t="s">
        <v>1684</v>
      </c>
      <c r="L24" s="148"/>
      <c r="M24" s="149" t="s">
        <v>10</v>
      </c>
      <c r="N24" s="150">
        <v>89.37</v>
      </c>
      <c r="O24" s="150">
        <v>148.94999999999999</v>
      </c>
      <c r="P24" s="188">
        <v>0.3</v>
      </c>
      <c r="Q24" s="199">
        <f t="shared" si="0"/>
        <v>125</v>
      </c>
      <c r="R24" s="152">
        <f t="shared" si="1"/>
        <v>186.45</v>
      </c>
      <c r="S24" s="14"/>
    </row>
    <row r="25" spans="1:51" s="7" customFormat="1" ht="12.75">
      <c r="A25" s="162" t="s">
        <v>481</v>
      </c>
      <c r="B25" s="144" t="s">
        <v>545</v>
      </c>
      <c r="C25" s="151" t="s">
        <v>1488</v>
      </c>
      <c r="D25" s="174" t="s">
        <v>1706</v>
      </c>
      <c r="E25" s="146" t="s">
        <v>454</v>
      </c>
      <c r="F25" s="147" t="s">
        <v>454</v>
      </c>
      <c r="G25" s="147" t="s">
        <v>454</v>
      </c>
      <c r="H25" s="147" t="s">
        <v>454</v>
      </c>
      <c r="I25" s="147" t="s">
        <v>454</v>
      </c>
      <c r="J25" s="148" t="s">
        <v>768</v>
      </c>
      <c r="K25" s="148" t="s">
        <v>1684</v>
      </c>
      <c r="L25" s="148"/>
      <c r="M25" s="149" t="s">
        <v>10</v>
      </c>
      <c r="N25" s="150">
        <v>89.37</v>
      </c>
      <c r="O25" s="150">
        <v>148.94999999999999</v>
      </c>
      <c r="P25" s="188">
        <v>0.3</v>
      </c>
      <c r="Q25" s="199">
        <f t="shared" si="0"/>
        <v>125</v>
      </c>
      <c r="R25" s="152">
        <f t="shared" si="1"/>
        <v>186.45</v>
      </c>
      <c r="S25" s="14"/>
    </row>
    <row r="26" spans="1:51" s="7" customFormat="1" ht="12.75">
      <c r="A26" s="162" t="s">
        <v>482</v>
      </c>
      <c r="B26" s="144" t="s">
        <v>546</v>
      </c>
      <c r="C26" s="151" t="s">
        <v>760</v>
      </c>
      <c r="D26" s="174" t="s">
        <v>1706</v>
      </c>
      <c r="E26" s="146" t="s">
        <v>454</v>
      </c>
      <c r="F26" s="147" t="s">
        <v>454</v>
      </c>
      <c r="G26" s="147" t="s">
        <v>454</v>
      </c>
      <c r="H26" s="147" t="s">
        <v>454</v>
      </c>
      <c r="I26" s="147" t="s">
        <v>454</v>
      </c>
      <c r="J26" s="148" t="s">
        <v>768</v>
      </c>
      <c r="K26" s="148" t="s">
        <v>1684</v>
      </c>
      <c r="L26" s="148"/>
      <c r="M26" s="149" t="s">
        <v>10</v>
      </c>
      <c r="N26" s="150">
        <v>89.37</v>
      </c>
      <c r="O26" s="150">
        <v>148.94999999999999</v>
      </c>
      <c r="P26" s="188">
        <v>0.3</v>
      </c>
      <c r="Q26" s="199">
        <f t="shared" si="0"/>
        <v>125</v>
      </c>
      <c r="R26" s="152">
        <f t="shared" si="1"/>
        <v>186.45</v>
      </c>
      <c r="S26" s="14"/>
    </row>
    <row r="27" spans="1:51" s="7" customFormat="1" ht="12.75">
      <c r="A27" s="162" t="s">
        <v>533</v>
      </c>
      <c r="B27" s="144" t="s">
        <v>852</v>
      </c>
      <c r="C27" s="151" t="s">
        <v>208</v>
      </c>
      <c r="D27" s="174"/>
      <c r="E27" s="146" t="s">
        <v>454</v>
      </c>
      <c r="F27" s="147" t="s">
        <v>454</v>
      </c>
      <c r="G27" s="147" t="s">
        <v>454</v>
      </c>
      <c r="H27" s="147" t="s">
        <v>454</v>
      </c>
      <c r="I27" s="147" t="s">
        <v>454</v>
      </c>
      <c r="J27" s="148" t="s">
        <v>768</v>
      </c>
      <c r="K27" s="148" t="s">
        <v>1684</v>
      </c>
      <c r="L27" s="148"/>
      <c r="M27" s="149" t="s">
        <v>0</v>
      </c>
      <c r="N27" s="150">
        <v>160.77000000000001</v>
      </c>
      <c r="O27" s="150">
        <v>267.95</v>
      </c>
      <c r="P27" s="188">
        <v>1.5</v>
      </c>
      <c r="Q27" s="199">
        <f t="shared" si="0"/>
        <v>125</v>
      </c>
      <c r="R27" s="152">
        <f t="shared" si="1"/>
        <v>455.45</v>
      </c>
      <c r="S27" s="14"/>
    </row>
    <row r="28" spans="1:51" s="7" customFormat="1" ht="14.25">
      <c r="A28" s="162" t="s">
        <v>1618</v>
      </c>
      <c r="B28" s="144" t="s">
        <v>1849</v>
      </c>
      <c r="C28" s="151" t="s">
        <v>1850</v>
      </c>
      <c r="D28" s="174" t="s">
        <v>1642</v>
      </c>
      <c r="E28" s="146" t="s">
        <v>454</v>
      </c>
      <c r="F28" s="147" t="s">
        <v>454</v>
      </c>
      <c r="G28" s="147" t="s">
        <v>454</v>
      </c>
      <c r="H28" s="147" t="s">
        <v>454</v>
      </c>
      <c r="I28" s="147" t="s">
        <v>454</v>
      </c>
      <c r="J28" s="148" t="s">
        <v>768</v>
      </c>
      <c r="K28" s="148" t="s">
        <v>1684</v>
      </c>
      <c r="L28" s="148"/>
      <c r="M28" s="149" t="s">
        <v>0</v>
      </c>
      <c r="N28" s="150">
        <v>126.31</v>
      </c>
      <c r="O28" s="150">
        <v>211.95</v>
      </c>
      <c r="P28" s="188">
        <v>0</v>
      </c>
      <c r="Q28" s="199">
        <f t="shared" si="0"/>
        <v>125</v>
      </c>
      <c r="R28" s="152">
        <f t="shared" si="1"/>
        <v>211.95</v>
      </c>
      <c r="S28" s="14"/>
    </row>
    <row r="29" spans="1:51" s="7" customFormat="1" ht="12.75">
      <c r="A29" s="162" t="s">
        <v>532</v>
      </c>
      <c r="B29" s="144" t="s">
        <v>1851</v>
      </c>
      <c r="C29" s="151" t="s">
        <v>1567</v>
      </c>
      <c r="D29" s="174" t="s">
        <v>1568</v>
      </c>
      <c r="E29" s="146" t="s">
        <v>454</v>
      </c>
      <c r="F29" s="147" t="s">
        <v>454</v>
      </c>
      <c r="G29" s="147" t="s">
        <v>454</v>
      </c>
      <c r="H29" s="147" t="s">
        <v>454</v>
      </c>
      <c r="I29" s="147" t="s">
        <v>454</v>
      </c>
      <c r="J29" s="148" t="s">
        <v>768</v>
      </c>
      <c r="K29" s="148" t="s">
        <v>1684</v>
      </c>
      <c r="L29" s="148"/>
      <c r="M29" s="149" t="s">
        <v>10</v>
      </c>
      <c r="N29" s="150">
        <v>364.17</v>
      </c>
      <c r="O29" s="150">
        <v>606.95000000000005</v>
      </c>
      <c r="P29" s="188">
        <v>0.6</v>
      </c>
      <c r="Q29" s="199">
        <f t="shared" si="0"/>
        <v>125</v>
      </c>
      <c r="R29" s="152">
        <f t="shared" si="1"/>
        <v>681.95</v>
      </c>
      <c r="S29" s="14"/>
    </row>
    <row r="30" spans="1:51" s="7" customFormat="1" ht="12.75">
      <c r="A30" s="162" t="s">
        <v>488</v>
      </c>
      <c r="B30" s="144" t="s">
        <v>941</v>
      </c>
      <c r="C30" s="151" t="s">
        <v>973</v>
      </c>
      <c r="D30" s="174"/>
      <c r="E30" s="146" t="s">
        <v>410</v>
      </c>
      <c r="F30" s="147" t="s">
        <v>454</v>
      </c>
      <c r="G30" s="147" t="s">
        <v>454</v>
      </c>
      <c r="H30" s="147" t="s">
        <v>454</v>
      </c>
      <c r="I30" s="147" t="s">
        <v>454</v>
      </c>
      <c r="J30" s="148" t="s">
        <v>768</v>
      </c>
      <c r="K30" s="148" t="s">
        <v>1684</v>
      </c>
      <c r="L30" s="148"/>
      <c r="M30" s="149" t="s">
        <v>10</v>
      </c>
      <c r="N30" s="150">
        <v>218.13</v>
      </c>
      <c r="O30" s="150">
        <v>349.95</v>
      </c>
      <c r="P30" s="188">
        <v>0.6</v>
      </c>
      <c r="Q30" s="199">
        <f t="shared" si="0"/>
        <v>125</v>
      </c>
      <c r="R30" s="152">
        <f t="shared" si="1"/>
        <v>424.95</v>
      </c>
      <c r="S30" s="14"/>
    </row>
    <row r="31" spans="1:51" s="7" customFormat="1" ht="12.75">
      <c r="A31" s="162" t="s">
        <v>491</v>
      </c>
      <c r="B31" s="144" t="s">
        <v>942</v>
      </c>
      <c r="C31" s="151" t="s">
        <v>974</v>
      </c>
      <c r="D31" s="174"/>
      <c r="E31" s="146" t="s">
        <v>454</v>
      </c>
      <c r="F31" s="147" t="s">
        <v>454</v>
      </c>
      <c r="G31" s="147" t="s">
        <v>454</v>
      </c>
      <c r="H31" s="147" t="s">
        <v>454</v>
      </c>
      <c r="I31" s="147" t="s">
        <v>410</v>
      </c>
      <c r="J31" s="148" t="s">
        <v>768</v>
      </c>
      <c r="K31" s="148" t="s">
        <v>1684</v>
      </c>
      <c r="L31" s="148"/>
      <c r="M31" s="149" t="s">
        <v>10</v>
      </c>
      <c r="N31" s="150">
        <v>218.13</v>
      </c>
      <c r="O31" s="150">
        <v>349.95</v>
      </c>
      <c r="P31" s="188">
        <v>0.6</v>
      </c>
      <c r="Q31" s="199">
        <f t="shared" si="0"/>
        <v>125</v>
      </c>
      <c r="R31" s="152">
        <f t="shared" si="1"/>
        <v>424.95</v>
      </c>
      <c r="S31" s="14"/>
    </row>
    <row r="32" spans="1:51" s="7" customFormat="1" ht="12.75">
      <c r="A32" s="162" t="s">
        <v>490</v>
      </c>
      <c r="B32" s="144" t="s">
        <v>1011</v>
      </c>
      <c r="C32" s="151" t="s">
        <v>975</v>
      </c>
      <c r="D32" s="174"/>
      <c r="E32" s="146" t="s">
        <v>454</v>
      </c>
      <c r="F32" s="147" t="s">
        <v>454</v>
      </c>
      <c r="G32" s="147" t="s">
        <v>454</v>
      </c>
      <c r="H32" s="147" t="s">
        <v>454</v>
      </c>
      <c r="I32" s="147" t="s">
        <v>410</v>
      </c>
      <c r="J32" s="148" t="s">
        <v>768</v>
      </c>
      <c r="K32" s="148" t="s">
        <v>1684</v>
      </c>
      <c r="L32" s="148"/>
      <c r="M32" s="149" t="s">
        <v>10</v>
      </c>
      <c r="N32" s="150">
        <v>218.13</v>
      </c>
      <c r="O32" s="150">
        <v>349.95</v>
      </c>
      <c r="P32" s="188">
        <v>0.6</v>
      </c>
      <c r="Q32" s="199">
        <f t="shared" si="0"/>
        <v>125</v>
      </c>
      <c r="R32" s="152">
        <f t="shared" si="1"/>
        <v>424.95</v>
      </c>
      <c r="S32" s="14"/>
    </row>
    <row r="33" spans="1:19" s="7" customFormat="1" ht="12.75">
      <c r="A33" s="162" t="s">
        <v>487</v>
      </c>
      <c r="B33" s="144" t="s">
        <v>1021</v>
      </c>
      <c r="C33" s="151" t="s">
        <v>1030</v>
      </c>
      <c r="D33" s="174"/>
      <c r="E33" s="146" t="s">
        <v>454</v>
      </c>
      <c r="F33" s="147" t="s">
        <v>410</v>
      </c>
      <c r="G33" s="147" t="s">
        <v>410</v>
      </c>
      <c r="H33" s="147" t="s">
        <v>410</v>
      </c>
      <c r="I33" s="147" t="s">
        <v>410</v>
      </c>
      <c r="J33" s="148" t="s">
        <v>768</v>
      </c>
      <c r="K33" s="148" t="s">
        <v>1684</v>
      </c>
      <c r="L33" s="148"/>
      <c r="M33" s="149" t="s">
        <v>10</v>
      </c>
      <c r="N33" s="150">
        <v>218.13</v>
      </c>
      <c r="O33" s="150">
        <v>349.95</v>
      </c>
      <c r="P33" s="188">
        <v>0.6</v>
      </c>
      <c r="Q33" s="199">
        <f t="shared" si="0"/>
        <v>125</v>
      </c>
      <c r="R33" s="152">
        <f t="shared" si="1"/>
        <v>424.95</v>
      </c>
      <c r="S33" s="14"/>
    </row>
    <row r="34" spans="1:19" s="7" customFormat="1" ht="12.75">
      <c r="A34" s="162" t="s">
        <v>489</v>
      </c>
      <c r="B34" s="144" t="s">
        <v>943</v>
      </c>
      <c r="C34" s="151" t="s">
        <v>976</v>
      </c>
      <c r="D34" s="174"/>
      <c r="E34" s="146" t="s">
        <v>454</v>
      </c>
      <c r="F34" s="147" t="s">
        <v>454</v>
      </c>
      <c r="G34" s="147" t="s">
        <v>454</v>
      </c>
      <c r="H34" s="147" t="s">
        <v>454</v>
      </c>
      <c r="I34" s="147" t="s">
        <v>410</v>
      </c>
      <c r="J34" s="148" t="s">
        <v>768</v>
      </c>
      <c r="K34" s="148" t="s">
        <v>1684</v>
      </c>
      <c r="L34" s="148"/>
      <c r="M34" s="149" t="s">
        <v>10</v>
      </c>
      <c r="N34" s="150">
        <v>218.13</v>
      </c>
      <c r="O34" s="150">
        <v>349.95</v>
      </c>
      <c r="P34" s="188">
        <v>0.6</v>
      </c>
      <c r="Q34" s="199">
        <f t="shared" si="0"/>
        <v>125</v>
      </c>
      <c r="R34" s="152">
        <f t="shared" si="1"/>
        <v>424.95</v>
      </c>
      <c r="S34" s="14"/>
    </row>
    <row r="35" spans="1:19" s="7" customFormat="1" ht="12.75">
      <c r="A35" s="162" t="s">
        <v>485</v>
      </c>
      <c r="B35" s="144" t="s">
        <v>1018</v>
      </c>
      <c r="C35" s="151" t="s">
        <v>1022</v>
      </c>
      <c r="D35" s="174"/>
      <c r="E35" s="146" t="s">
        <v>454</v>
      </c>
      <c r="F35" s="147" t="s">
        <v>454</v>
      </c>
      <c r="G35" s="147" t="s">
        <v>454</v>
      </c>
      <c r="H35" s="147" t="s">
        <v>454</v>
      </c>
      <c r="I35" s="147" t="s">
        <v>454</v>
      </c>
      <c r="J35" s="148" t="s">
        <v>768</v>
      </c>
      <c r="K35" s="148" t="s">
        <v>1684</v>
      </c>
      <c r="L35" s="148"/>
      <c r="M35" s="149" t="s">
        <v>10</v>
      </c>
      <c r="N35" s="150">
        <v>218.13</v>
      </c>
      <c r="O35" s="150">
        <v>349.95</v>
      </c>
      <c r="P35" s="188">
        <v>0.6</v>
      </c>
      <c r="Q35" s="199">
        <f t="shared" si="0"/>
        <v>125</v>
      </c>
      <c r="R35" s="152">
        <f t="shared" si="1"/>
        <v>424.95</v>
      </c>
      <c r="S35" s="14"/>
    </row>
    <row r="36" spans="1:19" s="7" customFormat="1" ht="12.75">
      <c r="A36" s="162" t="s">
        <v>486</v>
      </c>
      <c r="B36" s="144" t="s">
        <v>1015</v>
      </c>
      <c r="C36" s="151" t="s">
        <v>1024</v>
      </c>
      <c r="D36" s="174"/>
      <c r="E36" s="146" t="s">
        <v>454</v>
      </c>
      <c r="F36" s="147" t="s">
        <v>454</v>
      </c>
      <c r="G36" s="147" t="s">
        <v>454</v>
      </c>
      <c r="H36" s="147" t="s">
        <v>454</v>
      </c>
      <c r="I36" s="147" t="s">
        <v>454</v>
      </c>
      <c r="J36" s="148" t="s">
        <v>768</v>
      </c>
      <c r="K36" s="148" t="s">
        <v>1684</v>
      </c>
      <c r="L36" s="148"/>
      <c r="M36" s="149" t="s">
        <v>10</v>
      </c>
      <c r="N36" s="150">
        <v>218.13</v>
      </c>
      <c r="O36" s="150">
        <v>349.95</v>
      </c>
      <c r="P36" s="188">
        <v>0.6</v>
      </c>
      <c r="Q36" s="199">
        <f t="shared" si="0"/>
        <v>125</v>
      </c>
      <c r="R36" s="152">
        <f t="shared" si="1"/>
        <v>424.95</v>
      </c>
      <c r="S36" s="14"/>
    </row>
    <row r="37" spans="1:19" s="7" customFormat="1" ht="12.75">
      <c r="A37" s="162" t="s">
        <v>484</v>
      </c>
      <c r="B37" s="144" t="s">
        <v>944</v>
      </c>
      <c r="C37" s="151" t="s">
        <v>977</v>
      </c>
      <c r="D37" s="174"/>
      <c r="E37" s="146" t="s">
        <v>454</v>
      </c>
      <c r="F37" s="147" t="s">
        <v>454</v>
      </c>
      <c r="G37" s="147" t="s">
        <v>454</v>
      </c>
      <c r="H37" s="147" t="s">
        <v>454</v>
      </c>
      <c r="I37" s="147" t="s">
        <v>454</v>
      </c>
      <c r="J37" s="148" t="s">
        <v>768</v>
      </c>
      <c r="K37" s="148" t="s">
        <v>1684</v>
      </c>
      <c r="L37" s="148"/>
      <c r="M37" s="149" t="s">
        <v>10</v>
      </c>
      <c r="N37" s="150">
        <v>218.13</v>
      </c>
      <c r="O37" s="150">
        <v>349.95</v>
      </c>
      <c r="P37" s="188">
        <v>0.5</v>
      </c>
      <c r="Q37" s="199">
        <f t="shared" si="0"/>
        <v>125</v>
      </c>
      <c r="R37" s="152">
        <f t="shared" si="1"/>
        <v>412.45</v>
      </c>
      <c r="S37" s="14"/>
    </row>
    <row r="38" spans="1:19" s="7" customFormat="1" ht="12.75">
      <c r="A38" s="162" t="s">
        <v>508</v>
      </c>
      <c r="B38" s="144" t="s">
        <v>547</v>
      </c>
      <c r="C38" s="151" t="s">
        <v>978</v>
      </c>
      <c r="D38" s="174" t="s">
        <v>538</v>
      </c>
      <c r="E38" s="146" t="s">
        <v>454</v>
      </c>
      <c r="F38" s="147" t="s">
        <v>454</v>
      </c>
      <c r="G38" s="147" t="s">
        <v>454</v>
      </c>
      <c r="H38" s="147" t="s">
        <v>454</v>
      </c>
      <c r="I38" s="147" t="s">
        <v>454</v>
      </c>
      <c r="J38" s="148" t="s">
        <v>768</v>
      </c>
      <c r="K38" s="148" t="s">
        <v>1684</v>
      </c>
      <c r="L38" s="148"/>
      <c r="M38" s="149" t="s">
        <v>10</v>
      </c>
      <c r="N38" s="150">
        <v>266.37</v>
      </c>
      <c r="O38" s="150">
        <v>443.95</v>
      </c>
      <c r="P38" s="188">
        <v>0.2</v>
      </c>
      <c r="Q38" s="199">
        <f t="shared" si="0"/>
        <v>125</v>
      </c>
      <c r="R38" s="152">
        <f t="shared" si="1"/>
        <v>468.95</v>
      </c>
      <c r="S38" s="14"/>
    </row>
    <row r="39" spans="1:19" s="7" customFormat="1" ht="12.75">
      <c r="A39" s="162" t="s">
        <v>1572</v>
      </c>
      <c r="B39" s="144" t="s">
        <v>1579</v>
      </c>
      <c r="C39" s="151" t="s">
        <v>1580</v>
      </c>
      <c r="D39" s="174"/>
      <c r="E39" s="146" t="s">
        <v>454</v>
      </c>
      <c r="F39" s="147" t="s">
        <v>454</v>
      </c>
      <c r="G39" s="147" t="s">
        <v>454</v>
      </c>
      <c r="H39" s="147" t="s">
        <v>454</v>
      </c>
      <c r="I39" s="147" t="s">
        <v>454</v>
      </c>
      <c r="J39" s="148" t="s">
        <v>768</v>
      </c>
      <c r="K39" s="148" t="s">
        <v>1684</v>
      </c>
      <c r="L39" s="148"/>
      <c r="M39" s="149" t="s">
        <v>10</v>
      </c>
      <c r="N39" s="150">
        <v>173.82</v>
      </c>
      <c r="O39" s="150">
        <v>289.95</v>
      </c>
      <c r="P39" s="188">
        <v>0.5</v>
      </c>
      <c r="Q39" s="199">
        <f t="shared" si="0"/>
        <v>125</v>
      </c>
      <c r="R39" s="152">
        <f t="shared" si="1"/>
        <v>352.45</v>
      </c>
      <c r="S39" s="14"/>
    </row>
    <row r="40" spans="1:19" s="7" customFormat="1" ht="12.75">
      <c r="A40" s="162" t="s">
        <v>519</v>
      </c>
      <c r="B40" s="144" t="s">
        <v>554</v>
      </c>
      <c r="C40" s="151" t="s">
        <v>656</v>
      </c>
      <c r="D40" s="174" t="s">
        <v>1712</v>
      </c>
      <c r="E40" s="146" t="s">
        <v>454</v>
      </c>
      <c r="F40" s="147" t="s">
        <v>454</v>
      </c>
      <c r="G40" s="147" t="s">
        <v>454</v>
      </c>
      <c r="H40" s="147" t="s">
        <v>454</v>
      </c>
      <c r="I40" s="147" t="s">
        <v>454</v>
      </c>
      <c r="J40" s="148" t="s">
        <v>768</v>
      </c>
      <c r="K40" s="148" t="s">
        <v>1684</v>
      </c>
      <c r="L40" s="148"/>
      <c r="M40" s="149" t="s">
        <v>10</v>
      </c>
      <c r="N40" s="150">
        <v>140.37</v>
      </c>
      <c r="O40" s="150">
        <v>233.95</v>
      </c>
      <c r="P40" s="188">
        <v>0.5</v>
      </c>
      <c r="Q40" s="199">
        <f t="shared" si="0"/>
        <v>125</v>
      </c>
      <c r="R40" s="152">
        <f t="shared" si="1"/>
        <v>296.45</v>
      </c>
      <c r="S40" s="14"/>
    </row>
    <row r="41" spans="1:19" s="7" customFormat="1" ht="12.75">
      <c r="A41" s="162" t="s">
        <v>1688</v>
      </c>
      <c r="B41" s="144" t="s">
        <v>1689</v>
      </c>
      <c r="C41" s="151" t="s">
        <v>1790</v>
      </c>
      <c r="D41" s="174"/>
      <c r="E41" s="146" t="s">
        <v>454</v>
      </c>
      <c r="F41" s="147" t="s">
        <v>454</v>
      </c>
      <c r="G41" s="147" t="s">
        <v>454</v>
      </c>
      <c r="H41" s="147" t="s">
        <v>454</v>
      </c>
      <c r="I41" s="147" t="s">
        <v>454</v>
      </c>
      <c r="J41" s="148" t="s">
        <v>768</v>
      </c>
      <c r="K41" s="148" t="s">
        <v>1684</v>
      </c>
      <c r="L41" s="148"/>
      <c r="M41" s="149" t="s">
        <v>0</v>
      </c>
      <c r="N41" s="150">
        <v>155.37</v>
      </c>
      <c r="O41" s="150">
        <v>258.95</v>
      </c>
      <c r="P41" s="188">
        <v>0.5</v>
      </c>
      <c r="Q41" s="199">
        <f t="shared" si="0"/>
        <v>125</v>
      </c>
      <c r="R41" s="152">
        <f t="shared" si="1"/>
        <v>321.45</v>
      </c>
      <c r="S41" s="14"/>
    </row>
    <row r="42" spans="1:19" s="7" customFormat="1" ht="12.75">
      <c r="A42" s="162" t="s">
        <v>561</v>
      </c>
      <c r="B42" s="144" t="s">
        <v>563</v>
      </c>
      <c r="C42" s="151" t="s">
        <v>566</v>
      </c>
      <c r="D42" s="174" t="s">
        <v>1829</v>
      </c>
      <c r="E42" s="146" t="s">
        <v>454</v>
      </c>
      <c r="F42" s="147" t="s">
        <v>454</v>
      </c>
      <c r="G42" s="147" t="s">
        <v>454</v>
      </c>
      <c r="H42" s="147" t="s">
        <v>454</v>
      </c>
      <c r="I42" s="147" t="s">
        <v>454</v>
      </c>
      <c r="J42" s="148" t="s">
        <v>768</v>
      </c>
      <c r="K42" s="148"/>
      <c r="L42" s="148"/>
      <c r="M42" s="149" t="s">
        <v>10</v>
      </c>
      <c r="N42" s="150">
        <v>14.77</v>
      </c>
      <c r="O42" s="150">
        <v>39.950000000000003</v>
      </c>
      <c r="P42" s="188">
        <v>0</v>
      </c>
      <c r="Q42" s="199">
        <f t="shared" si="0"/>
        <v>125</v>
      </c>
      <c r="R42" s="152">
        <f t="shared" si="1"/>
        <v>39.950000000000003</v>
      </c>
      <c r="S42" s="14"/>
    </row>
    <row r="43" spans="1:19" s="7" customFormat="1" ht="12.75">
      <c r="A43" s="162" t="s">
        <v>1046</v>
      </c>
      <c r="B43" s="144" t="s">
        <v>1047</v>
      </c>
      <c r="C43" s="151" t="s">
        <v>1050</v>
      </c>
      <c r="D43" s="174" t="s">
        <v>1829</v>
      </c>
      <c r="E43" s="146" t="s">
        <v>454</v>
      </c>
      <c r="F43" s="147" t="s">
        <v>454</v>
      </c>
      <c r="G43" s="147" t="s">
        <v>454</v>
      </c>
      <c r="H43" s="147" t="s">
        <v>454</v>
      </c>
      <c r="I43" s="147" t="s">
        <v>454</v>
      </c>
      <c r="J43" s="148" t="s">
        <v>768</v>
      </c>
      <c r="K43" s="148"/>
      <c r="L43" s="148"/>
      <c r="M43" s="149" t="s">
        <v>10</v>
      </c>
      <c r="N43" s="150">
        <v>18.5</v>
      </c>
      <c r="O43" s="150">
        <v>0</v>
      </c>
      <c r="P43" s="188">
        <v>0</v>
      </c>
      <c r="Q43" s="199">
        <f t="shared" si="0"/>
        <v>125</v>
      </c>
      <c r="R43" s="152">
        <f t="shared" si="1"/>
        <v>0</v>
      </c>
      <c r="S43" s="14"/>
    </row>
    <row r="44" spans="1:19" s="7" customFormat="1" ht="12.75">
      <c r="A44" s="162" t="s">
        <v>1048</v>
      </c>
      <c r="B44" s="144" t="s">
        <v>1049</v>
      </c>
      <c r="C44" s="151" t="s">
        <v>1051</v>
      </c>
      <c r="D44" s="174" t="s">
        <v>1829</v>
      </c>
      <c r="E44" s="146" t="s">
        <v>454</v>
      </c>
      <c r="F44" s="147" t="s">
        <v>454</v>
      </c>
      <c r="G44" s="147" t="s">
        <v>454</v>
      </c>
      <c r="H44" s="147" t="s">
        <v>454</v>
      </c>
      <c r="I44" s="147" t="s">
        <v>454</v>
      </c>
      <c r="J44" s="148" t="s">
        <v>768</v>
      </c>
      <c r="K44" s="148"/>
      <c r="L44" s="148"/>
      <c r="M44" s="149" t="s">
        <v>10</v>
      </c>
      <c r="N44" s="150">
        <v>14.25</v>
      </c>
      <c r="O44" s="150">
        <v>0</v>
      </c>
      <c r="P44" s="188">
        <v>0</v>
      </c>
      <c r="Q44" s="199">
        <f t="shared" si="0"/>
        <v>125</v>
      </c>
      <c r="R44" s="152">
        <f t="shared" si="1"/>
        <v>0</v>
      </c>
      <c r="S44" s="14"/>
    </row>
    <row r="45" spans="1:19" s="7" customFormat="1" ht="12.75">
      <c r="A45" s="162" t="s">
        <v>562</v>
      </c>
      <c r="B45" s="144" t="s">
        <v>565</v>
      </c>
      <c r="C45" s="151" t="s">
        <v>980</v>
      </c>
      <c r="D45" s="174" t="s">
        <v>1829</v>
      </c>
      <c r="E45" s="146" t="s">
        <v>454</v>
      </c>
      <c r="F45" s="147" t="s">
        <v>454</v>
      </c>
      <c r="G45" s="147" t="s">
        <v>454</v>
      </c>
      <c r="H45" s="147" t="s">
        <v>454</v>
      </c>
      <c r="I45" s="147" t="s">
        <v>454</v>
      </c>
      <c r="J45" s="148" t="s">
        <v>768</v>
      </c>
      <c r="K45" s="148"/>
      <c r="L45" s="148"/>
      <c r="M45" s="149" t="s">
        <v>10</v>
      </c>
      <c r="N45" s="150">
        <v>18.09</v>
      </c>
      <c r="O45" s="150">
        <v>0</v>
      </c>
      <c r="P45" s="188">
        <v>0</v>
      </c>
      <c r="Q45" s="199">
        <f t="shared" si="0"/>
        <v>125</v>
      </c>
      <c r="R45" s="152">
        <v>49.95</v>
      </c>
      <c r="S45" s="14"/>
    </row>
    <row r="46" spans="1:19" s="7" customFormat="1" ht="12.75">
      <c r="A46" s="162" t="s">
        <v>560</v>
      </c>
      <c r="B46" s="144" t="s">
        <v>885</v>
      </c>
      <c r="C46" s="151" t="s">
        <v>905</v>
      </c>
      <c r="D46" s="174" t="s">
        <v>1829</v>
      </c>
      <c r="E46" s="146" t="s">
        <v>454</v>
      </c>
      <c r="F46" s="147" t="s">
        <v>454</v>
      </c>
      <c r="G46" s="147" t="s">
        <v>454</v>
      </c>
      <c r="H46" s="147" t="s">
        <v>454</v>
      </c>
      <c r="I46" s="147" t="s">
        <v>454</v>
      </c>
      <c r="J46" s="148" t="s">
        <v>768</v>
      </c>
      <c r="K46" s="148"/>
      <c r="L46" s="148"/>
      <c r="M46" s="149" t="s">
        <v>10</v>
      </c>
      <c r="N46" s="150">
        <v>16.45</v>
      </c>
      <c r="O46" s="150">
        <v>39.950000000000003</v>
      </c>
      <c r="P46" s="188">
        <v>0</v>
      </c>
      <c r="Q46" s="199">
        <f t="shared" si="0"/>
        <v>125</v>
      </c>
      <c r="R46" s="152">
        <v>49.95</v>
      </c>
      <c r="S46" s="14"/>
    </row>
    <row r="47" spans="1:19" s="7" customFormat="1" ht="12.75">
      <c r="A47" s="162" t="s">
        <v>570</v>
      </c>
      <c r="B47" s="144" t="s">
        <v>564</v>
      </c>
      <c r="C47" s="151" t="s">
        <v>981</v>
      </c>
      <c r="D47" s="174" t="s">
        <v>1829</v>
      </c>
      <c r="E47" s="146" t="s">
        <v>454</v>
      </c>
      <c r="F47" s="147" t="s">
        <v>454</v>
      </c>
      <c r="G47" s="147" t="s">
        <v>454</v>
      </c>
      <c r="H47" s="147" t="s">
        <v>454</v>
      </c>
      <c r="I47" s="147" t="s">
        <v>454</v>
      </c>
      <c r="J47" s="148" t="s">
        <v>768</v>
      </c>
      <c r="K47" s="148"/>
      <c r="L47" s="148"/>
      <c r="M47" s="149" t="s">
        <v>10</v>
      </c>
      <c r="N47" s="150">
        <v>99.95</v>
      </c>
      <c r="O47" s="150">
        <v>39.950000000000003</v>
      </c>
      <c r="P47" s="188">
        <v>0</v>
      </c>
      <c r="Q47" s="199">
        <f t="shared" si="0"/>
        <v>125</v>
      </c>
      <c r="R47" s="152">
        <f t="shared" ref="R47:R110" si="2">P47*Q47+O47</f>
        <v>39.950000000000003</v>
      </c>
      <c r="S47" s="14"/>
    </row>
    <row r="48" spans="1:19" s="7" customFormat="1" ht="12.75">
      <c r="A48" s="162" t="s">
        <v>530</v>
      </c>
      <c r="B48" s="144" t="s">
        <v>540</v>
      </c>
      <c r="C48" s="151" t="s">
        <v>982</v>
      </c>
      <c r="D48" s="174" t="s">
        <v>128</v>
      </c>
      <c r="E48" s="146" t="s">
        <v>454</v>
      </c>
      <c r="F48" s="147" t="s">
        <v>454</v>
      </c>
      <c r="G48" s="147" t="s">
        <v>454</v>
      </c>
      <c r="H48" s="147" t="s">
        <v>454</v>
      </c>
      <c r="I48" s="147" t="s">
        <v>454</v>
      </c>
      <c r="J48" s="148" t="s">
        <v>768</v>
      </c>
      <c r="K48" s="148"/>
      <c r="L48" s="148"/>
      <c r="M48" s="149" t="s">
        <v>0</v>
      </c>
      <c r="N48" s="150">
        <v>85.77</v>
      </c>
      <c r="O48" s="150">
        <v>142.94999999999999</v>
      </c>
      <c r="P48" s="188">
        <v>0</v>
      </c>
      <c r="Q48" s="199">
        <f t="shared" si="0"/>
        <v>125</v>
      </c>
      <c r="R48" s="152">
        <f t="shared" si="2"/>
        <v>142.94999999999999</v>
      </c>
      <c r="S48" s="14"/>
    </row>
    <row r="49" spans="1:19" s="7" customFormat="1" ht="12.75">
      <c r="A49" s="162" t="s">
        <v>512</v>
      </c>
      <c r="B49" s="144" t="s">
        <v>762</v>
      </c>
      <c r="C49" s="151" t="s">
        <v>1042</v>
      </c>
      <c r="D49" s="174" t="s">
        <v>1878</v>
      </c>
      <c r="E49" s="146" t="s">
        <v>454</v>
      </c>
      <c r="F49" s="147" t="s">
        <v>454</v>
      </c>
      <c r="G49" s="147" t="s">
        <v>454</v>
      </c>
      <c r="H49" s="147" t="s">
        <v>454</v>
      </c>
      <c r="I49" s="147" t="s">
        <v>454</v>
      </c>
      <c r="J49" s="148" t="s">
        <v>768</v>
      </c>
      <c r="K49" s="148" t="s">
        <v>1684</v>
      </c>
      <c r="L49" s="148"/>
      <c r="M49" s="149" t="s">
        <v>10</v>
      </c>
      <c r="N49" s="150">
        <v>178.77</v>
      </c>
      <c r="O49" s="150">
        <v>297.95</v>
      </c>
      <c r="P49" s="188">
        <v>0.3</v>
      </c>
      <c r="Q49" s="199">
        <f t="shared" si="0"/>
        <v>125</v>
      </c>
      <c r="R49" s="152">
        <f t="shared" si="2"/>
        <v>335.45</v>
      </c>
      <c r="S49" s="14"/>
    </row>
    <row r="50" spans="1:19" s="7" customFormat="1" ht="12.75">
      <c r="A50" s="162" t="s">
        <v>511</v>
      </c>
      <c r="B50" s="144" t="s">
        <v>548</v>
      </c>
      <c r="C50" s="151" t="s">
        <v>1043</v>
      </c>
      <c r="D50" s="174" t="s">
        <v>1878</v>
      </c>
      <c r="E50" s="146" t="s">
        <v>454</v>
      </c>
      <c r="F50" s="147" t="s">
        <v>454</v>
      </c>
      <c r="G50" s="147" t="s">
        <v>454</v>
      </c>
      <c r="H50" s="147" t="s">
        <v>454</v>
      </c>
      <c r="I50" s="147" t="s">
        <v>454</v>
      </c>
      <c r="J50" s="148" t="s">
        <v>768</v>
      </c>
      <c r="K50" s="148" t="s">
        <v>1684</v>
      </c>
      <c r="L50" s="148"/>
      <c r="M50" s="149" t="s">
        <v>10</v>
      </c>
      <c r="N50" s="150">
        <v>117.57</v>
      </c>
      <c r="O50" s="150">
        <v>195.95</v>
      </c>
      <c r="P50" s="188">
        <v>0.3</v>
      </c>
      <c r="Q50" s="199">
        <f t="shared" si="0"/>
        <v>125</v>
      </c>
      <c r="R50" s="152">
        <f t="shared" si="2"/>
        <v>233.45</v>
      </c>
      <c r="S50" s="14"/>
    </row>
    <row r="51" spans="1:19" s="7" customFormat="1" ht="12.75">
      <c r="A51" s="162" t="s">
        <v>513</v>
      </c>
      <c r="B51" s="144" t="s">
        <v>549</v>
      </c>
      <c r="C51" s="151" t="s">
        <v>1044</v>
      </c>
      <c r="D51" s="174" t="s">
        <v>1878</v>
      </c>
      <c r="E51" s="146" t="s">
        <v>454</v>
      </c>
      <c r="F51" s="147" t="s">
        <v>454</v>
      </c>
      <c r="G51" s="147" t="s">
        <v>454</v>
      </c>
      <c r="H51" s="147" t="s">
        <v>454</v>
      </c>
      <c r="I51" s="147" t="s">
        <v>454</v>
      </c>
      <c r="J51" s="148" t="s">
        <v>768</v>
      </c>
      <c r="K51" s="148" t="s">
        <v>1684</v>
      </c>
      <c r="L51" s="148"/>
      <c r="M51" s="149" t="s">
        <v>10</v>
      </c>
      <c r="N51" s="150">
        <v>145.77000000000001</v>
      </c>
      <c r="O51" s="150">
        <v>242.95</v>
      </c>
      <c r="P51" s="188">
        <v>0.4</v>
      </c>
      <c r="Q51" s="199">
        <f t="shared" si="0"/>
        <v>125</v>
      </c>
      <c r="R51" s="152">
        <f t="shared" si="2"/>
        <v>292.95</v>
      </c>
      <c r="S51" s="14"/>
    </row>
    <row r="52" spans="1:19" s="7" customFormat="1" ht="12.75">
      <c r="A52" s="162" t="s">
        <v>1820</v>
      </c>
      <c r="B52" s="144" t="s">
        <v>1822</v>
      </c>
      <c r="C52" s="151" t="s">
        <v>1821</v>
      </c>
      <c r="D52" s="174" t="s">
        <v>2173</v>
      </c>
      <c r="E52" s="146" t="s">
        <v>454</v>
      </c>
      <c r="F52" s="147" t="s">
        <v>454</v>
      </c>
      <c r="G52" s="147" t="s">
        <v>454</v>
      </c>
      <c r="H52" s="147" t="s">
        <v>454</v>
      </c>
      <c r="I52" s="147" t="s">
        <v>454</v>
      </c>
      <c r="J52" s="148"/>
      <c r="K52" s="148"/>
      <c r="L52" s="148"/>
      <c r="M52" s="149" t="s">
        <v>10</v>
      </c>
      <c r="N52" s="150">
        <v>75.56</v>
      </c>
      <c r="O52" s="150">
        <v>125.95</v>
      </c>
      <c r="P52" s="188">
        <v>0.8</v>
      </c>
      <c r="Q52" s="199">
        <f t="shared" si="0"/>
        <v>125</v>
      </c>
      <c r="R52" s="152">
        <f t="shared" si="2"/>
        <v>225.95</v>
      </c>
      <c r="S52" s="14"/>
    </row>
    <row r="53" spans="1:19" s="7" customFormat="1" ht="12.75">
      <c r="A53" s="162" t="s">
        <v>471</v>
      </c>
      <c r="B53" s="144" t="s">
        <v>945</v>
      </c>
      <c r="C53" s="151" t="s">
        <v>753</v>
      </c>
      <c r="D53" s="174" t="s">
        <v>2171</v>
      </c>
      <c r="E53" s="146" t="s">
        <v>454</v>
      </c>
      <c r="F53" s="147" t="s">
        <v>454</v>
      </c>
      <c r="G53" s="147" t="s">
        <v>454</v>
      </c>
      <c r="H53" s="147" t="s">
        <v>454</v>
      </c>
      <c r="I53" s="147" t="s">
        <v>454</v>
      </c>
      <c r="J53" s="148" t="s">
        <v>768</v>
      </c>
      <c r="K53" s="148" t="s">
        <v>1684</v>
      </c>
      <c r="L53" s="148"/>
      <c r="M53" s="149" t="s">
        <v>10</v>
      </c>
      <c r="N53" s="150">
        <v>38.97</v>
      </c>
      <c r="O53" s="150">
        <v>64.95</v>
      </c>
      <c r="P53" s="188">
        <v>0.4</v>
      </c>
      <c r="Q53" s="199">
        <f t="shared" si="0"/>
        <v>125</v>
      </c>
      <c r="R53" s="152">
        <f t="shared" si="2"/>
        <v>114.95</v>
      </c>
      <c r="S53" s="14"/>
    </row>
    <row r="54" spans="1:19" s="7" customFormat="1" ht="12.75">
      <c r="A54" s="162" t="s">
        <v>826</v>
      </c>
      <c r="B54" s="144" t="s">
        <v>824</v>
      </c>
      <c r="C54" s="151" t="s">
        <v>983</v>
      </c>
      <c r="D54" s="174" t="s">
        <v>2172</v>
      </c>
      <c r="E54" s="146" t="s">
        <v>454</v>
      </c>
      <c r="F54" s="147" t="s">
        <v>454</v>
      </c>
      <c r="G54" s="147" t="s">
        <v>454</v>
      </c>
      <c r="H54" s="147" t="s">
        <v>454</v>
      </c>
      <c r="I54" s="147" t="s">
        <v>454</v>
      </c>
      <c r="J54" s="148" t="s">
        <v>768</v>
      </c>
      <c r="K54" s="148" t="s">
        <v>1684</v>
      </c>
      <c r="L54" s="148"/>
      <c r="M54" s="149" t="s">
        <v>10</v>
      </c>
      <c r="N54" s="150">
        <v>38.97</v>
      </c>
      <c r="O54" s="150">
        <v>64.95</v>
      </c>
      <c r="P54" s="188">
        <v>0.4</v>
      </c>
      <c r="Q54" s="199">
        <f t="shared" si="0"/>
        <v>125</v>
      </c>
      <c r="R54" s="152">
        <f t="shared" si="2"/>
        <v>114.95</v>
      </c>
      <c r="S54" s="14"/>
    </row>
    <row r="55" spans="1:19" s="7" customFormat="1" ht="12.75">
      <c r="A55" s="162" t="s">
        <v>872</v>
      </c>
      <c r="B55" s="144" t="s">
        <v>873</v>
      </c>
      <c r="C55" s="151" t="s">
        <v>875</v>
      </c>
      <c r="D55" s="174" t="s">
        <v>2033</v>
      </c>
      <c r="E55" s="146" t="s">
        <v>454</v>
      </c>
      <c r="F55" s="147" t="s">
        <v>454</v>
      </c>
      <c r="G55" s="147" t="s">
        <v>454</v>
      </c>
      <c r="H55" s="147" t="s">
        <v>454</v>
      </c>
      <c r="I55" s="147" t="s">
        <v>454</v>
      </c>
      <c r="J55" s="148"/>
      <c r="K55" s="148"/>
      <c r="L55" s="148"/>
      <c r="M55" s="149" t="s">
        <v>59</v>
      </c>
      <c r="N55" s="150">
        <v>84</v>
      </c>
      <c r="O55" s="150">
        <v>119.95</v>
      </c>
      <c r="P55" s="188">
        <v>0</v>
      </c>
      <c r="Q55" s="199">
        <f t="shared" si="0"/>
        <v>125</v>
      </c>
      <c r="R55" s="152">
        <f t="shared" si="2"/>
        <v>119.95</v>
      </c>
      <c r="S55" s="14"/>
    </row>
    <row r="56" spans="1:19" s="7" customFormat="1" ht="12.75">
      <c r="A56" s="162" t="s">
        <v>528</v>
      </c>
      <c r="B56" s="144" t="s">
        <v>853</v>
      </c>
      <c r="C56" s="151" t="s">
        <v>984</v>
      </c>
      <c r="D56" s="174" t="s">
        <v>1054</v>
      </c>
      <c r="E56" s="146" t="s">
        <v>454</v>
      </c>
      <c r="F56" s="147" t="s">
        <v>454</v>
      </c>
      <c r="G56" s="147" t="s">
        <v>454</v>
      </c>
      <c r="H56" s="147" t="s">
        <v>454</v>
      </c>
      <c r="I56" s="147" t="s">
        <v>454</v>
      </c>
      <c r="J56" s="148" t="s">
        <v>768</v>
      </c>
      <c r="K56" s="148" t="s">
        <v>1684</v>
      </c>
      <c r="L56" s="148"/>
      <c r="M56" s="149" t="s">
        <v>0</v>
      </c>
      <c r="N56" s="150">
        <v>269.97000000000003</v>
      </c>
      <c r="O56" s="150">
        <v>449.95</v>
      </c>
      <c r="P56" s="188">
        <v>0.5</v>
      </c>
      <c r="Q56" s="199">
        <f t="shared" si="0"/>
        <v>125</v>
      </c>
      <c r="R56" s="152">
        <f t="shared" si="2"/>
        <v>512.45000000000005</v>
      </c>
      <c r="S56" s="14"/>
    </row>
    <row r="57" spans="1:19" s="7" customFormat="1" ht="12.75">
      <c r="A57" s="162" t="s">
        <v>509</v>
      </c>
      <c r="B57" s="144" t="s">
        <v>796</v>
      </c>
      <c r="C57" s="151" t="s">
        <v>985</v>
      </c>
      <c r="D57" s="174"/>
      <c r="E57" s="146" t="s">
        <v>454</v>
      </c>
      <c r="F57" s="147" t="s">
        <v>454</v>
      </c>
      <c r="G57" s="147" t="s">
        <v>454</v>
      </c>
      <c r="H57" s="147" t="s">
        <v>454</v>
      </c>
      <c r="I57" s="147" t="s">
        <v>454</v>
      </c>
      <c r="J57" s="148" t="s">
        <v>768</v>
      </c>
      <c r="K57" s="148" t="s">
        <v>1684</v>
      </c>
      <c r="L57" s="148"/>
      <c r="M57" s="149" t="s">
        <v>10</v>
      </c>
      <c r="N57" s="150">
        <v>138.57</v>
      </c>
      <c r="O57" s="150">
        <v>230.95</v>
      </c>
      <c r="P57" s="188">
        <v>0.3</v>
      </c>
      <c r="Q57" s="199">
        <f t="shared" si="0"/>
        <v>125</v>
      </c>
      <c r="R57" s="152">
        <f t="shared" si="2"/>
        <v>268.45</v>
      </c>
      <c r="S57" s="14"/>
    </row>
    <row r="58" spans="1:19" s="7" customFormat="1" ht="12.75">
      <c r="A58" s="162" t="s">
        <v>517</v>
      </c>
      <c r="B58" s="144" t="s">
        <v>552</v>
      </c>
      <c r="C58" s="151" t="s">
        <v>986</v>
      </c>
      <c r="D58" s="174"/>
      <c r="E58" s="146" t="s">
        <v>454</v>
      </c>
      <c r="F58" s="147" t="s">
        <v>454</v>
      </c>
      <c r="G58" s="147" t="s">
        <v>454</v>
      </c>
      <c r="H58" s="147" t="s">
        <v>454</v>
      </c>
      <c r="I58" s="147" t="s">
        <v>454</v>
      </c>
      <c r="J58" s="148" t="s">
        <v>768</v>
      </c>
      <c r="K58" s="148" t="s">
        <v>1684</v>
      </c>
      <c r="L58" s="148"/>
      <c r="M58" s="149" t="s">
        <v>10</v>
      </c>
      <c r="N58" s="150">
        <v>153.57</v>
      </c>
      <c r="O58" s="150">
        <v>255.95</v>
      </c>
      <c r="P58" s="188">
        <v>0.8</v>
      </c>
      <c r="Q58" s="199">
        <f t="shared" si="0"/>
        <v>125</v>
      </c>
      <c r="R58" s="152">
        <f t="shared" si="2"/>
        <v>355.95</v>
      </c>
      <c r="S58" s="14"/>
    </row>
    <row r="59" spans="1:19" s="7" customFormat="1" ht="12.75">
      <c r="A59" s="162" t="s">
        <v>496</v>
      </c>
      <c r="B59" s="144" t="s">
        <v>946</v>
      </c>
      <c r="C59" s="151" t="s">
        <v>1624</v>
      </c>
      <c r="D59" s="174"/>
      <c r="E59" s="146" t="s">
        <v>410</v>
      </c>
      <c r="F59" s="147" t="s">
        <v>454</v>
      </c>
      <c r="G59" s="147" t="s">
        <v>454</v>
      </c>
      <c r="H59" s="147" t="s">
        <v>454</v>
      </c>
      <c r="I59" s="147" t="s">
        <v>454</v>
      </c>
      <c r="J59" s="148" t="s">
        <v>768</v>
      </c>
      <c r="K59" s="148" t="s">
        <v>1684</v>
      </c>
      <c r="L59" s="148"/>
      <c r="M59" s="149" t="s">
        <v>10</v>
      </c>
      <c r="N59" s="150">
        <v>212.67</v>
      </c>
      <c r="O59" s="150">
        <v>349.95</v>
      </c>
      <c r="P59" s="188">
        <v>0.8</v>
      </c>
      <c r="Q59" s="199">
        <f t="shared" si="0"/>
        <v>125</v>
      </c>
      <c r="R59" s="152">
        <f t="shared" si="2"/>
        <v>449.95</v>
      </c>
      <c r="S59" s="14"/>
    </row>
    <row r="60" spans="1:19" s="7" customFormat="1" ht="12.75">
      <c r="A60" s="162" t="s">
        <v>499</v>
      </c>
      <c r="B60" s="144" t="s">
        <v>947</v>
      </c>
      <c r="C60" s="151" t="s">
        <v>987</v>
      </c>
      <c r="D60" s="174"/>
      <c r="E60" s="146" t="s">
        <v>454</v>
      </c>
      <c r="F60" s="147" t="s">
        <v>454</v>
      </c>
      <c r="G60" s="147" t="s">
        <v>454</v>
      </c>
      <c r="H60" s="147" t="s">
        <v>454</v>
      </c>
      <c r="I60" s="147" t="s">
        <v>410</v>
      </c>
      <c r="J60" s="148" t="s">
        <v>768</v>
      </c>
      <c r="K60" s="148" t="s">
        <v>1684</v>
      </c>
      <c r="L60" s="148"/>
      <c r="M60" s="149" t="s">
        <v>10</v>
      </c>
      <c r="N60" s="150">
        <v>212.67</v>
      </c>
      <c r="O60" s="150">
        <v>349.95</v>
      </c>
      <c r="P60" s="188">
        <v>0.8</v>
      </c>
      <c r="Q60" s="199">
        <f t="shared" si="0"/>
        <v>125</v>
      </c>
      <c r="R60" s="152">
        <f t="shared" si="2"/>
        <v>449.95</v>
      </c>
      <c r="S60" s="14"/>
    </row>
    <row r="61" spans="1:19" s="7" customFormat="1" ht="12.75">
      <c r="A61" s="162" t="s">
        <v>498</v>
      </c>
      <c r="B61" s="144" t="s">
        <v>1012</v>
      </c>
      <c r="C61" s="151" t="s">
        <v>988</v>
      </c>
      <c r="D61" s="174"/>
      <c r="E61" s="146" t="s">
        <v>454</v>
      </c>
      <c r="F61" s="147" t="s">
        <v>454</v>
      </c>
      <c r="G61" s="147" t="s">
        <v>454</v>
      </c>
      <c r="H61" s="147" t="s">
        <v>454</v>
      </c>
      <c r="I61" s="147" t="s">
        <v>410</v>
      </c>
      <c r="J61" s="148" t="s">
        <v>768</v>
      </c>
      <c r="K61" s="148" t="s">
        <v>1684</v>
      </c>
      <c r="L61" s="148"/>
      <c r="M61" s="149" t="s">
        <v>10</v>
      </c>
      <c r="N61" s="150">
        <v>212.67</v>
      </c>
      <c r="O61" s="150">
        <v>349.95</v>
      </c>
      <c r="P61" s="188">
        <v>0.8</v>
      </c>
      <c r="Q61" s="199">
        <f t="shared" si="0"/>
        <v>125</v>
      </c>
      <c r="R61" s="152">
        <f t="shared" si="2"/>
        <v>449.95</v>
      </c>
      <c r="S61" s="14"/>
    </row>
    <row r="62" spans="1:19" s="7" customFormat="1" ht="12.75">
      <c r="A62" s="162" t="s">
        <v>495</v>
      </c>
      <c r="B62" s="144" t="s">
        <v>1026</v>
      </c>
      <c r="C62" s="151" t="s">
        <v>1031</v>
      </c>
      <c r="D62" s="174"/>
      <c r="E62" s="146" t="s">
        <v>454</v>
      </c>
      <c r="F62" s="147" t="s">
        <v>410</v>
      </c>
      <c r="G62" s="147" t="s">
        <v>410</v>
      </c>
      <c r="H62" s="147" t="s">
        <v>410</v>
      </c>
      <c r="I62" s="147" t="s">
        <v>410</v>
      </c>
      <c r="J62" s="148" t="s">
        <v>768</v>
      </c>
      <c r="K62" s="148" t="s">
        <v>1684</v>
      </c>
      <c r="L62" s="148"/>
      <c r="M62" s="149" t="s">
        <v>10</v>
      </c>
      <c r="N62" s="150">
        <v>212.67</v>
      </c>
      <c r="O62" s="150">
        <v>349.95</v>
      </c>
      <c r="P62" s="188">
        <v>0.8</v>
      </c>
      <c r="Q62" s="199">
        <f t="shared" si="0"/>
        <v>125</v>
      </c>
      <c r="R62" s="152">
        <f t="shared" si="2"/>
        <v>449.95</v>
      </c>
      <c r="S62" s="14"/>
    </row>
    <row r="63" spans="1:19" s="7" customFormat="1" ht="12.75">
      <c r="A63" s="162" t="s">
        <v>497</v>
      </c>
      <c r="B63" s="144" t="s">
        <v>948</v>
      </c>
      <c r="C63" s="151" t="s">
        <v>989</v>
      </c>
      <c r="D63" s="174"/>
      <c r="E63" s="146" t="s">
        <v>454</v>
      </c>
      <c r="F63" s="147" t="s">
        <v>454</v>
      </c>
      <c r="G63" s="147" t="s">
        <v>454</v>
      </c>
      <c r="H63" s="147" t="s">
        <v>454</v>
      </c>
      <c r="I63" s="147" t="s">
        <v>410</v>
      </c>
      <c r="J63" s="148" t="s">
        <v>768</v>
      </c>
      <c r="K63" s="148" t="s">
        <v>1684</v>
      </c>
      <c r="L63" s="148"/>
      <c r="M63" s="149" t="s">
        <v>10</v>
      </c>
      <c r="N63" s="150">
        <v>212.67</v>
      </c>
      <c r="O63" s="150">
        <v>349.95</v>
      </c>
      <c r="P63" s="188">
        <v>0.8</v>
      </c>
      <c r="Q63" s="199">
        <f t="shared" si="0"/>
        <v>125</v>
      </c>
      <c r="R63" s="152">
        <f t="shared" si="2"/>
        <v>449.95</v>
      </c>
      <c r="S63" s="14"/>
    </row>
    <row r="64" spans="1:19" s="7" customFormat="1" ht="12.75">
      <c r="A64" s="162" t="s">
        <v>493</v>
      </c>
      <c r="B64" s="144" t="s">
        <v>949</v>
      </c>
      <c r="C64" s="151" t="s">
        <v>990</v>
      </c>
      <c r="D64" s="174"/>
      <c r="E64" s="146" t="s">
        <v>454</v>
      </c>
      <c r="F64" s="147" t="s">
        <v>454</v>
      </c>
      <c r="G64" s="147" t="s">
        <v>454</v>
      </c>
      <c r="H64" s="147" t="s">
        <v>454</v>
      </c>
      <c r="I64" s="147" t="s">
        <v>454</v>
      </c>
      <c r="J64" s="148" t="s">
        <v>768</v>
      </c>
      <c r="K64" s="148" t="s">
        <v>1684</v>
      </c>
      <c r="L64" s="148"/>
      <c r="M64" s="149" t="s">
        <v>10</v>
      </c>
      <c r="N64" s="150">
        <v>212.67</v>
      </c>
      <c r="O64" s="150">
        <v>349.95</v>
      </c>
      <c r="P64" s="188">
        <v>0.8</v>
      </c>
      <c r="Q64" s="199">
        <f t="shared" si="0"/>
        <v>125</v>
      </c>
      <c r="R64" s="152">
        <f t="shared" si="2"/>
        <v>449.95</v>
      </c>
      <c r="S64" s="14"/>
    </row>
    <row r="65" spans="1:20" s="7" customFormat="1" ht="12.75">
      <c r="A65" s="162" t="s">
        <v>494</v>
      </c>
      <c r="B65" s="144" t="s">
        <v>1016</v>
      </c>
      <c r="C65" s="151" t="s">
        <v>991</v>
      </c>
      <c r="D65" s="174"/>
      <c r="E65" s="146" t="s">
        <v>454</v>
      </c>
      <c r="F65" s="147" t="s">
        <v>454</v>
      </c>
      <c r="G65" s="147" t="s">
        <v>454</v>
      </c>
      <c r="H65" s="147" t="s">
        <v>454</v>
      </c>
      <c r="I65" s="147" t="s">
        <v>454</v>
      </c>
      <c r="J65" s="148" t="s">
        <v>768</v>
      </c>
      <c r="K65" s="148" t="s">
        <v>1684</v>
      </c>
      <c r="L65" s="148"/>
      <c r="M65" s="149" t="s">
        <v>10</v>
      </c>
      <c r="N65" s="150">
        <v>212.67</v>
      </c>
      <c r="O65" s="150">
        <v>349.95</v>
      </c>
      <c r="P65" s="188">
        <v>0.8</v>
      </c>
      <c r="Q65" s="199">
        <f t="shared" si="0"/>
        <v>125</v>
      </c>
      <c r="R65" s="152">
        <f t="shared" si="2"/>
        <v>449.95</v>
      </c>
      <c r="S65" s="14"/>
    </row>
    <row r="66" spans="1:20" s="7" customFormat="1" ht="12.75">
      <c r="A66" s="162" t="s">
        <v>492</v>
      </c>
      <c r="B66" s="144" t="s">
        <v>950</v>
      </c>
      <c r="C66" s="151" t="s">
        <v>992</v>
      </c>
      <c r="D66" s="174"/>
      <c r="E66" s="146" t="s">
        <v>454</v>
      </c>
      <c r="F66" s="147" t="s">
        <v>454</v>
      </c>
      <c r="G66" s="147" t="s">
        <v>454</v>
      </c>
      <c r="H66" s="147" t="s">
        <v>454</v>
      </c>
      <c r="I66" s="147" t="s">
        <v>454</v>
      </c>
      <c r="J66" s="148" t="s">
        <v>768</v>
      </c>
      <c r="K66" s="148" t="s">
        <v>1684</v>
      </c>
      <c r="L66" s="148"/>
      <c r="M66" s="149" t="s">
        <v>10</v>
      </c>
      <c r="N66" s="150">
        <v>212.67</v>
      </c>
      <c r="O66" s="150">
        <v>349.95</v>
      </c>
      <c r="P66" s="188">
        <v>0.8</v>
      </c>
      <c r="Q66" s="199">
        <f t="shared" si="0"/>
        <v>125</v>
      </c>
      <c r="R66" s="152">
        <f t="shared" si="2"/>
        <v>449.95</v>
      </c>
      <c r="S66" s="14"/>
    </row>
    <row r="67" spans="1:20" s="7" customFormat="1" ht="12.75">
      <c r="A67" s="162" t="s">
        <v>529</v>
      </c>
      <c r="B67" s="144" t="s">
        <v>536</v>
      </c>
      <c r="C67" s="151" t="s">
        <v>993</v>
      </c>
      <c r="D67" s="174"/>
      <c r="E67" s="146" t="s">
        <v>454</v>
      </c>
      <c r="F67" s="147" t="s">
        <v>454</v>
      </c>
      <c r="G67" s="147" t="s">
        <v>454</v>
      </c>
      <c r="H67" s="147" t="s">
        <v>454</v>
      </c>
      <c r="I67" s="147" t="s">
        <v>454</v>
      </c>
      <c r="J67" s="148"/>
      <c r="K67" s="148" t="s">
        <v>1684</v>
      </c>
      <c r="L67" s="148"/>
      <c r="M67" s="149" t="s">
        <v>16</v>
      </c>
      <c r="N67" s="150">
        <v>34.770000000000003</v>
      </c>
      <c r="O67" s="150">
        <v>57.95</v>
      </c>
      <c r="P67" s="188">
        <v>0.8</v>
      </c>
      <c r="Q67" s="199">
        <f t="shared" ref="Q67:Q130" si="3">$M$1</f>
        <v>125</v>
      </c>
      <c r="R67" s="152">
        <f t="shared" si="2"/>
        <v>157.94999999999999</v>
      </c>
      <c r="S67" s="14"/>
    </row>
    <row r="68" spans="1:20">
      <c r="A68" s="164" t="s">
        <v>469</v>
      </c>
      <c r="B68" s="165" t="s">
        <v>779</v>
      </c>
      <c r="C68" s="165" t="s">
        <v>1939</v>
      </c>
      <c r="D68" s="184" t="s">
        <v>2002</v>
      </c>
      <c r="E68" s="204" t="s">
        <v>454</v>
      </c>
      <c r="F68" s="205" t="s">
        <v>454</v>
      </c>
      <c r="G68" s="205" t="s">
        <v>454</v>
      </c>
      <c r="H68" s="205" t="s">
        <v>454</v>
      </c>
      <c r="I68" s="205" t="s">
        <v>454</v>
      </c>
      <c r="J68" s="181" t="s">
        <v>768</v>
      </c>
      <c r="K68" s="181"/>
      <c r="L68" s="181"/>
      <c r="M68" s="182" t="s">
        <v>59</v>
      </c>
      <c r="N68" s="183">
        <v>60</v>
      </c>
      <c r="O68" s="183">
        <v>84.95</v>
      </c>
      <c r="P68" s="184">
        <v>0.8</v>
      </c>
      <c r="Q68" s="217">
        <f t="shared" si="3"/>
        <v>125</v>
      </c>
      <c r="R68" s="185">
        <f t="shared" si="2"/>
        <v>184.95</v>
      </c>
      <c r="S68" s="14"/>
      <c r="T68" s="7"/>
    </row>
    <row r="69" spans="1:20">
      <c r="A69" s="164" t="s">
        <v>1680</v>
      </c>
      <c r="B69" s="165" t="s">
        <v>1800</v>
      </c>
      <c r="C69" s="165" t="s">
        <v>1970</v>
      </c>
      <c r="D69" s="184" t="s">
        <v>1804</v>
      </c>
      <c r="E69" s="204" t="s">
        <v>454</v>
      </c>
      <c r="F69" s="205" t="s">
        <v>454</v>
      </c>
      <c r="G69" s="205" t="s">
        <v>454</v>
      </c>
      <c r="H69" s="205" t="s">
        <v>454</v>
      </c>
      <c r="I69" s="205" t="s">
        <v>454</v>
      </c>
      <c r="J69" s="181" t="s">
        <v>768</v>
      </c>
      <c r="K69" s="181"/>
      <c r="L69" s="181"/>
      <c r="M69" s="182" t="s">
        <v>59</v>
      </c>
      <c r="N69" s="183">
        <v>258.75</v>
      </c>
      <c r="O69" s="183">
        <v>389.95</v>
      </c>
      <c r="P69" s="184">
        <v>0.8</v>
      </c>
      <c r="Q69" s="217">
        <f t="shared" si="3"/>
        <v>125</v>
      </c>
      <c r="R69" s="185">
        <f t="shared" si="2"/>
        <v>489.95</v>
      </c>
      <c r="S69" s="14"/>
      <c r="T69" s="7"/>
    </row>
    <row r="70" spans="1:20">
      <c r="A70" s="164" t="s">
        <v>1052</v>
      </c>
      <c r="B70" s="165" t="s">
        <v>1792</v>
      </c>
      <c r="C70" s="165" t="s">
        <v>1941</v>
      </c>
      <c r="D70" s="184" t="s">
        <v>2003</v>
      </c>
      <c r="E70" s="204" t="s">
        <v>454</v>
      </c>
      <c r="F70" s="205" t="s">
        <v>454</v>
      </c>
      <c r="G70" s="205" t="s">
        <v>454</v>
      </c>
      <c r="H70" s="205" t="s">
        <v>454</v>
      </c>
      <c r="I70" s="205" t="s">
        <v>454</v>
      </c>
      <c r="J70" s="181" t="s">
        <v>768</v>
      </c>
      <c r="K70" s="181"/>
      <c r="L70" s="181"/>
      <c r="M70" s="182" t="s">
        <v>59</v>
      </c>
      <c r="N70" s="183">
        <v>150</v>
      </c>
      <c r="O70" s="183">
        <v>214.95</v>
      </c>
      <c r="P70" s="184">
        <v>0.8</v>
      </c>
      <c r="Q70" s="217">
        <f t="shared" si="3"/>
        <v>125</v>
      </c>
      <c r="R70" s="185">
        <f t="shared" si="2"/>
        <v>314.95</v>
      </c>
      <c r="S70" s="14"/>
      <c r="T70" s="7"/>
    </row>
    <row r="71" spans="1:20" s="7" customFormat="1" ht="12.75">
      <c r="A71" s="164" t="s">
        <v>286</v>
      </c>
      <c r="B71" s="165" t="s">
        <v>287</v>
      </c>
      <c r="C71" s="165" t="s">
        <v>292</v>
      </c>
      <c r="D71" s="184"/>
      <c r="E71" s="204" t="s">
        <v>454</v>
      </c>
      <c r="F71" s="205" t="s">
        <v>454</v>
      </c>
      <c r="G71" s="205" t="s">
        <v>454</v>
      </c>
      <c r="H71" s="205" t="s">
        <v>454</v>
      </c>
      <c r="I71" s="205" t="s">
        <v>454</v>
      </c>
      <c r="J71" s="181" t="s">
        <v>768</v>
      </c>
      <c r="K71" s="181"/>
      <c r="L71" s="181"/>
      <c r="M71" s="182" t="s">
        <v>59</v>
      </c>
      <c r="N71" s="183">
        <v>230</v>
      </c>
      <c r="O71" s="183">
        <v>329.95</v>
      </c>
      <c r="P71" s="184">
        <v>0.8</v>
      </c>
      <c r="Q71" s="217">
        <f t="shared" si="3"/>
        <v>125</v>
      </c>
      <c r="R71" s="185">
        <f t="shared" si="2"/>
        <v>429.95</v>
      </c>
      <c r="S71" s="14"/>
    </row>
    <row r="72" spans="1:20" ht="25.5">
      <c r="A72" s="164" t="s">
        <v>1754</v>
      </c>
      <c r="B72" s="165" t="s">
        <v>2209</v>
      </c>
      <c r="C72" s="165" t="s">
        <v>1943</v>
      </c>
      <c r="D72" s="184" t="s">
        <v>2007</v>
      </c>
      <c r="E72" s="204" t="s">
        <v>454</v>
      </c>
      <c r="F72" s="205" t="s">
        <v>454</v>
      </c>
      <c r="G72" s="205" t="s">
        <v>454</v>
      </c>
      <c r="H72" s="205" t="s">
        <v>454</v>
      </c>
      <c r="I72" s="205" t="s">
        <v>454</v>
      </c>
      <c r="J72" s="181" t="s">
        <v>410</v>
      </c>
      <c r="K72" s="181"/>
      <c r="L72" s="181"/>
      <c r="M72" s="182" t="s">
        <v>59</v>
      </c>
      <c r="N72" s="183">
        <v>230</v>
      </c>
      <c r="O72" s="183">
        <v>329.95</v>
      </c>
      <c r="P72" s="184">
        <v>0.8</v>
      </c>
      <c r="Q72" s="217">
        <f t="shared" si="3"/>
        <v>125</v>
      </c>
      <c r="R72" s="185">
        <f t="shared" si="2"/>
        <v>429.95</v>
      </c>
      <c r="S72" s="14"/>
      <c r="T72" s="7"/>
    </row>
    <row r="73" spans="1:20" ht="25.5">
      <c r="A73" s="164" t="s">
        <v>558</v>
      </c>
      <c r="B73" s="165" t="s">
        <v>1801</v>
      </c>
      <c r="C73" s="165" t="s">
        <v>1942</v>
      </c>
      <c r="D73" s="184" t="s">
        <v>2005</v>
      </c>
      <c r="E73" s="204" t="s">
        <v>454</v>
      </c>
      <c r="F73" s="205" t="s">
        <v>454</v>
      </c>
      <c r="G73" s="205" t="s">
        <v>454</v>
      </c>
      <c r="H73" s="205" t="s">
        <v>454</v>
      </c>
      <c r="I73" s="205" t="s">
        <v>454</v>
      </c>
      <c r="J73" s="181" t="s">
        <v>768</v>
      </c>
      <c r="K73" s="181"/>
      <c r="L73" s="181"/>
      <c r="M73" s="182" t="s">
        <v>59</v>
      </c>
      <c r="N73" s="183">
        <v>150</v>
      </c>
      <c r="O73" s="183">
        <v>214.95</v>
      </c>
      <c r="P73" s="184">
        <v>0.8</v>
      </c>
      <c r="Q73" s="217">
        <f t="shared" si="3"/>
        <v>125</v>
      </c>
      <c r="R73" s="185">
        <f t="shared" si="2"/>
        <v>314.95</v>
      </c>
      <c r="S73" s="14"/>
      <c r="T73" s="7"/>
    </row>
    <row r="74" spans="1:20">
      <c r="A74" s="164" t="s">
        <v>283</v>
      </c>
      <c r="B74" s="165" t="s">
        <v>284</v>
      </c>
      <c r="C74" s="165" t="s">
        <v>291</v>
      </c>
      <c r="D74" s="184" t="s">
        <v>302</v>
      </c>
      <c r="E74" s="204" t="s">
        <v>454</v>
      </c>
      <c r="F74" s="205" t="s">
        <v>454</v>
      </c>
      <c r="G74" s="205" t="s">
        <v>454</v>
      </c>
      <c r="H74" s="205" t="s">
        <v>454</v>
      </c>
      <c r="I74" s="205" t="s">
        <v>454</v>
      </c>
      <c r="J74" s="181" t="s">
        <v>768</v>
      </c>
      <c r="K74" s="181"/>
      <c r="L74" s="181"/>
      <c r="M74" s="182" t="s">
        <v>59</v>
      </c>
      <c r="N74" s="183">
        <v>150</v>
      </c>
      <c r="O74" s="183">
        <v>214.95</v>
      </c>
      <c r="P74" s="184">
        <v>0.8</v>
      </c>
      <c r="Q74" s="217">
        <f t="shared" si="3"/>
        <v>125</v>
      </c>
      <c r="R74" s="185">
        <f t="shared" si="2"/>
        <v>314.95</v>
      </c>
      <c r="S74" s="14"/>
      <c r="T74" s="7"/>
    </row>
    <row r="75" spans="1:20">
      <c r="A75" s="164" t="s">
        <v>2192</v>
      </c>
      <c r="B75" s="165" t="s">
        <v>2193</v>
      </c>
      <c r="C75" s="165" t="s">
        <v>2194</v>
      </c>
      <c r="D75" s="216" t="s">
        <v>2195</v>
      </c>
      <c r="E75" s="204" t="s">
        <v>454</v>
      </c>
      <c r="F75" s="204" t="s">
        <v>454</v>
      </c>
      <c r="G75" s="205" t="s">
        <v>454</v>
      </c>
      <c r="H75" s="205" t="s">
        <v>454</v>
      </c>
      <c r="I75" s="205" t="s">
        <v>454</v>
      </c>
      <c r="J75" s="181" t="s">
        <v>768</v>
      </c>
      <c r="K75" s="181"/>
      <c r="L75" s="181"/>
      <c r="M75" s="182" t="s">
        <v>59</v>
      </c>
      <c r="N75" s="183">
        <v>400</v>
      </c>
      <c r="O75" s="183">
        <v>569.95000000000005</v>
      </c>
      <c r="P75" s="207">
        <v>0.8</v>
      </c>
      <c r="Q75" s="183">
        <f t="shared" si="3"/>
        <v>125</v>
      </c>
      <c r="R75" s="185">
        <f t="shared" si="2"/>
        <v>669.95</v>
      </c>
      <c r="S75" s="14"/>
      <c r="T75" s="7"/>
    </row>
    <row r="76" spans="1:20">
      <c r="A76" s="164" t="s">
        <v>299</v>
      </c>
      <c r="B76" s="165" t="s">
        <v>300</v>
      </c>
      <c r="C76" s="165" t="s">
        <v>301</v>
      </c>
      <c r="D76" s="184"/>
      <c r="E76" s="204" t="s">
        <v>454</v>
      </c>
      <c r="F76" s="205" t="s">
        <v>454</v>
      </c>
      <c r="G76" s="205" t="s">
        <v>454</v>
      </c>
      <c r="H76" s="205" t="s">
        <v>454</v>
      </c>
      <c r="I76" s="205" t="s">
        <v>454</v>
      </c>
      <c r="J76" s="181" t="s">
        <v>768</v>
      </c>
      <c r="K76" s="181"/>
      <c r="L76" s="181"/>
      <c r="M76" s="182" t="s">
        <v>59</v>
      </c>
      <c r="N76" s="183">
        <v>60</v>
      </c>
      <c r="O76" s="183">
        <v>79.95</v>
      </c>
      <c r="P76" s="184">
        <v>0.8</v>
      </c>
      <c r="Q76" s="217">
        <f t="shared" si="3"/>
        <v>125</v>
      </c>
      <c r="R76" s="185">
        <f t="shared" si="2"/>
        <v>179.95</v>
      </c>
      <c r="S76" s="12"/>
    </row>
    <row r="77" spans="1:20">
      <c r="A77" s="164" t="s">
        <v>468</v>
      </c>
      <c r="B77" s="165" t="s">
        <v>1793</v>
      </c>
      <c r="C77" s="165" t="s">
        <v>1940</v>
      </c>
      <c r="D77" s="184" t="s">
        <v>2004</v>
      </c>
      <c r="E77" s="204" t="s">
        <v>454</v>
      </c>
      <c r="F77" s="205" t="s">
        <v>454</v>
      </c>
      <c r="G77" s="205" t="s">
        <v>454</v>
      </c>
      <c r="H77" s="205" t="s">
        <v>454</v>
      </c>
      <c r="I77" s="205" t="s">
        <v>454</v>
      </c>
      <c r="J77" s="181" t="s">
        <v>768</v>
      </c>
      <c r="K77" s="181"/>
      <c r="L77" s="181"/>
      <c r="M77" s="182" t="s">
        <v>59</v>
      </c>
      <c r="N77" s="183">
        <v>88.5</v>
      </c>
      <c r="O77" s="183">
        <v>124.95</v>
      </c>
      <c r="P77" s="184">
        <v>0.8</v>
      </c>
      <c r="Q77" s="217">
        <f t="shared" si="3"/>
        <v>125</v>
      </c>
      <c r="R77" s="185">
        <f t="shared" si="2"/>
        <v>224.95</v>
      </c>
      <c r="S77" s="12"/>
    </row>
    <row r="78" spans="1:20" s="7" customFormat="1" ht="12.75">
      <c r="A78" s="162" t="s">
        <v>524</v>
      </c>
      <c r="B78" s="144" t="s">
        <v>1637</v>
      </c>
      <c r="C78" s="151" t="s">
        <v>1638</v>
      </c>
      <c r="D78" s="174" t="s">
        <v>1085</v>
      </c>
      <c r="E78" s="146" t="s">
        <v>454</v>
      </c>
      <c r="F78" s="147" t="s">
        <v>454</v>
      </c>
      <c r="G78" s="147" t="s">
        <v>454</v>
      </c>
      <c r="H78" s="147" t="s">
        <v>454</v>
      </c>
      <c r="I78" s="147" t="s">
        <v>454</v>
      </c>
      <c r="J78" s="148" t="s">
        <v>768</v>
      </c>
      <c r="K78" s="148" t="s">
        <v>1684</v>
      </c>
      <c r="L78" s="148"/>
      <c r="M78" s="149" t="s">
        <v>0</v>
      </c>
      <c r="N78" s="150">
        <v>244.17</v>
      </c>
      <c r="O78" s="150">
        <v>406.95</v>
      </c>
      <c r="P78" s="188">
        <v>0.8</v>
      </c>
      <c r="Q78" s="199">
        <f t="shared" si="3"/>
        <v>125</v>
      </c>
      <c r="R78" s="152">
        <f t="shared" si="2"/>
        <v>506.95</v>
      </c>
      <c r="S78" s="14"/>
    </row>
    <row r="79" spans="1:20" s="7" customFormat="1" ht="12.75">
      <c r="A79" s="162" t="s">
        <v>520</v>
      </c>
      <c r="B79" s="144" t="s">
        <v>825</v>
      </c>
      <c r="C79" s="151" t="s">
        <v>1791</v>
      </c>
      <c r="D79" s="174"/>
      <c r="E79" s="146" t="s">
        <v>454</v>
      </c>
      <c r="F79" s="147" t="s">
        <v>454</v>
      </c>
      <c r="G79" s="147" t="s">
        <v>454</v>
      </c>
      <c r="H79" s="147" t="s">
        <v>454</v>
      </c>
      <c r="I79" s="147" t="s">
        <v>454</v>
      </c>
      <c r="J79" s="148" t="s">
        <v>768</v>
      </c>
      <c r="K79" s="148" t="s">
        <v>1684</v>
      </c>
      <c r="L79" s="148"/>
      <c r="M79" s="149" t="s">
        <v>10</v>
      </c>
      <c r="N79" s="150">
        <v>281.37</v>
      </c>
      <c r="O79" s="150">
        <v>468.95</v>
      </c>
      <c r="P79" s="188">
        <v>0.5</v>
      </c>
      <c r="Q79" s="199">
        <f t="shared" si="3"/>
        <v>125</v>
      </c>
      <c r="R79" s="152">
        <f t="shared" si="2"/>
        <v>531.45000000000005</v>
      </c>
      <c r="S79" s="14"/>
    </row>
    <row r="80" spans="1:20" s="7" customFormat="1" ht="12.75">
      <c r="A80" s="162" t="s">
        <v>1610</v>
      </c>
      <c r="B80" s="144" t="s">
        <v>860</v>
      </c>
      <c r="C80" s="151" t="s">
        <v>866</v>
      </c>
      <c r="D80" s="174" t="s">
        <v>1707</v>
      </c>
      <c r="E80" s="146" t="s">
        <v>454</v>
      </c>
      <c r="F80" s="147" t="s">
        <v>454</v>
      </c>
      <c r="G80" s="147" t="s">
        <v>454</v>
      </c>
      <c r="H80" s="147" t="s">
        <v>454</v>
      </c>
      <c r="I80" s="147" t="s">
        <v>454</v>
      </c>
      <c r="J80" s="148"/>
      <c r="K80" s="191" t="s">
        <v>1684</v>
      </c>
      <c r="L80" s="191"/>
      <c r="M80" s="149" t="s">
        <v>10</v>
      </c>
      <c r="N80" s="150">
        <v>392.67</v>
      </c>
      <c r="O80" s="150">
        <v>560.95000000000005</v>
      </c>
      <c r="P80" s="188">
        <v>1.5</v>
      </c>
      <c r="Q80" s="199">
        <f t="shared" si="3"/>
        <v>125</v>
      </c>
      <c r="R80" s="152">
        <f t="shared" si="2"/>
        <v>748.45</v>
      </c>
      <c r="S80" s="14"/>
    </row>
    <row r="81" spans="1:19" s="7" customFormat="1" ht="12.75">
      <c r="A81" s="162" t="s">
        <v>861</v>
      </c>
      <c r="B81" s="144" t="s">
        <v>2066</v>
      </c>
      <c r="C81" s="151" t="s">
        <v>1853</v>
      </c>
      <c r="D81" s="174" t="s">
        <v>1707</v>
      </c>
      <c r="E81" s="146" t="s">
        <v>454</v>
      </c>
      <c r="F81" s="147" t="s">
        <v>454</v>
      </c>
      <c r="G81" s="147" t="s">
        <v>454</v>
      </c>
      <c r="H81" s="147" t="s">
        <v>454</v>
      </c>
      <c r="I81" s="147" t="s">
        <v>454</v>
      </c>
      <c r="J81" s="148" t="s">
        <v>768</v>
      </c>
      <c r="K81" s="148" t="s">
        <v>1684</v>
      </c>
      <c r="L81" s="148"/>
      <c r="M81" s="149" t="s">
        <v>10</v>
      </c>
      <c r="N81" s="150">
        <v>769.97</v>
      </c>
      <c r="O81" s="150">
        <v>1099.95</v>
      </c>
      <c r="P81" s="188">
        <v>0</v>
      </c>
      <c r="Q81" s="199">
        <f t="shared" si="3"/>
        <v>125</v>
      </c>
      <c r="R81" s="152">
        <f t="shared" si="2"/>
        <v>1099.95</v>
      </c>
      <c r="S81" s="14"/>
    </row>
    <row r="82" spans="1:19" s="7" customFormat="1" ht="12.75">
      <c r="A82" s="162" t="s">
        <v>862</v>
      </c>
      <c r="B82" s="144" t="s">
        <v>2067</v>
      </c>
      <c r="C82" s="151" t="s">
        <v>2110</v>
      </c>
      <c r="D82" s="174" t="s">
        <v>1707</v>
      </c>
      <c r="E82" s="146" t="s">
        <v>454</v>
      </c>
      <c r="F82" s="147" t="s">
        <v>454</v>
      </c>
      <c r="G82" s="147" t="s">
        <v>454</v>
      </c>
      <c r="H82" s="147" t="s">
        <v>454</v>
      </c>
      <c r="I82" s="147" t="s">
        <v>454</v>
      </c>
      <c r="J82" s="148" t="s">
        <v>768</v>
      </c>
      <c r="K82" s="148" t="s">
        <v>1684</v>
      </c>
      <c r="L82" s="148"/>
      <c r="M82" s="149" t="s">
        <v>10</v>
      </c>
      <c r="N82" s="150">
        <v>476.43</v>
      </c>
      <c r="O82" s="150">
        <v>669.95</v>
      </c>
      <c r="P82" s="188">
        <v>0</v>
      </c>
      <c r="Q82" s="199">
        <f t="shared" si="3"/>
        <v>125</v>
      </c>
      <c r="R82" s="152">
        <f t="shared" si="2"/>
        <v>669.95</v>
      </c>
      <c r="S82" s="14"/>
    </row>
    <row r="83" spans="1:19" s="7" customFormat="1" ht="12.75">
      <c r="A83" s="162" t="s">
        <v>525</v>
      </c>
      <c r="B83" s="144" t="s">
        <v>763</v>
      </c>
      <c r="C83" s="151" t="s">
        <v>994</v>
      </c>
      <c r="D83" s="174"/>
      <c r="E83" s="146" t="s">
        <v>454</v>
      </c>
      <c r="F83" s="147" t="s">
        <v>454</v>
      </c>
      <c r="G83" s="147" t="s">
        <v>454</v>
      </c>
      <c r="H83" s="147" t="s">
        <v>454</v>
      </c>
      <c r="I83" s="147" t="s">
        <v>454</v>
      </c>
      <c r="J83" s="148" t="s">
        <v>768</v>
      </c>
      <c r="K83" s="148" t="s">
        <v>1684</v>
      </c>
      <c r="L83" s="148"/>
      <c r="M83" s="149" t="s">
        <v>0</v>
      </c>
      <c r="N83" s="150">
        <v>163.77000000000001</v>
      </c>
      <c r="O83" s="150">
        <v>272.95</v>
      </c>
      <c r="P83" s="188">
        <v>1</v>
      </c>
      <c r="Q83" s="199">
        <f t="shared" si="3"/>
        <v>125</v>
      </c>
      <c r="R83" s="152">
        <f t="shared" si="2"/>
        <v>397.95</v>
      </c>
      <c r="S83" s="14"/>
    </row>
    <row r="84" spans="1:19" s="7" customFormat="1" ht="12.75">
      <c r="A84" s="162" t="s">
        <v>534</v>
      </c>
      <c r="B84" s="144" t="s">
        <v>556</v>
      </c>
      <c r="C84" s="151" t="s">
        <v>995</v>
      </c>
      <c r="D84" s="174"/>
      <c r="E84" s="146" t="s">
        <v>454</v>
      </c>
      <c r="F84" s="147" t="s">
        <v>454</v>
      </c>
      <c r="G84" s="147" t="s">
        <v>454</v>
      </c>
      <c r="H84" s="147" t="s">
        <v>454</v>
      </c>
      <c r="I84" s="147" t="s">
        <v>454</v>
      </c>
      <c r="J84" s="148" t="s">
        <v>768</v>
      </c>
      <c r="K84" s="148" t="s">
        <v>1684</v>
      </c>
      <c r="L84" s="148"/>
      <c r="M84" s="149" t="s">
        <v>0</v>
      </c>
      <c r="N84" s="150">
        <v>334.17</v>
      </c>
      <c r="O84" s="150">
        <v>556.95000000000005</v>
      </c>
      <c r="P84" s="188">
        <v>0.8</v>
      </c>
      <c r="Q84" s="199">
        <f t="shared" si="3"/>
        <v>125</v>
      </c>
      <c r="R84" s="152">
        <f t="shared" si="2"/>
        <v>656.95</v>
      </c>
      <c r="S84" s="14"/>
    </row>
    <row r="85" spans="1:19" s="7" customFormat="1" ht="12.75">
      <c r="A85" s="162" t="s">
        <v>510</v>
      </c>
      <c r="B85" s="144" t="s">
        <v>1854</v>
      </c>
      <c r="C85" s="151" t="s">
        <v>1855</v>
      </c>
      <c r="D85" s="174" t="s">
        <v>1055</v>
      </c>
      <c r="E85" s="146" t="s">
        <v>454</v>
      </c>
      <c r="F85" s="147" t="s">
        <v>454</v>
      </c>
      <c r="G85" s="147" t="s">
        <v>454</v>
      </c>
      <c r="H85" s="147" t="s">
        <v>454</v>
      </c>
      <c r="I85" s="147" t="s">
        <v>454</v>
      </c>
      <c r="J85" s="148" t="s">
        <v>768</v>
      </c>
      <c r="K85" s="148" t="s">
        <v>1684</v>
      </c>
      <c r="L85" s="148"/>
      <c r="M85" s="149" t="s">
        <v>10</v>
      </c>
      <c r="N85" s="150">
        <v>578.37</v>
      </c>
      <c r="O85" s="150">
        <v>963.95</v>
      </c>
      <c r="P85" s="188">
        <v>0.4</v>
      </c>
      <c r="Q85" s="199">
        <f t="shared" si="3"/>
        <v>125</v>
      </c>
      <c r="R85" s="152">
        <f t="shared" si="2"/>
        <v>1013.95</v>
      </c>
      <c r="S85" s="14"/>
    </row>
    <row r="86" spans="1:19" s="7" customFormat="1" ht="12.75">
      <c r="A86" s="162" t="s">
        <v>518</v>
      </c>
      <c r="B86" s="144" t="s">
        <v>553</v>
      </c>
      <c r="C86" s="151" t="s">
        <v>996</v>
      </c>
      <c r="D86" s="174"/>
      <c r="E86" s="146" t="s">
        <v>454</v>
      </c>
      <c r="F86" s="147" t="s">
        <v>454</v>
      </c>
      <c r="G86" s="147" t="s">
        <v>454</v>
      </c>
      <c r="H86" s="147" t="s">
        <v>454</v>
      </c>
      <c r="I86" s="147" t="s">
        <v>454</v>
      </c>
      <c r="J86" s="148" t="s">
        <v>768</v>
      </c>
      <c r="K86" s="148" t="s">
        <v>1684</v>
      </c>
      <c r="L86" s="148"/>
      <c r="M86" s="149" t="s">
        <v>10</v>
      </c>
      <c r="N86" s="150">
        <v>160.16</v>
      </c>
      <c r="O86" s="150">
        <v>266.95</v>
      </c>
      <c r="P86" s="188">
        <v>1</v>
      </c>
      <c r="Q86" s="199">
        <f t="shared" si="3"/>
        <v>125</v>
      </c>
      <c r="R86" s="152">
        <f t="shared" si="2"/>
        <v>391.95</v>
      </c>
      <c r="S86" s="14"/>
    </row>
    <row r="87" spans="1:19" s="7" customFormat="1" ht="12.75">
      <c r="A87" s="162" t="s">
        <v>504</v>
      </c>
      <c r="B87" s="144" t="s">
        <v>951</v>
      </c>
      <c r="C87" s="151" t="s">
        <v>997</v>
      </c>
      <c r="D87" s="174"/>
      <c r="E87" s="146" t="s">
        <v>410</v>
      </c>
      <c r="F87" s="147" t="s">
        <v>454</v>
      </c>
      <c r="G87" s="147" t="s">
        <v>454</v>
      </c>
      <c r="H87" s="147" t="s">
        <v>454</v>
      </c>
      <c r="I87" s="147" t="s">
        <v>454</v>
      </c>
      <c r="J87" s="148" t="s">
        <v>768</v>
      </c>
      <c r="K87" s="148" t="s">
        <v>1684</v>
      </c>
      <c r="L87" s="148"/>
      <c r="M87" s="149" t="s">
        <v>10</v>
      </c>
      <c r="N87" s="150">
        <v>719.37</v>
      </c>
      <c r="O87" s="150">
        <v>1198.95</v>
      </c>
      <c r="P87" s="188">
        <v>1</v>
      </c>
      <c r="Q87" s="199">
        <f t="shared" si="3"/>
        <v>125</v>
      </c>
      <c r="R87" s="152">
        <f t="shared" si="2"/>
        <v>1323.95</v>
      </c>
      <c r="S87" s="14"/>
    </row>
    <row r="88" spans="1:19" s="7" customFormat="1" ht="12.75">
      <c r="A88" s="162" t="s">
        <v>507</v>
      </c>
      <c r="B88" s="144" t="s">
        <v>952</v>
      </c>
      <c r="C88" s="151" t="s">
        <v>998</v>
      </c>
      <c r="D88" s="174"/>
      <c r="E88" s="146" t="s">
        <v>454</v>
      </c>
      <c r="F88" s="147" t="s">
        <v>454</v>
      </c>
      <c r="G88" s="147" t="s">
        <v>454</v>
      </c>
      <c r="H88" s="147" t="s">
        <v>454</v>
      </c>
      <c r="I88" s="147" t="s">
        <v>410</v>
      </c>
      <c r="J88" s="148" t="s">
        <v>768</v>
      </c>
      <c r="K88" s="148" t="s">
        <v>1684</v>
      </c>
      <c r="L88" s="148"/>
      <c r="M88" s="149" t="s">
        <v>10</v>
      </c>
      <c r="N88" s="150">
        <v>719.37</v>
      </c>
      <c r="O88" s="150">
        <v>1198.95</v>
      </c>
      <c r="P88" s="188">
        <v>1</v>
      </c>
      <c r="Q88" s="199">
        <f t="shared" si="3"/>
        <v>125</v>
      </c>
      <c r="R88" s="152">
        <f t="shared" si="2"/>
        <v>1323.95</v>
      </c>
      <c r="S88" s="14"/>
    </row>
    <row r="89" spans="1:19" s="7" customFormat="1" ht="12.75">
      <c r="A89" s="162" t="s">
        <v>506</v>
      </c>
      <c r="B89" s="144" t="s">
        <v>1013</v>
      </c>
      <c r="C89" s="151" t="s">
        <v>999</v>
      </c>
      <c r="D89" s="174"/>
      <c r="E89" s="146" t="s">
        <v>454</v>
      </c>
      <c r="F89" s="147" t="s">
        <v>454</v>
      </c>
      <c r="G89" s="147" t="s">
        <v>454</v>
      </c>
      <c r="H89" s="147" t="s">
        <v>454</v>
      </c>
      <c r="I89" s="147" t="s">
        <v>410</v>
      </c>
      <c r="J89" s="148" t="s">
        <v>768</v>
      </c>
      <c r="K89" s="148" t="s">
        <v>1684</v>
      </c>
      <c r="L89" s="148"/>
      <c r="M89" s="149" t="s">
        <v>10</v>
      </c>
      <c r="N89" s="150">
        <v>719.37</v>
      </c>
      <c r="O89" s="150">
        <v>1198.95</v>
      </c>
      <c r="P89" s="188">
        <v>1</v>
      </c>
      <c r="Q89" s="199">
        <f t="shared" si="3"/>
        <v>125</v>
      </c>
      <c r="R89" s="152">
        <f t="shared" si="2"/>
        <v>1323.95</v>
      </c>
      <c r="S89" s="14"/>
    </row>
    <row r="90" spans="1:19" s="7" customFormat="1" ht="12.75">
      <c r="A90" s="162" t="s">
        <v>503</v>
      </c>
      <c r="B90" s="144" t="s">
        <v>1027</v>
      </c>
      <c r="C90" s="151" t="s">
        <v>1032</v>
      </c>
      <c r="D90" s="174"/>
      <c r="E90" s="146" t="s">
        <v>454</v>
      </c>
      <c r="F90" s="147" t="s">
        <v>410</v>
      </c>
      <c r="G90" s="147" t="s">
        <v>410</v>
      </c>
      <c r="H90" s="147" t="s">
        <v>410</v>
      </c>
      <c r="I90" s="147" t="s">
        <v>410</v>
      </c>
      <c r="J90" s="148" t="s">
        <v>768</v>
      </c>
      <c r="K90" s="148" t="s">
        <v>1684</v>
      </c>
      <c r="L90" s="148"/>
      <c r="M90" s="149" t="s">
        <v>10</v>
      </c>
      <c r="N90" s="150">
        <v>719.37</v>
      </c>
      <c r="O90" s="150">
        <v>1198.95</v>
      </c>
      <c r="P90" s="188">
        <v>1</v>
      </c>
      <c r="Q90" s="199">
        <f t="shared" si="3"/>
        <v>125</v>
      </c>
      <c r="R90" s="152">
        <f t="shared" si="2"/>
        <v>1323.95</v>
      </c>
      <c r="S90" s="14"/>
    </row>
    <row r="91" spans="1:19" s="7" customFormat="1" ht="12.75">
      <c r="A91" s="162" t="s">
        <v>505</v>
      </c>
      <c r="B91" s="144" t="s">
        <v>953</v>
      </c>
      <c r="C91" s="151" t="s">
        <v>1000</v>
      </c>
      <c r="D91" s="174"/>
      <c r="E91" s="146" t="s">
        <v>454</v>
      </c>
      <c r="F91" s="147" t="s">
        <v>454</v>
      </c>
      <c r="G91" s="147" t="s">
        <v>454</v>
      </c>
      <c r="H91" s="147" t="s">
        <v>454</v>
      </c>
      <c r="I91" s="147" t="s">
        <v>410</v>
      </c>
      <c r="J91" s="148" t="s">
        <v>768</v>
      </c>
      <c r="K91" s="148" t="s">
        <v>1684</v>
      </c>
      <c r="L91" s="148"/>
      <c r="M91" s="149" t="s">
        <v>10</v>
      </c>
      <c r="N91" s="150">
        <v>719.37</v>
      </c>
      <c r="O91" s="150">
        <v>1198.95</v>
      </c>
      <c r="P91" s="188">
        <v>1</v>
      </c>
      <c r="Q91" s="199">
        <f t="shared" si="3"/>
        <v>125</v>
      </c>
      <c r="R91" s="152">
        <f t="shared" si="2"/>
        <v>1323.95</v>
      </c>
      <c r="S91" s="14"/>
    </row>
    <row r="92" spans="1:19" s="7" customFormat="1" ht="12.75">
      <c r="A92" s="162" t="s">
        <v>501</v>
      </c>
      <c r="B92" s="144" t="s">
        <v>1019</v>
      </c>
      <c r="C92" s="151" t="s">
        <v>1023</v>
      </c>
      <c r="D92" s="174"/>
      <c r="E92" s="146" t="s">
        <v>454</v>
      </c>
      <c r="F92" s="147" t="s">
        <v>454</v>
      </c>
      <c r="G92" s="147" t="s">
        <v>454</v>
      </c>
      <c r="H92" s="147" t="s">
        <v>454</v>
      </c>
      <c r="I92" s="147" t="s">
        <v>454</v>
      </c>
      <c r="J92" s="148" t="s">
        <v>768</v>
      </c>
      <c r="K92" s="148" t="s">
        <v>1684</v>
      </c>
      <c r="L92" s="148"/>
      <c r="M92" s="149" t="s">
        <v>10</v>
      </c>
      <c r="N92" s="150">
        <v>719.37</v>
      </c>
      <c r="O92" s="150">
        <v>1198.95</v>
      </c>
      <c r="P92" s="188">
        <v>1</v>
      </c>
      <c r="Q92" s="199">
        <f t="shared" si="3"/>
        <v>125</v>
      </c>
      <c r="R92" s="152">
        <f t="shared" si="2"/>
        <v>1323.95</v>
      </c>
      <c r="S92" s="14"/>
    </row>
    <row r="93" spans="1:19" s="7" customFormat="1" ht="12.75">
      <c r="A93" s="162" t="s">
        <v>502</v>
      </c>
      <c r="B93" s="144" t="s">
        <v>1017</v>
      </c>
      <c r="C93" s="151" t="s">
        <v>1025</v>
      </c>
      <c r="D93" s="174"/>
      <c r="E93" s="146" t="s">
        <v>454</v>
      </c>
      <c r="F93" s="147" t="s">
        <v>454</v>
      </c>
      <c r="G93" s="147" t="s">
        <v>454</v>
      </c>
      <c r="H93" s="147" t="s">
        <v>454</v>
      </c>
      <c r="I93" s="147" t="s">
        <v>454</v>
      </c>
      <c r="J93" s="148" t="s">
        <v>768</v>
      </c>
      <c r="K93" s="148" t="s">
        <v>1684</v>
      </c>
      <c r="L93" s="148"/>
      <c r="M93" s="149" t="s">
        <v>10</v>
      </c>
      <c r="N93" s="150">
        <v>719.37</v>
      </c>
      <c r="O93" s="150">
        <v>1198.95</v>
      </c>
      <c r="P93" s="188">
        <v>1</v>
      </c>
      <c r="Q93" s="199">
        <f t="shared" si="3"/>
        <v>125</v>
      </c>
      <c r="R93" s="152">
        <f t="shared" si="2"/>
        <v>1323.95</v>
      </c>
      <c r="S93" s="14"/>
    </row>
    <row r="94" spans="1:19" s="7" customFormat="1" ht="12.75">
      <c r="A94" s="162" t="s">
        <v>500</v>
      </c>
      <c r="B94" s="144" t="s">
        <v>954</v>
      </c>
      <c r="C94" s="151" t="s">
        <v>1001</v>
      </c>
      <c r="D94" s="174"/>
      <c r="E94" s="146" t="s">
        <v>454</v>
      </c>
      <c r="F94" s="147" t="s">
        <v>454</v>
      </c>
      <c r="G94" s="147" t="s">
        <v>454</v>
      </c>
      <c r="H94" s="147" t="s">
        <v>454</v>
      </c>
      <c r="I94" s="147" t="s">
        <v>454</v>
      </c>
      <c r="J94" s="148" t="s">
        <v>768</v>
      </c>
      <c r="K94" s="148" t="s">
        <v>1684</v>
      </c>
      <c r="L94" s="148"/>
      <c r="M94" s="149" t="s">
        <v>10</v>
      </c>
      <c r="N94" s="150">
        <v>719.37</v>
      </c>
      <c r="O94" s="150">
        <v>1198.95</v>
      </c>
      <c r="P94" s="188">
        <v>1</v>
      </c>
      <c r="Q94" s="199">
        <f t="shared" si="3"/>
        <v>125</v>
      </c>
      <c r="R94" s="152">
        <f t="shared" si="2"/>
        <v>1323.95</v>
      </c>
      <c r="S94" s="14"/>
    </row>
    <row r="95" spans="1:19" s="7" customFormat="1" ht="12.75">
      <c r="A95" s="162" t="s">
        <v>470</v>
      </c>
      <c r="B95" s="144" t="s">
        <v>543</v>
      </c>
      <c r="C95" s="151" t="s">
        <v>1002</v>
      </c>
      <c r="D95" s="174"/>
      <c r="E95" s="146" t="s">
        <v>454</v>
      </c>
      <c r="F95" s="147" t="s">
        <v>454</v>
      </c>
      <c r="G95" s="147" t="s">
        <v>454</v>
      </c>
      <c r="H95" s="147" t="s">
        <v>454</v>
      </c>
      <c r="I95" s="147" t="s">
        <v>454</v>
      </c>
      <c r="J95" s="148" t="s">
        <v>768</v>
      </c>
      <c r="K95" s="148" t="s">
        <v>1684</v>
      </c>
      <c r="L95" s="148"/>
      <c r="M95" s="149" t="s">
        <v>10</v>
      </c>
      <c r="N95" s="150">
        <v>154.16</v>
      </c>
      <c r="O95" s="150">
        <v>256.95</v>
      </c>
      <c r="P95" s="188">
        <v>0.8</v>
      </c>
      <c r="Q95" s="199">
        <f t="shared" si="3"/>
        <v>125</v>
      </c>
      <c r="R95" s="152">
        <f t="shared" si="2"/>
        <v>356.95</v>
      </c>
      <c r="S95" s="14"/>
    </row>
    <row r="96" spans="1:19" s="7" customFormat="1" ht="12.75">
      <c r="A96" s="162" t="s">
        <v>516</v>
      </c>
      <c r="B96" s="144" t="s">
        <v>551</v>
      </c>
      <c r="C96" s="151" t="s">
        <v>761</v>
      </c>
      <c r="D96" s="174"/>
      <c r="E96" s="146" t="s">
        <v>454</v>
      </c>
      <c r="F96" s="147" t="s">
        <v>454</v>
      </c>
      <c r="G96" s="147" t="s">
        <v>454</v>
      </c>
      <c r="H96" s="147" t="s">
        <v>454</v>
      </c>
      <c r="I96" s="147" t="s">
        <v>454</v>
      </c>
      <c r="J96" s="148" t="s">
        <v>768</v>
      </c>
      <c r="K96" s="148" t="s">
        <v>1684</v>
      </c>
      <c r="L96" s="148"/>
      <c r="M96" s="149" t="s">
        <v>10</v>
      </c>
      <c r="N96" s="150">
        <v>125.97</v>
      </c>
      <c r="O96" s="150">
        <v>209.95</v>
      </c>
      <c r="P96" s="188">
        <v>0.6</v>
      </c>
      <c r="Q96" s="199">
        <f t="shared" si="3"/>
        <v>125</v>
      </c>
      <c r="R96" s="152">
        <f t="shared" si="2"/>
        <v>284.95</v>
      </c>
      <c r="S96" s="14"/>
    </row>
    <row r="97" spans="1:19" s="7" customFormat="1" ht="12.75">
      <c r="A97" s="162" t="s">
        <v>476</v>
      </c>
      <c r="B97" s="144" t="s">
        <v>955</v>
      </c>
      <c r="C97" s="151" t="s">
        <v>764</v>
      </c>
      <c r="D97" s="174"/>
      <c r="E97" s="146" t="s">
        <v>410</v>
      </c>
      <c r="F97" s="147" t="s">
        <v>454</v>
      </c>
      <c r="G97" s="147" t="s">
        <v>454</v>
      </c>
      <c r="H97" s="147" t="s">
        <v>454</v>
      </c>
      <c r="I97" s="147" t="s">
        <v>454</v>
      </c>
      <c r="J97" s="148" t="s">
        <v>768</v>
      </c>
      <c r="K97" s="148" t="s">
        <v>1684</v>
      </c>
      <c r="L97" s="148"/>
      <c r="M97" s="149" t="s">
        <v>10</v>
      </c>
      <c r="N97" s="150">
        <v>275.97000000000003</v>
      </c>
      <c r="O97" s="150">
        <v>459.95</v>
      </c>
      <c r="P97" s="188">
        <v>0.6</v>
      </c>
      <c r="Q97" s="199">
        <f t="shared" si="3"/>
        <v>125</v>
      </c>
      <c r="R97" s="152">
        <f t="shared" si="2"/>
        <v>534.95000000000005</v>
      </c>
      <c r="S97" s="14"/>
    </row>
    <row r="98" spans="1:19" s="7" customFormat="1" ht="12.75">
      <c r="A98" s="162" t="s">
        <v>479</v>
      </c>
      <c r="B98" s="144" t="s">
        <v>956</v>
      </c>
      <c r="C98" s="151" t="s">
        <v>322</v>
      </c>
      <c r="D98" s="174"/>
      <c r="E98" s="146" t="s">
        <v>454</v>
      </c>
      <c r="F98" s="147" t="s">
        <v>454</v>
      </c>
      <c r="G98" s="147" t="s">
        <v>454</v>
      </c>
      <c r="H98" s="147" t="s">
        <v>454</v>
      </c>
      <c r="I98" s="147" t="s">
        <v>410</v>
      </c>
      <c r="J98" s="148" t="s">
        <v>768</v>
      </c>
      <c r="K98" s="148" t="s">
        <v>1684</v>
      </c>
      <c r="L98" s="148"/>
      <c r="M98" s="149" t="s">
        <v>10</v>
      </c>
      <c r="N98" s="150">
        <v>275.97000000000003</v>
      </c>
      <c r="O98" s="150">
        <v>459.95</v>
      </c>
      <c r="P98" s="188">
        <v>0.6</v>
      </c>
      <c r="Q98" s="199">
        <f t="shared" si="3"/>
        <v>125</v>
      </c>
      <c r="R98" s="152">
        <f t="shared" si="2"/>
        <v>534.95000000000005</v>
      </c>
      <c r="S98" s="14"/>
    </row>
    <row r="99" spans="1:19" s="7" customFormat="1" ht="12.75">
      <c r="A99" s="162" t="s">
        <v>478</v>
      </c>
      <c r="B99" s="144" t="s">
        <v>1014</v>
      </c>
      <c r="C99" s="151" t="s">
        <v>1674</v>
      </c>
      <c r="D99" s="174"/>
      <c r="E99" s="146" t="s">
        <v>454</v>
      </c>
      <c r="F99" s="147" t="s">
        <v>454</v>
      </c>
      <c r="G99" s="147" t="s">
        <v>454</v>
      </c>
      <c r="H99" s="147" t="s">
        <v>454</v>
      </c>
      <c r="I99" s="147" t="s">
        <v>410</v>
      </c>
      <c r="J99" s="148" t="s">
        <v>768</v>
      </c>
      <c r="K99" s="148" t="s">
        <v>1684</v>
      </c>
      <c r="L99" s="148"/>
      <c r="M99" s="149" t="s">
        <v>10</v>
      </c>
      <c r="N99" s="150">
        <v>275.97000000000003</v>
      </c>
      <c r="O99" s="150">
        <v>459.95</v>
      </c>
      <c r="P99" s="188">
        <v>0.6</v>
      </c>
      <c r="Q99" s="199">
        <f t="shared" si="3"/>
        <v>125</v>
      </c>
      <c r="R99" s="152">
        <f t="shared" si="2"/>
        <v>534.95000000000005</v>
      </c>
      <c r="S99" s="14"/>
    </row>
    <row r="100" spans="1:19" s="7" customFormat="1" ht="12.75">
      <c r="A100" s="162" t="s">
        <v>475</v>
      </c>
      <c r="B100" s="144" t="s">
        <v>1028</v>
      </c>
      <c r="C100" s="151" t="s">
        <v>1033</v>
      </c>
      <c r="D100" s="174"/>
      <c r="E100" s="146" t="s">
        <v>454</v>
      </c>
      <c r="F100" s="147" t="s">
        <v>410</v>
      </c>
      <c r="G100" s="147" t="s">
        <v>410</v>
      </c>
      <c r="H100" s="147" t="s">
        <v>410</v>
      </c>
      <c r="I100" s="147" t="s">
        <v>410</v>
      </c>
      <c r="J100" s="148" t="s">
        <v>768</v>
      </c>
      <c r="K100" s="148" t="s">
        <v>1684</v>
      </c>
      <c r="L100" s="148"/>
      <c r="M100" s="149" t="s">
        <v>10</v>
      </c>
      <c r="N100" s="150">
        <v>275.97000000000003</v>
      </c>
      <c r="O100" s="150">
        <v>459.95</v>
      </c>
      <c r="P100" s="188">
        <v>0.6</v>
      </c>
      <c r="Q100" s="199">
        <f t="shared" si="3"/>
        <v>125</v>
      </c>
      <c r="R100" s="152">
        <f t="shared" si="2"/>
        <v>534.95000000000005</v>
      </c>
      <c r="S100" s="14"/>
    </row>
    <row r="101" spans="1:19" s="7" customFormat="1" ht="12.75">
      <c r="A101" s="162" t="s">
        <v>477</v>
      </c>
      <c r="B101" s="144" t="s">
        <v>957</v>
      </c>
      <c r="C101" s="151" t="s">
        <v>835</v>
      </c>
      <c r="D101" s="174"/>
      <c r="E101" s="146" t="s">
        <v>454</v>
      </c>
      <c r="F101" s="147" t="s">
        <v>454</v>
      </c>
      <c r="G101" s="147" t="s">
        <v>454</v>
      </c>
      <c r="H101" s="147" t="s">
        <v>454</v>
      </c>
      <c r="I101" s="147" t="s">
        <v>410</v>
      </c>
      <c r="J101" s="148" t="s">
        <v>768</v>
      </c>
      <c r="K101" s="148" t="s">
        <v>1684</v>
      </c>
      <c r="L101" s="148"/>
      <c r="M101" s="149" t="s">
        <v>10</v>
      </c>
      <c r="N101" s="150">
        <v>275.97000000000003</v>
      </c>
      <c r="O101" s="150">
        <v>459.95</v>
      </c>
      <c r="P101" s="188">
        <v>0.6</v>
      </c>
      <c r="Q101" s="199">
        <f t="shared" si="3"/>
        <v>125</v>
      </c>
      <c r="R101" s="152">
        <f t="shared" si="2"/>
        <v>534.95000000000005</v>
      </c>
      <c r="S101" s="14"/>
    </row>
    <row r="102" spans="1:19" s="7" customFormat="1" ht="12.75">
      <c r="A102" s="162" t="s">
        <v>473</v>
      </c>
      <c r="B102" s="144" t="s">
        <v>1020</v>
      </c>
      <c r="C102" s="151" t="s">
        <v>317</v>
      </c>
      <c r="D102" s="174"/>
      <c r="E102" s="146" t="s">
        <v>454</v>
      </c>
      <c r="F102" s="147" t="s">
        <v>454</v>
      </c>
      <c r="G102" s="147" t="s">
        <v>454</v>
      </c>
      <c r="H102" s="147" t="s">
        <v>454</v>
      </c>
      <c r="I102" s="147" t="s">
        <v>454</v>
      </c>
      <c r="J102" s="148" t="s">
        <v>768</v>
      </c>
      <c r="K102" s="148" t="s">
        <v>1684</v>
      </c>
      <c r="L102" s="148"/>
      <c r="M102" s="149" t="s">
        <v>10</v>
      </c>
      <c r="N102" s="150">
        <v>275.97000000000003</v>
      </c>
      <c r="O102" s="150">
        <v>459.95</v>
      </c>
      <c r="P102" s="188">
        <v>0.6</v>
      </c>
      <c r="Q102" s="199">
        <f t="shared" si="3"/>
        <v>125</v>
      </c>
      <c r="R102" s="152">
        <f t="shared" si="2"/>
        <v>534.95000000000005</v>
      </c>
      <c r="S102" s="14"/>
    </row>
    <row r="103" spans="1:19" s="7" customFormat="1" ht="12.75">
      <c r="A103" s="162" t="s">
        <v>474</v>
      </c>
      <c r="B103" s="144" t="s">
        <v>958</v>
      </c>
      <c r="C103" s="151" t="s">
        <v>319</v>
      </c>
      <c r="D103" s="174"/>
      <c r="E103" s="146" t="s">
        <v>454</v>
      </c>
      <c r="F103" s="147" t="s">
        <v>454</v>
      </c>
      <c r="G103" s="147" t="s">
        <v>454</v>
      </c>
      <c r="H103" s="147" t="s">
        <v>454</v>
      </c>
      <c r="I103" s="147" t="s">
        <v>454</v>
      </c>
      <c r="J103" s="148" t="s">
        <v>768</v>
      </c>
      <c r="K103" s="148" t="s">
        <v>1684</v>
      </c>
      <c r="L103" s="148"/>
      <c r="M103" s="149" t="s">
        <v>10</v>
      </c>
      <c r="N103" s="150">
        <v>275.97000000000003</v>
      </c>
      <c r="O103" s="150">
        <v>459.95</v>
      </c>
      <c r="P103" s="188">
        <v>0.6</v>
      </c>
      <c r="Q103" s="199">
        <f t="shared" si="3"/>
        <v>125</v>
      </c>
      <c r="R103" s="152">
        <f t="shared" si="2"/>
        <v>534.95000000000005</v>
      </c>
      <c r="S103" s="14"/>
    </row>
    <row r="104" spans="1:19" s="7" customFormat="1" ht="12.75">
      <c r="A104" s="162" t="s">
        <v>472</v>
      </c>
      <c r="B104" s="144" t="s">
        <v>959</v>
      </c>
      <c r="C104" s="151" t="s">
        <v>844</v>
      </c>
      <c r="D104" s="174"/>
      <c r="E104" s="146" t="s">
        <v>454</v>
      </c>
      <c r="F104" s="147" t="s">
        <v>454</v>
      </c>
      <c r="G104" s="147" t="s">
        <v>454</v>
      </c>
      <c r="H104" s="147" t="s">
        <v>454</v>
      </c>
      <c r="I104" s="147" t="s">
        <v>454</v>
      </c>
      <c r="J104" s="148" t="s">
        <v>768</v>
      </c>
      <c r="K104" s="148" t="s">
        <v>1684</v>
      </c>
      <c r="L104" s="148"/>
      <c r="M104" s="149" t="s">
        <v>10</v>
      </c>
      <c r="N104" s="150">
        <v>275.97000000000003</v>
      </c>
      <c r="O104" s="150">
        <v>459.95</v>
      </c>
      <c r="P104" s="188">
        <v>0.6</v>
      </c>
      <c r="Q104" s="199">
        <f t="shared" si="3"/>
        <v>125</v>
      </c>
      <c r="R104" s="152">
        <f t="shared" si="2"/>
        <v>534.95000000000005</v>
      </c>
      <c r="S104" s="14"/>
    </row>
    <row r="105" spans="1:19" s="7" customFormat="1" ht="12.75">
      <c r="A105" s="164" t="s">
        <v>2103</v>
      </c>
      <c r="B105" s="165" t="s">
        <v>2104</v>
      </c>
      <c r="C105" s="165" t="s">
        <v>2112</v>
      </c>
      <c r="D105" s="216" t="s">
        <v>2204</v>
      </c>
      <c r="E105" s="204" t="s">
        <v>454</v>
      </c>
      <c r="F105" s="205" t="s">
        <v>454</v>
      </c>
      <c r="G105" s="205" t="s">
        <v>454</v>
      </c>
      <c r="H105" s="205" t="s">
        <v>454</v>
      </c>
      <c r="I105" s="205" t="s">
        <v>454</v>
      </c>
      <c r="J105" s="181" t="s">
        <v>768</v>
      </c>
      <c r="K105" s="181"/>
      <c r="L105" s="181"/>
      <c r="M105" s="182" t="s">
        <v>16</v>
      </c>
      <c r="N105" s="183">
        <v>498.7</v>
      </c>
      <c r="O105" s="183">
        <v>599.95000000000005</v>
      </c>
      <c r="P105" s="207">
        <v>0</v>
      </c>
      <c r="Q105" s="217">
        <f t="shared" si="3"/>
        <v>125</v>
      </c>
      <c r="R105" s="185">
        <f t="shared" si="2"/>
        <v>599.95000000000005</v>
      </c>
      <c r="S105" s="14"/>
    </row>
    <row r="106" spans="1:19" s="7" customFormat="1" ht="12.75">
      <c r="A106" s="162" t="s">
        <v>427</v>
      </c>
      <c r="B106" s="144" t="s">
        <v>1644</v>
      </c>
      <c r="C106" s="151" t="s">
        <v>1645</v>
      </c>
      <c r="D106" s="174" t="s">
        <v>429</v>
      </c>
      <c r="E106" s="146" t="s">
        <v>454</v>
      </c>
      <c r="F106" s="147" t="s">
        <v>454</v>
      </c>
      <c r="G106" s="147" t="s">
        <v>454</v>
      </c>
      <c r="H106" s="147" t="s">
        <v>454</v>
      </c>
      <c r="I106" s="147" t="s">
        <v>454</v>
      </c>
      <c r="J106" s="148" t="s">
        <v>768</v>
      </c>
      <c r="K106" s="148"/>
      <c r="L106" s="148"/>
      <c r="M106" s="149" t="s">
        <v>16</v>
      </c>
      <c r="N106" s="150">
        <v>45.12</v>
      </c>
      <c r="O106" s="150">
        <v>59.95</v>
      </c>
      <c r="P106" s="188">
        <v>0</v>
      </c>
      <c r="Q106" s="199">
        <f t="shared" si="3"/>
        <v>125</v>
      </c>
      <c r="R106" s="152">
        <f t="shared" si="2"/>
        <v>59.95</v>
      </c>
      <c r="S106" s="14"/>
    </row>
    <row r="107" spans="1:19" s="7" customFormat="1" ht="12.75">
      <c r="A107" s="230" t="s">
        <v>424</v>
      </c>
      <c r="B107" s="231" t="s">
        <v>772</v>
      </c>
      <c r="C107" s="232" t="s">
        <v>2113</v>
      </c>
      <c r="D107" s="233" t="s">
        <v>432</v>
      </c>
      <c r="E107" s="313" t="s">
        <v>454</v>
      </c>
      <c r="F107" s="234" t="s">
        <v>454</v>
      </c>
      <c r="G107" s="234" t="s">
        <v>454</v>
      </c>
      <c r="H107" s="234" t="s">
        <v>454</v>
      </c>
      <c r="I107" s="234" t="s">
        <v>454</v>
      </c>
      <c r="J107" s="235" t="s">
        <v>768</v>
      </c>
      <c r="K107" s="235" t="s">
        <v>1684</v>
      </c>
      <c r="L107" s="235"/>
      <c r="M107" s="236" t="s">
        <v>16</v>
      </c>
      <c r="N107" s="237">
        <v>349.95</v>
      </c>
      <c r="O107" s="237">
        <v>449.95</v>
      </c>
      <c r="P107" s="238">
        <v>0.8</v>
      </c>
      <c r="Q107" s="289">
        <f t="shared" si="3"/>
        <v>125</v>
      </c>
      <c r="R107" s="239">
        <f t="shared" si="2"/>
        <v>549.95000000000005</v>
      </c>
      <c r="S107" s="14"/>
    </row>
    <row r="108" spans="1:19" s="7" customFormat="1" ht="12.75">
      <c r="A108" s="162" t="s">
        <v>212</v>
      </c>
      <c r="B108" s="144" t="s">
        <v>774</v>
      </c>
      <c r="C108" s="151" t="s">
        <v>931</v>
      </c>
      <c r="D108" s="174" t="s">
        <v>444</v>
      </c>
      <c r="E108" s="146" t="s">
        <v>454</v>
      </c>
      <c r="F108" s="147" t="s">
        <v>454</v>
      </c>
      <c r="G108" s="147" t="s">
        <v>454</v>
      </c>
      <c r="H108" s="147" t="s">
        <v>454</v>
      </c>
      <c r="I108" s="147" t="s">
        <v>454</v>
      </c>
      <c r="J108" s="148" t="s">
        <v>768</v>
      </c>
      <c r="K108" s="148" t="s">
        <v>1684</v>
      </c>
      <c r="L108" s="148"/>
      <c r="M108" s="149" t="s">
        <v>16</v>
      </c>
      <c r="N108" s="150">
        <v>442.48</v>
      </c>
      <c r="O108" s="150">
        <v>599.95000000000005</v>
      </c>
      <c r="P108" s="188">
        <v>0.8</v>
      </c>
      <c r="Q108" s="199">
        <f t="shared" si="3"/>
        <v>125</v>
      </c>
      <c r="R108" s="152">
        <f t="shared" si="2"/>
        <v>699.95</v>
      </c>
      <c r="S108" s="14"/>
    </row>
    <row r="109" spans="1:19" s="7" customFormat="1" ht="12.75">
      <c r="A109" s="162" t="s">
        <v>420</v>
      </c>
      <c r="B109" s="144" t="s">
        <v>421</v>
      </c>
      <c r="C109" s="151" t="s">
        <v>1984</v>
      </c>
      <c r="D109" s="174" t="s">
        <v>436</v>
      </c>
      <c r="E109" s="146" t="s">
        <v>454</v>
      </c>
      <c r="F109" s="147" t="s">
        <v>454</v>
      </c>
      <c r="G109" s="147" t="s">
        <v>454</v>
      </c>
      <c r="H109" s="147" t="s">
        <v>454</v>
      </c>
      <c r="I109" s="147" t="s">
        <v>454</v>
      </c>
      <c r="J109" s="148" t="s">
        <v>768</v>
      </c>
      <c r="K109" s="148" t="s">
        <v>1684</v>
      </c>
      <c r="L109" s="148"/>
      <c r="M109" s="149" t="s">
        <v>16</v>
      </c>
      <c r="N109" s="150">
        <v>381.6</v>
      </c>
      <c r="O109" s="150">
        <v>479.95</v>
      </c>
      <c r="P109" s="188">
        <v>0.7</v>
      </c>
      <c r="Q109" s="199">
        <f t="shared" si="3"/>
        <v>125</v>
      </c>
      <c r="R109" s="152">
        <f t="shared" si="2"/>
        <v>567.45000000000005</v>
      </c>
      <c r="S109" s="14"/>
    </row>
    <row r="110" spans="1:19" s="7" customFormat="1" ht="12.75">
      <c r="A110" s="162" t="s">
        <v>415</v>
      </c>
      <c r="B110" s="144" t="s">
        <v>775</v>
      </c>
      <c r="C110" s="151" t="s">
        <v>932</v>
      </c>
      <c r="D110" s="174" t="s">
        <v>433</v>
      </c>
      <c r="E110" s="146" t="s">
        <v>454</v>
      </c>
      <c r="F110" s="147" t="s">
        <v>454</v>
      </c>
      <c r="G110" s="147" t="s">
        <v>454</v>
      </c>
      <c r="H110" s="147" t="s">
        <v>454</v>
      </c>
      <c r="I110" s="147" t="s">
        <v>454</v>
      </c>
      <c r="J110" s="148" t="s">
        <v>768</v>
      </c>
      <c r="K110" s="148" t="s">
        <v>1684</v>
      </c>
      <c r="L110" s="148"/>
      <c r="M110" s="149" t="s">
        <v>16</v>
      </c>
      <c r="N110" s="150">
        <v>776.98</v>
      </c>
      <c r="O110" s="150">
        <v>1049.95</v>
      </c>
      <c r="P110" s="188">
        <v>0.3</v>
      </c>
      <c r="Q110" s="199">
        <f t="shared" si="3"/>
        <v>125</v>
      </c>
      <c r="R110" s="152">
        <f t="shared" si="2"/>
        <v>1087.45</v>
      </c>
      <c r="S110" s="14"/>
    </row>
    <row r="111" spans="1:19" s="7" customFormat="1" ht="12.75">
      <c r="A111" s="162" t="s">
        <v>414</v>
      </c>
      <c r="B111" s="144" t="s">
        <v>776</v>
      </c>
      <c r="C111" s="151" t="s">
        <v>933</v>
      </c>
      <c r="D111" s="174" t="s">
        <v>443</v>
      </c>
      <c r="E111" s="146" t="s">
        <v>454</v>
      </c>
      <c r="F111" s="147" t="s">
        <v>454</v>
      </c>
      <c r="G111" s="147" t="s">
        <v>454</v>
      </c>
      <c r="H111" s="147" t="s">
        <v>454</v>
      </c>
      <c r="I111" s="147" t="s">
        <v>454</v>
      </c>
      <c r="J111" s="148" t="s">
        <v>768</v>
      </c>
      <c r="K111" s="148" t="s">
        <v>1684</v>
      </c>
      <c r="L111" s="148"/>
      <c r="M111" s="149" t="s">
        <v>16</v>
      </c>
      <c r="N111" s="150">
        <v>737.59</v>
      </c>
      <c r="O111" s="150">
        <v>979.95</v>
      </c>
      <c r="P111" s="188">
        <v>0.3</v>
      </c>
      <c r="Q111" s="199">
        <f t="shared" si="3"/>
        <v>125</v>
      </c>
      <c r="R111" s="152">
        <f t="shared" ref="R111:R140" si="4">P111*Q111+O111</f>
        <v>1017.45</v>
      </c>
      <c r="S111" s="14"/>
    </row>
    <row r="112" spans="1:19" s="7" customFormat="1" ht="12.75">
      <c r="A112" s="162" t="s">
        <v>119</v>
      </c>
      <c r="B112" s="144" t="s">
        <v>430</v>
      </c>
      <c r="C112" s="151" t="s">
        <v>1004</v>
      </c>
      <c r="D112" s="174"/>
      <c r="E112" s="146" t="s">
        <v>454</v>
      </c>
      <c r="F112" s="147" t="s">
        <v>454</v>
      </c>
      <c r="G112" s="147" t="s">
        <v>454</v>
      </c>
      <c r="H112" s="147" t="s">
        <v>454</v>
      </c>
      <c r="I112" s="147" t="s">
        <v>454</v>
      </c>
      <c r="J112" s="148" t="s">
        <v>768</v>
      </c>
      <c r="K112" s="148"/>
      <c r="L112" s="148"/>
      <c r="M112" s="149" t="s">
        <v>16</v>
      </c>
      <c r="N112" s="150">
        <v>170.46</v>
      </c>
      <c r="O112" s="150">
        <v>219.95</v>
      </c>
      <c r="P112" s="188">
        <v>0.3</v>
      </c>
      <c r="Q112" s="199">
        <f t="shared" si="3"/>
        <v>125</v>
      </c>
      <c r="R112" s="152">
        <f t="shared" si="4"/>
        <v>257.45</v>
      </c>
      <c r="S112" s="14"/>
    </row>
    <row r="113" spans="1:19" s="7" customFormat="1" ht="12.75">
      <c r="A113" s="162" t="s">
        <v>411</v>
      </c>
      <c r="B113" s="144" t="s">
        <v>641</v>
      </c>
      <c r="C113" s="151" t="s">
        <v>939</v>
      </c>
      <c r="D113" s="174" t="s">
        <v>442</v>
      </c>
      <c r="E113" s="146" t="s">
        <v>454</v>
      </c>
      <c r="F113" s="147" t="s">
        <v>454</v>
      </c>
      <c r="G113" s="147" t="s">
        <v>454</v>
      </c>
      <c r="H113" s="147" t="s">
        <v>454</v>
      </c>
      <c r="I113" s="147" t="s">
        <v>454</v>
      </c>
      <c r="J113" s="148" t="s">
        <v>768</v>
      </c>
      <c r="K113" s="148" t="s">
        <v>1684</v>
      </c>
      <c r="L113" s="148"/>
      <c r="M113" s="149" t="s">
        <v>16</v>
      </c>
      <c r="N113" s="150">
        <v>297.82</v>
      </c>
      <c r="O113" s="150">
        <v>379.95</v>
      </c>
      <c r="P113" s="188">
        <v>0.3</v>
      </c>
      <c r="Q113" s="199">
        <f t="shared" si="3"/>
        <v>125</v>
      </c>
      <c r="R113" s="152">
        <f t="shared" si="4"/>
        <v>417.45</v>
      </c>
      <c r="S113" s="14"/>
    </row>
    <row r="114" spans="1:19" s="7" customFormat="1" ht="12.75">
      <c r="A114" s="162" t="s">
        <v>418</v>
      </c>
      <c r="B114" s="144" t="s">
        <v>1635</v>
      </c>
      <c r="C114" s="151" t="s">
        <v>1636</v>
      </c>
      <c r="D114" s="174" t="s">
        <v>438</v>
      </c>
      <c r="E114" s="146" t="s">
        <v>454</v>
      </c>
      <c r="F114" s="147" t="s">
        <v>454</v>
      </c>
      <c r="G114" s="147" t="s">
        <v>454</v>
      </c>
      <c r="H114" s="147" t="s">
        <v>454</v>
      </c>
      <c r="I114" s="147" t="s">
        <v>454</v>
      </c>
      <c r="J114" s="148" t="s">
        <v>768</v>
      </c>
      <c r="K114" s="148" t="s">
        <v>1684</v>
      </c>
      <c r="L114" s="148"/>
      <c r="M114" s="149" t="s">
        <v>16</v>
      </c>
      <c r="N114" s="150">
        <v>453.5</v>
      </c>
      <c r="O114" s="150">
        <v>549.95000000000005</v>
      </c>
      <c r="P114" s="188">
        <v>0.3</v>
      </c>
      <c r="Q114" s="199">
        <f t="shared" si="3"/>
        <v>125</v>
      </c>
      <c r="R114" s="152">
        <f t="shared" si="4"/>
        <v>587.45000000000005</v>
      </c>
      <c r="S114" s="14"/>
    </row>
    <row r="115" spans="1:19" s="7" customFormat="1" ht="12.75">
      <c r="A115" s="162" t="s">
        <v>426</v>
      </c>
      <c r="B115" s="144" t="s">
        <v>896</v>
      </c>
      <c r="C115" s="151" t="s">
        <v>930</v>
      </c>
      <c r="D115" s="174"/>
      <c r="E115" s="146" t="s">
        <v>454</v>
      </c>
      <c r="F115" s="147" t="s">
        <v>454</v>
      </c>
      <c r="G115" s="147" t="s">
        <v>454</v>
      </c>
      <c r="H115" s="147" t="s">
        <v>454</v>
      </c>
      <c r="I115" s="147" t="s">
        <v>454</v>
      </c>
      <c r="J115" s="148" t="s">
        <v>768</v>
      </c>
      <c r="K115" s="148" t="s">
        <v>1684</v>
      </c>
      <c r="L115" s="148"/>
      <c r="M115" s="149" t="s">
        <v>16</v>
      </c>
      <c r="N115" s="150">
        <v>60.62</v>
      </c>
      <c r="O115" s="150">
        <v>94.95</v>
      </c>
      <c r="P115" s="188">
        <v>0.2</v>
      </c>
      <c r="Q115" s="199">
        <f t="shared" si="3"/>
        <v>125</v>
      </c>
      <c r="R115" s="152">
        <f t="shared" si="4"/>
        <v>119.95</v>
      </c>
      <c r="S115" s="14"/>
    </row>
    <row r="116" spans="1:19" s="7" customFormat="1" ht="12.75">
      <c r="A116" s="162" t="s">
        <v>211</v>
      </c>
      <c r="B116" s="144" t="s">
        <v>778</v>
      </c>
      <c r="C116" s="151" t="s">
        <v>937</v>
      </c>
      <c r="D116" s="174" t="s">
        <v>445</v>
      </c>
      <c r="E116" s="146" t="s">
        <v>454</v>
      </c>
      <c r="F116" s="147" t="s">
        <v>454</v>
      </c>
      <c r="G116" s="147" t="s">
        <v>454</v>
      </c>
      <c r="H116" s="147" t="s">
        <v>454</v>
      </c>
      <c r="I116" s="147" t="s">
        <v>454</v>
      </c>
      <c r="J116" s="148" t="s">
        <v>768</v>
      </c>
      <c r="K116" s="148"/>
      <c r="L116" s="148"/>
      <c r="M116" s="149" t="s">
        <v>16</v>
      </c>
      <c r="N116" s="150">
        <v>84.65</v>
      </c>
      <c r="O116" s="150">
        <v>119.95</v>
      </c>
      <c r="P116" s="188">
        <v>0.1</v>
      </c>
      <c r="Q116" s="199">
        <f t="shared" si="3"/>
        <v>125</v>
      </c>
      <c r="R116" s="152">
        <f t="shared" si="4"/>
        <v>132.44999999999999</v>
      </c>
      <c r="S116" s="14"/>
    </row>
    <row r="117" spans="1:19" s="7" customFormat="1" ht="12.75">
      <c r="A117" s="162" t="s">
        <v>766</v>
      </c>
      <c r="B117" s="144" t="s">
        <v>961</v>
      </c>
      <c r="C117" s="151" t="s">
        <v>1005</v>
      </c>
      <c r="D117" s="174" t="s">
        <v>767</v>
      </c>
      <c r="E117" s="146" t="s">
        <v>410</v>
      </c>
      <c r="F117" s="147" t="s">
        <v>454</v>
      </c>
      <c r="G117" s="147" t="s">
        <v>454</v>
      </c>
      <c r="H117" s="147" t="s">
        <v>454</v>
      </c>
      <c r="I117" s="147" t="s">
        <v>454</v>
      </c>
      <c r="J117" s="148" t="s">
        <v>768</v>
      </c>
      <c r="K117" s="148"/>
      <c r="L117" s="148"/>
      <c r="M117" s="149" t="s">
        <v>4</v>
      </c>
      <c r="N117" s="150">
        <v>15.57</v>
      </c>
      <c r="O117" s="150">
        <v>23.95</v>
      </c>
      <c r="P117" s="188">
        <v>0</v>
      </c>
      <c r="Q117" s="199">
        <f t="shared" si="3"/>
        <v>125</v>
      </c>
      <c r="R117" s="152">
        <f t="shared" si="4"/>
        <v>23.95</v>
      </c>
      <c r="S117" s="14"/>
    </row>
    <row r="118" spans="1:19" s="7" customFormat="1" ht="12.75">
      <c r="A118" s="162" t="s">
        <v>5</v>
      </c>
      <c r="B118" s="144" t="s">
        <v>963</v>
      </c>
      <c r="C118" s="151" t="s">
        <v>1007</v>
      </c>
      <c r="D118" s="174" t="s">
        <v>320</v>
      </c>
      <c r="E118" s="146" t="s">
        <v>454</v>
      </c>
      <c r="F118" s="147" t="s">
        <v>454</v>
      </c>
      <c r="G118" s="147" t="s">
        <v>454</v>
      </c>
      <c r="H118" s="147" t="s">
        <v>454</v>
      </c>
      <c r="I118" s="147" t="s">
        <v>410</v>
      </c>
      <c r="J118" s="148" t="s">
        <v>768</v>
      </c>
      <c r="K118" s="148"/>
      <c r="L118" s="148"/>
      <c r="M118" s="149" t="s">
        <v>4</v>
      </c>
      <c r="N118" s="150">
        <v>15.57</v>
      </c>
      <c r="O118" s="150">
        <v>23.95</v>
      </c>
      <c r="P118" s="188">
        <v>0</v>
      </c>
      <c r="Q118" s="199">
        <f t="shared" si="3"/>
        <v>125</v>
      </c>
      <c r="R118" s="152">
        <f t="shared" si="4"/>
        <v>23.95</v>
      </c>
      <c r="S118" s="14"/>
    </row>
    <row r="119" spans="1:19" s="7" customFormat="1" ht="12.75">
      <c r="A119" s="162" t="s">
        <v>769</v>
      </c>
      <c r="B119" s="144" t="s">
        <v>964</v>
      </c>
      <c r="C119" s="151" t="s">
        <v>1008</v>
      </c>
      <c r="D119" s="174" t="s">
        <v>765</v>
      </c>
      <c r="E119" s="146" t="s">
        <v>454</v>
      </c>
      <c r="F119" s="147" t="s">
        <v>454</v>
      </c>
      <c r="G119" s="147" t="s">
        <v>454</v>
      </c>
      <c r="H119" s="147" t="s">
        <v>454</v>
      </c>
      <c r="I119" s="147" t="s">
        <v>410</v>
      </c>
      <c r="J119" s="148" t="s">
        <v>768</v>
      </c>
      <c r="K119" s="148"/>
      <c r="L119" s="148"/>
      <c r="M119" s="149" t="s">
        <v>4</v>
      </c>
      <c r="N119" s="150">
        <v>15.57</v>
      </c>
      <c r="O119" s="150">
        <v>23.95</v>
      </c>
      <c r="P119" s="188">
        <v>0</v>
      </c>
      <c r="Q119" s="199">
        <f t="shared" si="3"/>
        <v>125</v>
      </c>
      <c r="R119" s="152">
        <f t="shared" si="4"/>
        <v>23.95</v>
      </c>
      <c r="S119" s="14"/>
    </row>
    <row r="120" spans="1:19" s="7" customFormat="1" ht="12.75">
      <c r="A120" s="162" t="s">
        <v>3</v>
      </c>
      <c r="B120" s="144" t="s">
        <v>1029</v>
      </c>
      <c r="C120" s="151" t="s">
        <v>1034</v>
      </c>
      <c r="D120" s="174" t="s">
        <v>960</v>
      </c>
      <c r="E120" s="146" t="s">
        <v>454</v>
      </c>
      <c r="F120" s="147" t="s">
        <v>410</v>
      </c>
      <c r="G120" s="147" t="s">
        <v>410</v>
      </c>
      <c r="H120" s="147" t="s">
        <v>410</v>
      </c>
      <c r="I120" s="147" t="s">
        <v>410</v>
      </c>
      <c r="J120" s="148" t="s">
        <v>768</v>
      </c>
      <c r="K120" s="148"/>
      <c r="L120" s="148"/>
      <c r="M120" s="149" t="s">
        <v>4</v>
      </c>
      <c r="N120" s="150">
        <v>15.57</v>
      </c>
      <c r="O120" s="150">
        <v>23.95</v>
      </c>
      <c r="P120" s="188">
        <v>0</v>
      </c>
      <c r="Q120" s="199">
        <f t="shared" si="3"/>
        <v>125</v>
      </c>
      <c r="R120" s="152">
        <f t="shared" si="4"/>
        <v>23.95</v>
      </c>
      <c r="S120" s="14"/>
    </row>
    <row r="121" spans="1:19" s="7" customFormat="1" ht="12.75">
      <c r="A121" s="162" t="s">
        <v>206</v>
      </c>
      <c r="B121" s="144" t="s">
        <v>965</v>
      </c>
      <c r="C121" s="151" t="s">
        <v>841</v>
      </c>
      <c r="D121" s="174" t="s">
        <v>393</v>
      </c>
      <c r="E121" s="146" t="s">
        <v>454</v>
      </c>
      <c r="F121" s="147" t="s">
        <v>454</v>
      </c>
      <c r="G121" s="147" t="s">
        <v>454</v>
      </c>
      <c r="H121" s="147" t="s">
        <v>454</v>
      </c>
      <c r="I121" s="147" t="s">
        <v>410</v>
      </c>
      <c r="J121" s="148" t="s">
        <v>768</v>
      </c>
      <c r="K121" s="148"/>
      <c r="L121" s="148"/>
      <c r="M121" s="149" t="s">
        <v>4</v>
      </c>
      <c r="N121" s="150">
        <v>15.57</v>
      </c>
      <c r="O121" s="150">
        <v>23.95</v>
      </c>
      <c r="P121" s="188">
        <v>0</v>
      </c>
      <c r="Q121" s="199">
        <f t="shared" si="3"/>
        <v>125</v>
      </c>
      <c r="R121" s="152">
        <f t="shared" si="4"/>
        <v>23.95</v>
      </c>
      <c r="S121" s="14"/>
    </row>
    <row r="122" spans="1:19" s="7" customFormat="1" ht="12.75">
      <c r="A122" s="162" t="s">
        <v>116</v>
      </c>
      <c r="B122" s="144" t="s">
        <v>384</v>
      </c>
      <c r="C122" s="151" t="s">
        <v>385</v>
      </c>
      <c r="D122" s="174" t="s">
        <v>323</v>
      </c>
      <c r="E122" s="146" t="s">
        <v>454</v>
      </c>
      <c r="F122" s="147" t="s">
        <v>454</v>
      </c>
      <c r="G122" s="147" t="s">
        <v>454</v>
      </c>
      <c r="H122" s="147" t="s">
        <v>454</v>
      </c>
      <c r="I122" s="147" t="s">
        <v>454</v>
      </c>
      <c r="J122" s="148" t="s">
        <v>768</v>
      </c>
      <c r="K122" s="148"/>
      <c r="L122" s="148"/>
      <c r="M122" s="149" t="s">
        <v>4</v>
      </c>
      <c r="N122" s="150">
        <v>15.54</v>
      </c>
      <c r="O122" s="150">
        <v>23.95</v>
      </c>
      <c r="P122" s="188">
        <v>0</v>
      </c>
      <c r="Q122" s="199">
        <f t="shared" si="3"/>
        <v>125</v>
      </c>
      <c r="R122" s="152">
        <f t="shared" si="4"/>
        <v>23.95</v>
      </c>
      <c r="S122" s="14"/>
    </row>
    <row r="123" spans="1:19" s="7" customFormat="1" ht="12.75">
      <c r="A123" s="162" t="s">
        <v>6</v>
      </c>
      <c r="B123" s="144" t="s">
        <v>929</v>
      </c>
      <c r="C123" s="151" t="s">
        <v>310</v>
      </c>
      <c r="D123" s="174" t="s">
        <v>392</v>
      </c>
      <c r="E123" s="146" t="s">
        <v>454</v>
      </c>
      <c r="F123" s="147" t="s">
        <v>454</v>
      </c>
      <c r="G123" s="147" t="s">
        <v>454</v>
      </c>
      <c r="H123" s="147" t="s">
        <v>454</v>
      </c>
      <c r="I123" s="147" t="s">
        <v>454</v>
      </c>
      <c r="J123" s="148" t="s">
        <v>768</v>
      </c>
      <c r="K123" s="148"/>
      <c r="L123" s="148"/>
      <c r="M123" s="149" t="s">
        <v>4</v>
      </c>
      <c r="N123" s="150">
        <v>15.57</v>
      </c>
      <c r="O123" s="150">
        <v>23.95</v>
      </c>
      <c r="P123" s="188">
        <v>0</v>
      </c>
      <c r="Q123" s="199">
        <f t="shared" si="3"/>
        <v>125</v>
      </c>
      <c r="R123" s="152">
        <f t="shared" si="4"/>
        <v>23.95</v>
      </c>
      <c r="S123" s="14"/>
    </row>
    <row r="124" spans="1:19" s="7" customFormat="1" ht="12.75">
      <c r="A124" s="162" t="s">
        <v>635</v>
      </c>
      <c r="B124" s="144" t="s">
        <v>962</v>
      </c>
      <c r="C124" s="151" t="s">
        <v>1006</v>
      </c>
      <c r="D124" s="174" t="s">
        <v>663</v>
      </c>
      <c r="E124" s="146" t="s">
        <v>454</v>
      </c>
      <c r="F124" s="147" t="s">
        <v>454</v>
      </c>
      <c r="G124" s="147" t="s">
        <v>454</v>
      </c>
      <c r="H124" s="147" t="s">
        <v>454</v>
      </c>
      <c r="I124" s="147" t="s">
        <v>454</v>
      </c>
      <c r="J124" s="148" t="s">
        <v>768</v>
      </c>
      <c r="K124" s="148"/>
      <c r="L124" s="148"/>
      <c r="M124" s="149" t="s">
        <v>4</v>
      </c>
      <c r="N124" s="150">
        <v>15.57</v>
      </c>
      <c r="O124" s="150">
        <v>23.95</v>
      </c>
      <c r="P124" s="188">
        <v>0</v>
      </c>
      <c r="Q124" s="199">
        <f t="shared" si="3"/>
        <v>125</v>
      </c>
      <c r="R124" s="152">
        <f t="shared" si="4"/>
        <v>23.95</v>
      </c>
      <c r="S124" s="14"/>
    </row>
    <row r="125" spans="1:19" s="7" customFormat="1" ht="12.75">
      <c r="A125" s="162" t="s">
        <v>1700</v>
      </c>
      <c r="B125" s="144" t="s">
        <v>1694</v>
      </c>
      <c r="C125" s="151" t="s">
        <v>1788</v>
      </c>
      <c r="D125" s="174" t="s">
        <v>1805</v>
      </c>
      <c r="E125" s="146" t="s">
        <v>454</v>
      </c>
      <c r="F125" s="147" t="s">
        <v>454</v>
      </c>
      <c r="G125" s="147" t="s">
        <v>454</v>
      </c>
      <c r="H125" s="147" t="s">
        <v>454</v>
      </c>
      <c r="I125" s="147" t="s">
        <v>454</v>
      </c>
      <c r="J125" s="148"/>
      <c r="K125" s="148" t="s">
        <v>1684</v>
      </c>
      <c r="L125" s="148"/>
      <c r="M125" s="149" t="s">
        <v>10</v>
      </c>
      <c r="N125" s="150">
        <v>159.41999999999999</v>
      </c>
      <c r="O125" s="150">
        <v>245.95</v>
      </c>
      <c r="P125" s="188">
        <v>0.1</v>
      </c>
      <c r="Q125" s="199">
        <f t="shared" si="3"/>
        <v>125</v>
      </c>
      <c r="R125" s="152">
        <f t="shared" si="4"/>
        <v>258.45</v>
      </c>
      <c r="S125" s="14"/>
    </row>
    <row r="126" spans="1:19" s="7" customFormat="1" ht="12.75">
      <c r="A126" s="162" t="s">
        <v>1695</v>
      </c>
      <c r="B126" s="144" t="s">
        <v>1696</v>
      </c>
      <c r="C126" s="151" t="s">
        <v>1789</v>
      </c>
      <c r="D126" s="174" t="s">
        <v>1805</v>
      </c>
      <c r="E126" s="146" t="s">
        <v>454</v>
      </c>
      <c r="F126" s="147" t="s">
        <v>454</v>
      </c>
      <c r="G126" s="147" t="s">
        <v>454</v>
      </c>
      <c r="H126" s="147" t="s">
        <v>454</v>
      </c>
      <c r="I126" s="147" t="s">
        <v>454</v>
      </c>
      <c r="J126" s="148"/>
      <c r="K126" s="148" t="s">
        <v>1684</v>
      </c>
      <c r="L126" s="148"/>
      <c r="M126" s="149" t="s">
        <v>10</v>
      </c>
      <c r="N126" s="150">
        <v>103.89</v>
      </c>
      <c r="O126" s="150">
        <v>159.94999999999999</v>
      </c>
      <c r="P126" s="188">
        <v>0.1</v>
      </c>
      <c r="Q126" s="199">
        <f t="shared" si="3"/>
        <v>125</v>
      </c>
      <c r="R126" s="152">
        <f t="shared" si="4"/>
        <v>172.45</v>
      </c>
      <c r="S126" s="14"/>
    </row>
    <row r="127" spans="1:19" s="7" customFormat="1" ht="12.75">
      <c r="A127" s="162" t="s">
        <v>1691</v>
      </c>
      <c r="B127" s="144" t="s">
        <v>1693</v>
      </c>
      <c r="C127" s="151" t="s">
        <v>1787</v>
      </c>
      <c r="D127" s="174" t="s">
        <v>1805</v>
      </c>
      <c r="E127" s="146" t="s">
        <v>454</v>
      </c>
      <c r="F127" s="147" t="s">
        <v>454</v>
      </c>
      <c r="G127" s="147" t="s">
        <v>454</v>
      </c>
      <c r="H127" s="147" t="s">
        <v>454</v>
      </c>
      <c r="I127" s="147" t="s">
        <v>454</v>
      </c>
      <c r="J127" s="148"/>
      <c r="K127" s="148" t="s">
        <v>1684</v>
      </c>
      <c r="L127" s="148"/>
      <c r="M127" s="149" t="s">
        <v>10</v>
      </c>
      <c r="N127" s="150">
        <v>134.5</v>
      </c>
      <c r="O127" s="150">
        <v>224.95</v>
      </c>
      <c r="P127" s="188">
        <v>2</v>
      </c>
      <c r="Q127" s="199">
        <f t="shared" si="3"/>
        <v>125</v>
      </c>
      <c r="R127" s="152">
        <f t="shared" si="4"/>
        <v>474.95</v>
      </c>
      <c r="S127" s="14"/>
    </row>
    <row r="128" spans="1:19" s="7" customFormat="1" ht="12.75">
      <c r="A128" s="162" t="s">
        <v>1698</v>
      </c>
      <c r="B128" s="144" t="s">
        <v>1699</v>
      </c>
      <c r="C128" s="151" t="s">
        <v>1786</v>
      </c>
      <c r="D128" s="174" t="s">
        <v>1805</v>
      </c>
      <c r="E128" s="146" t="s">
        <v>454</v>
      </c>
      <c r="F128" s="147" t="s">
        <v>454</v>
      </c>
      <c r="G128" s="147" t="s">
        <v>454</v>
      </c>
      <c r="H128" s="147" t="s">
        <v>454</v>
      </c>
      <c r="I128" s="147" t="s">
        <v>454</v>
      </c>
      <c r="J128" s="148"/>
      <c r="K128" s="148" t="s">
        <v>1684</v>
      </c>
      <c r="L128" s="148"/>
      <c r="M128" s="149" t="s">
        <v>10</v>
      </c>
      <c r="N128" s="150">
        <v>509.7</v>
      </c>
      <c r="O128" s="150">
        <v>784.95</v>
      </c>
      <c r="P128" s="188">
        <v>2.5</v>
      </c>
      <c r="Q128" s="199">
        <f t="shared" si="3"/>
        <v>125</v>
      </c>
      <c r="R128" s="152">
        <f t="shared" si="4"/>
        <v>1097.45</v>
      </c>
      <c r="S128" s="14"/>
    </row>
    <row r="129" spans="1:19" s="7" customFormat="1" ht="12.75">
      <c r="A129" s="162" t="s">
        <v>531</v>
      </c>
      <c r="B129" s="144" t="s">
        <v>541</v>
      </c>
      <c r="C129" s="151" t="s">
        <v>754</v>
      </c>
      <c r="D129" s="174" t="s">
        <v>128</v>
      </c>
      <c r="E129" s="146" t="s">
        <v>454</v>
      </c>
      <c r="F129" s="147" t="s">
        <v>454</v>
      </c>
      <c r="G129" s="147" t="s">
        <v>454</v>
      </c>
      <c r="H129" s="147" t="s">
        <v>454</v>
      </c>
      <c r="I129" s="147" t="s">
        <v>454</v>
      </c>
      <c r="J129" s="148" t="s">
        <v>768</v>
      </c>
      <c r="K129" s="148" t="s">
        <v>1684</v>
      </c>
      <c r="L129" s="148"/>
      <c r="M129" s="149" t="s">
        <v>16</v>
      </c>
      <c r="N129" s="150">
        <v>97.77</v>
      </c>
      <c r="O129" s="150">
        <v>162.94999999999999</v>
      </c>
      <c r="P129" s="188">
        <v>0</v>
      </c>
      <c r="Q129" s="199">
        <f t="shared" si="3"/>
        <v>125</v>
      </c>
      <c r="R129" s="152">
        <f t="shared" si="4"/>
        <v>162.94999999999999</v>
      </c>
      <c r="S129" s="14"/>
    </row>
    <row r="130" spans="1:19" s="7" customFormat="1" ht="12.75">
      <c r="A130" s="162" t="s">
        <v>1812</v>
      </c>
      <c r="B130" s="144" t="s">
        <v>214</v>
      </c>
      <c r="C130" s="151" t="s">
        <v>1814</v>
      </c>
      <c r="D130" s="174" t="s">
        <v>1813</v>
      </c>
      <c r="E130" s="146" t="s">
        <v>454</v>
      </c>
      <c r="F130" s="147" t="s">
        <v>454</v>
      </c>
      <c r="G130" s="147" t="s">
        <v>454</v>
      </c>
      <c r="H130" s="147" t="s">
        <v>454</v>
      </c>
      <c r="I130" s="147" t="s">
        <v>454</v>
      </c>
      <c r="J130" s="148"/>
      <c r="K130" s="148"/>
      <c r="L130" s="148"/>
      <c r="M130" s="149" t="s">
        <v>16</v>
      </c>
      <c r="N130" s="150">
        <v>123.92</v>
      </c>
      <c r="O130" s="150">
        <v>184.95</v>
      </c>
      <c r="P130" s="188">
        <v>0</v>
      </c>
      <c r="Q130" s="199">
        <f t="shared" si="3"/>
        <v>125</v>
      </c>
      <c r="R130" s="152">
        <f t="shared" si="4"/>
        <v>184.95</v>
      </c>
    </row>
    <row r="131" spans="1:19" s="7" customFormat="1" ht="12.75">
      <c r="A131" s="162" t="s">
        <v>17</v>
      </c>
      <c r="B131" s="144" t="s">
        <v>644</v>
      </c>
      <c r="C131" s="151" t="s">
        <v>1807</v>
      </c>
      <c r="D131" s="174" t="s">
        <v>1752</v>
      </c>
      <c r="E131" s="146" t="s">
        <v>454</v>
      </c>
      <c r="F131" s="147" t="s">
        <v>454</v>
      </c>
      <c r="G131" s="147" t="s">
        <v>454</v>
      </c>
      <c r="H131" s="147" t="s">
        <v>454</v>
      </c>
      <c r="I131" s="147" t="s">
        <v>454</v>
      </c>
      <c r="J131" s="148" t="s">
        <v>768</v>
      </c>
      <c r="K131" s="148"/>
      <c r="L131" s="148"/>
      <c r="M131" s="149" t="s">
        <v>16</v>
      </c>
      <c r="N131" s="150">
        <v>39.99</v>
      </c>
      <c r="O131" s="150">
        <v>59.95</v>
      </c>
      <c r="P131" s="188">
        <v>0</v>
      </c>
      <c r="Q131" s="199">
        <f t="shared" ref="Q131:Q140" si="5">$M$1</f>
        <v>125</v>
      </c>
      <c r="R131" s="152">
        <f t="shared" si="4"/>
        <v>59.95</v>
      </c>
    </row>
    <row r="132" spans="1:19" s="7" customFormat="1" ht="12.75">
      <c r="A132" s="162" t="s">
        <v>1487</v>
      </c>
      <c r="B132" s="144" t="s">
        <v>1485</v>
      </c>
      <c r="C132" s="151" t="s">
        <v>1486</v>
      </c>
      <c r="D132" s="174" t="s">
        <v>1709</v>
      </c>
      <c r="E132" s="146" t="s">
        <v>454</v>
      </c>
      <c r="F132" s="147" t="s">
        <v>454</v>
      </c>
      <c r="G132" s="147" t="s">
        <v>454</v>
      </c>
      <c r="H132" s="147" t="s">
        <v>454</v>
      </c>
      <c r="I132" s="147" t="s">
        <v>454</v>
      </c>
      <c r="J132" s="148" t="s">
        <v>768</v>
      </c>
      <c r="K132" s="148"/>
      <c r="L132" s="148"/>
      <c r="M132" s="149" t="s">
        <v>0</v>
      </c>
      <c r="N132" s="150">
        <v>47</v>
      </c>
      <c r="O132" s="150">
        <v>64.95</v>
      </c>
      <c r="P132" s="188">
        <v>0</v>
      </c>
      <c r="Q132" s="199">
        <f t="shared" si="5"/>
        <v>125</v>
      </c>
      <c r="R132" s="152">
        <f t="shared" si="4"/>
        <v>64.95</v>
      </c>
    </row>
    <row r="133" spans="1:19" s="7" customFormat="1" ht="12.75">
      <c r="A133" s="162" t="s">
        <v>294</v>
      </c>
      <c r="B133" s="144" t="s">
        <v>295</v>
      </c>
      <c r="C133" s="151" t="s">
        <v>296</v>
      </c>
      <c r="D133" s="174" t="s">
        <v>1708</v>
      </c>
      <c r="E133" s="146" t="s">
        <v>454</v>
      </c>
      <c r="F133" s="147" t="s">
        <v>454</v>
      </c>
      <c r="G133" s="147" t="s">
        <v>454</v>
      </c>
      <c r="H133" s="147" t="s">
        <v>454</v>
      </c>
      <c r="I133" s="147" t="s">
        <v>454</v>
      </c>
      <c r="J133" s="148" t="s">
        <v>768</v>
      </c>
      <c r="K133" s="148"/>
      <c r="L133" s="148"/>
      <c r="M133" s="149" t="s">
        <v>0</v>
      </c>
      <c r="N133" s="150">
        <v>60</v>
      </c>
      <c r="O133" s="150">
        <v>79.95</v>
      </c>
      <c r="P133" s="188">
        <v>0</v>
      </c>
      <c r="Q133" s="199">
        <f t="shared" si="5"/>
        <v>125</v>
      </c>
      <c r="R133" s="152">
        <f t="shared" si="4"/>
        <v>79.95</v>
      </c>
    </row>
    <row r="134" spans="1:19" s="7" customFormat="1" ht="12.75">
      <c r="A134" s="162" t="s">
        <v>522</v>
      </c>
      <c r="B134" s="144" t="s">
        <v>854</v>
      </c>
      <c r="C134" s="151" t="s">
        <v>1811</v>
      </c>
      <c r="D134" s="174" t="s">
        <v>2174</v>
      </c>
      <c r="E134" s="146" t="s">
        <v>454</v>
      </c>
      <c r="F134" s="147" t="s">
        <v>454</v>
      </c>
      <c r="G134" s="147" t="s">
        <v>454</v>
      </c>
      <c r="H134" s="147" t="s">
        <v>454</v>
      </c>
      <c r="I134" s="147" t="s">
        <v>454</v>
      </c>
      <c r="J134" s="148"/>
      <c r="K134" s="148"/>
      <c r="L134" s="148"/>
      <c r="M134" s="149" t="s">
        <v>10</v>
      </c>
      <c r="N134" s="150">
        <v>53</v>
      </c>
      <c r="O134" s="150">
        <v>88.95</v>
      </c>
      <c r="P134" s="188">
        <v>0.1</v>
      </c>
      <c r="Q134" s="199">
        <f t="shared" si="5"/>
        <v>125</v>
      </c>
      <c r="R134" s="152">
        <f t="shared" si="4"/>
        <v>101.45</v>
      </c>
    </row>
    <row r="135" spans="1:19" s="7" customFormat="1" ht="12.75">
      <c r="A135" s="162" t="s">
        <v>1059</v>
      </c>
      <c r="B135" s="144" t="s">
        <v>1060</v>
      </c>
      <c r="C135" s="151" t="s">
        <v>1068</v>
      </c>
      <c r="D135" s="174" t="s">
        <v>2160</v>
      </c>
      <c r="E135" s="146" t="s">
        <v>454</v>
      </c>
      <c r="F135" s="147" t="s">
        <v>454</v>
      </c>
      <c r="G135" s="147" t="s">
        <v>454</v>
      </c>
      <c r="H135" s="147" t="s">
        <v>454</v>
      </c>
      <c r="I135" s="147" t="s">
        <v>454</v>
      </c>
      <c r="J135" s="148" t="s">
        <v>768</v>
      </c>
      <c r="K135" s="148"/>
      <c r="L135" s="148"/>
      <c r="M135" s="149" t="s">
        <v>4</v>
      </c>
      <c r="N135" s="150">
        <v>2.5</v>
      </c>
      <c r="O135" s="150">
        <v>4.95</v>
      </c>
      <c r="P135" s="188">
        <v>0</v>
      </c>
      <c r="Q135" s="199">
        <f t="shared" si="5"/>
        <v>125</v>
      </c>
      <c r="R135" s="152">
        <f t="shared" si="4"/>
        <v>4.95</v>
      </c>
    </row>
    <row r="136" spans="1:19" s="7" customFormat="1" ht="12.75">
      <c r="A136" s="162" t="s">
        <v>1061</v>
      </c>
      <c r="B136" s="144" t="s">
        <v>1646</v>
      </c>
      <c r="C136" s="151" t="s">
        <v>1069</v>
      </c>
      <c r="D136" s="174" t="s">
        <v>2161</v>
      </c>
      <c r="E136" s="146" t="s">
        <v>454</v>
      </c>
      <c r="F136" s="147" t="s">
        <v>454</v>
      </c>
      <c r="G136" s="147" t="s">
        <v>454</v>
      </c>
      <c r="H136" s="147" t="s">
        <v>454</v>
      </c>
      <c r="I136" s="147" t="s">
        <v>454</v>
      </c>
      <c r="J136" s="148" t="s">
        <v>768</v>
      </c>
      <c r="K136" s="148"/>
      <c r="L136" s="148"/>
      <c r="M136" s="149" t="s">
        <v>4</v>
      </c>
      <c r="N136" s="150">
        <v>2.5</v>
      </c>
      <c r="O136" s="150">
        <v>4.95</v>
      </c>
      <c r="P136" s="188">
        <v>0</v>
      </c>
      <c r="Q136" s="199">
        <f t="shared" si="5"/>
        <v>125</v>
      </c>
      <c r="R136" s="152">
        <f t="shared" si="4"/>
        <v>4.95</v>
      </c>
    </row>
    <row r="137" spans="1:19" s="7" customFormat="1" ht="12.75">
      <c r="A137" s="162" t="s">
        <v>1070</v>
      </c>
      <c r="B137" s="144" t="s">
        <v>1064</v>
      </c>
      <c r="C137" s="151" t="s">
        <v>1066</v>
      </c>
      <c r="D137" s="174" t="s">
        <v>2162</v>
      </c>
      <c r="E137" s="146" t="s">
        <v>454</v>
      </c>
      <c r="F137" s="147" t="s">
        <v>454</v>
      </c>
      <c r="G137" s="147" t="s">
        <v>454</v>
      </c>
      <c r="H137" s="147" t="s">
        <v>454</v>
      </c>
      <c r="I137" s="147" t="s">
        <v>454</v>
      </c>
      <c r="J137" s="148" t="s">
        <v>768</v>
      </c>
      <c r="K137" s="148"/>
      <c r="L137" s="148"/>
      <c r="M137" s="149" t="s">
        <v>4</v>
      </c>
      <c r="N137" s="150">
        <v>2.5</v>
      </c>
      <c r="O137" s="150">
        <v>4.95</v>
      </c>
      <c r="P137" s="188">
        <v>0</v>
      </c>
      <c r="Q137" s="199">
        <f t="shared" si="5"/>
        <v>125</v>
      </c>
      <c r="R137" s="152">
        <f t="shared" si="4"/>
        <v>4.95</v>
      </c>
    </row>
    <row r="138" spans="1:19" s="7" customFormat="1" ht="12.75">
      <c r="A138" s="162" t="s">
        <v>1071</v>
      </c>
      <c r="B138" s="144" t="s">
        <v>1065</v>
      </c>
      <c r="C138" s="151" t="s">
        <v>1067</v>
      </c>
      <c r="D138" s="174" t="s">
        <v>2162</v>
      </c>
      <c r="E138" s="146" t="s">
        <v>454</v>
      </c>
      <c r="F138" s="147" t="s">
        <v>454</v>
      </c>
      <c r="G138" s="147" t="s">
        <v>454</v>
      </c>
      <c r="H138" s="147" t="s">
        <v>454</v>
      </c>
      <c r="I138" s="147" t="s">
        <v>454</v>
      </c>
      <c r="J138" s="148" t="s">
        <v>768</v>
      </c>
      <c r="K138" s="148"/>
      <c r="L138" s="148"/>
      <c r="M138" s="149" t="s">
        <v>4</v>
      </c>
      <c r="N138" s="150">
        <v>2.5</v>
      </c>
      <c r="O138" s="150">
        <v>4.95</v>
      </c>
      <c r="P138" s="188">
        <v>0</v>
      </c>
      <c r="Q138" s="199">
        <f t="shared" si="5"/>
        <v>125</v>
      </c>
      <c r="R138" s="152">
        <f t="shared" si="4"/>
        <v>4.95</v>
      </c>
    </row>
    <row r="139" spans="1:19" s="7" customFormat="1" ht="12.75">
      <c r="A139" s="162" t="s">
        <v>1622</v>
      </c>
      <c r="B139" s="144" t="s">
        <v>1570</v>
      </c>
      <c r="C139" s="151" t="s">
        <v>1574</v>
      </c>
      <c r="D139" s="174" t="s">
        <v>1062</v>
      </c>
      <c r="E139" s="146" t="s">
        <v>454</v>
      </c>
      <c r="F139" s="147" t="s">
        <v>454</v>
      </c>
      <c r="G139" s="147" t="s">
        <v>454</v>
      </c>
      <c r="H139" s="147" t="s">
        <v>454</v>
      </c>
      <c r="I139" s="147" t="s">
        <v>454</v>
      </c>
      <c r="J139" s="148"/>
      <c r="K139" s="148"/>
      <c r="L139" s="148"/>
      <c r="M139" s="149" t="s">
        <v>4</v>
      </c>
      <c r="N139" s="150" t="e">
        <v>#N/A</v>
      </c>
      <c r="O139" s="150" t="e">
        <v>#N/A</v>
      </c>
      <c r="P139" s="188">
        <v>0</v>
      </c>
      <c r="Q139" s="199">
        <f t="shared" si="5"/>
        <v>125</v>
      </c>
      <c r="R139" s="152" t="e">
        <f t="shared" si="4"/>
        <v>#N/A</v>
      </c>
    </row>
    <row r="140" spans="1:19" s="7" customFormat="1" ht="12.75">
      <c r="A140" s="162" t="s">
        <v>1623</v>
      </c>
      <c r="B140" s="144" t="s">
        <v>1569</v>
      </c>
      <c r="C140" s="151" t="s">
        <v>1573</v>
      </c>
      <c r="D140" s="174" t="s">
        <v>1063</v>
      </c>
      <c r="E140" s="146" t="s">
        <v>454</v>
      </c>
      <c r="F140" s="147" t="s">
        <v>454</v>
      </c>
      <c r="G140" s="147" t="s">
        <v>454</v>
      </c>
      <c r="H140" s="147" t="s">
        <v>454</v>
      </c>
      <c r="I140" s="147" t="s">
        <v>454</v>
      </c>
      <c r="J140" s="148"/>
      <c r="K140" s="148"/>
      <c r="L140" s="148"/>
      <c r="M140" s="149" t="s">
        <v>4</v>
      </c>
      <c r="N140" s="150" t="e">
        <v>#N/A</v>
      </c>
      <c r="O140" s="150" t="e">
        <v>#N/A</v>
      </c>
      <c r="P140" s="188">
        <v>0</v>
      </c>
      <c r="Q140" s="199">
        <f t="shared" si="5"/>
        <v>125</v>
      </c>
      <c r="R140" s="152" t="e">
        <f t="shared" si="4"/>
        <v>#N/A</v>
      </c>
    </row>
  </sheetData>
  <sortState xmlns:xlrd2="http://schemas.microsoft.com/office/spreadsheetml/2017/richdata2" ref="A3:Q138">
    <sortCondition ref="B3:B138"/>
  </sortState>
  <mergeCells count="4">
    <mergeCell ref="K2:L2"/>
    <mergeCell ref="A1:C1"/>
    <mergeCell ref="D1:L1"/>
    <mergeCell ref="Q1:R1"/>
  </mergeCells>
  <conditionalFormatting sqref="N17:O17">
    <cfRule type="cellIs" dxfId="4" priority="2" operator="lessThan">
      <formula>0.02</formula>
    </cfRule>
  </conditionalFormatting>
  <hyperlinks>
    <hyperlink ref="J3" r:id="rId1" xr:uid="{72A2589D-F378-4438-B6E7-FCC817C9E2CF}"/>
    <hyperlink ref="J58" r:id="rId2" xr:uid="{6B6D6954-3EC7-4F06-B4E7-48ED6D265341}"/>
    <hyperlink ref="J51" r:id="rId3" xr:uid="{08C42046-956A-4BD2-A2BD-F1D485A0642A}"/>
    <hyperlink ref="J50" r:id="rId4" xr:uid="{B4E4BCFA-46FE-4939-9DA8-4A8E8F508E78}"/>
    <hyperlink ref="J49" r:id="rId5" xr:uid="{DD92B727-78C1-4722-8B5C-02E3C9D152B0}"/>
    <hyperlink ref="J27" r:id="rId6" xr:uid="{F7770D77-16C4-40E8-AB42-DA2C8F152A95}"/>
    <hyperlink ref="J29" r:id="rId7" xr:uid="{B3AB9C86-6B80-4B86-BE83-8A0E46A11719}"/>
    <hyperlink ref="J30" r:id="rId8" xr:uid="{F88DDBEC-CEEA-4A00-AD22-C7975E120923}"/>
    <hyperlink ref="J32:J38" r:id="rId9" display="PHOTO" xr:uid="{0B0DE8C0-0F90-43AC-9081-7CB7ADEF867E}"/>
    <hyperlink ref="J106" r:id="rId10" xr:uid="{703E8A8C-9348-4C4F-8775-31F0415F9939}"/>
    <hyperlink ref="J108" r:id="rId11" xr:uid="{568B3839-5B83-4857-B56E-864FCA858B19}"/>
    <hyperlink ref="J109" r:id="rId12" xr:uid="{711C1249-B5B7-4262-821A-1F2678FC660C}"/>
    <hyperlink ref="J110" r:id="rId13" xr:uid="{8AFC47DE-FB06-401C-B7BF-F2BFB965B412}"/>
    <hyperlink ref="J111" r:id="rId14" xr:uid="{135F82DD-B663-4C72-9DBB-C29A7C38CBAC}"/>
    <hyperlink ref="J112" r:id="rId15" xr:uid="{6B010ECB-2784-4D4D-A1AC-073187160C2D}"/>
    <hyperlink ref="J113" r:id="rId16" xr:uid="{7844A09E-9518-459E-92CB-BEFC99BD17A0}"/>
    <hyperlink ref="J114" r:id="rId17" xr:uid="{53217AB8-980B-4F27-BDF1-E73D899066D2}"/>
    <hyperlink ref="J115" r:id="rId18" xr:uid="{9C1182A2-646B-4BDF-ABE9-A8CA07F36629}"/>
    <hyperlink ref="J116" r:id="rId19" xr:uid="{6B383914-422D-48A5-A27D-0D6A61EB4CF1}"/>
    <hyperlink ref="J42" r:id="rId20" xr:uid="{405F9E85-BD21-4ADD-A7BB-30AC0AC4628A}"/>
    <hyperlink ref="J45" r:id="rId21" xr:uid="{EA35AE47-9CAE-4DF1-A064-7BB871851333}"/>
    <hyperlink ref="J47" r:id="rId22" xr:uid="{9D2D37C0-82EF-4070-BB15-1F7E9C2D49F6}"/>
    <hyperlink ref="J46" r:id="rId23" xr:uid="{23F5E880-98A3-4AC8-BF76-0CFAFF19E28E}"/>
    <hyperlink ref="J48" r:id="rId24" xr:uid="{E9AC6D06-D6FB-4AA1-AFE2-1391F2152D87}"/>
    <hyperlink ref="J59" r:id="rId25" xr:uid="{1DD698DB-0BC6-4F95-8558-383E8A71C15A}"/>
    <hyperlink ref="J60:J66" r:id="rId26" display="PHOTO" xr:uid="{E5AF56F5-180C-4CEF-8B88-C733C9B01E31}"/>
    <hyperlink ref="J87" r:id="rId27" xr:uid="{3B5AA5E2-92CB-4A53-A980-1AD41E6888B3}"/>
    <hyperlink ref="J89:J94" r:id="rId28" display="PHOTO" xr:uid="{ADB93FEF-F679-4D85-9803-58353E8E7E20}"/>
    <hyperlink ref="J117" r:id="rId29" xr:uid="{D7B4234E-4B1A-456B-99DC-F178DFF380D3}"/>
    <hyperlink ref="J118:J124" r:id="rId30" display="PHOTO" xr:uid="{51FD4F02-C777-4BD0-A980-F26B8D5017D9}"/>
    <hyperlink ref="J4" r:id="rId31" xr:uid="{5E9C1F9A-1EB1-46C0-B2A3-E2F02AEFC4A2}"/>
    <hyperlink ref="J40" r:id="rId32" xr:uid="{E17868BD-9445-4B86-8B42-8AFA8183FDF8}"/>
    <hyperlink ref="J43" r:id="rId33" xr:uid="{072DF273-57B4-43A8-B43D-16D984D8C1A7}"/>
    <hyperlink ref="J44" r:id="rId34" xr:uid="{072D0957-3965-4FB6-8543-5AE004892AF1}"/>
    <hyperlink ref="J137" r:id="rId35" xr:uid="{A2419D7C-4780-4ADF-8F06-5A55438B9019}"/>
    <hyperlink ref="J138" r:id="rId36" xr:uid="{39D6D8CF-926A-4539-A8A9-35941C2974DB}"/>
    <hyperlink ref="J135" r:id="rId37" xr:uid="{8549DE1A-BF04-45D3-9FA5-41C01F3DEB91}"/>
    <hyperlink ref="J136" r:id="rId38" xr:uid="{6BD2FBD1-2556-4AC4-BC25-861F2C88DB70}"/>
    <hyperlink ref="J20" r:id="rId39" xr:uid="{AB544D92-67B3-4E53-B2BA-56954C27831A}"/>
    <hyperlink ref="J132" r:id="rId40" xr:uid="{664F2F08-BAA4-4184-B07D-429FFA23F096}"/>
    <hyperlink ref="J84" r:id="rId41" xr:uid="{6A40908A-2FA9-4833-8FDF-B8E3FF61E495}"/>
    <hyperlink ref="J54" r:id="rId42" xr:uid="{01803DDF-9616-4938-BA80-C1E93D56D69A}"/>
    <hyperlink ref="J78" r:id="rId43" xr:uid="{9280FE71-B66A-4DA9-B378-C240CF332932}"/>
    <hyperlink ref="J129" r:id="rId44" xr:uid="{F9DFCF85-B885-4AE9-ACB9-5DD217D25C85}"/>
    <hyperlink ref="J11" r:id="rId45" xr:uid="{A12685FB-19D6-4420-9424-9A85C1EBEC0A}"/>
    <hyperlink ref="J83" r:id="rId46" xr:uid="{3DDF1DA9-E464-43C8-9D1F-97A443E04B68}"/>
    <hyperlink ref="J13" r:id="rId47" xr:uid="{007D7A7E-7864-450A-B366-53A1394CE595}"/>
    <hyperlink ref="J7" r:id="rId48" xr:uid="{A234D8E4-4708-4F12-82AB-F3E5B4FBEA8B}"/>
    <hyperlink ref="J24" r:id="rId49" xr:uid="{1F1A7AF1-3F87-430E-A187-6F6B1BAC988B}"/>
    <hyperlink ref="J25" r:id="rId50" xr:uid="{9E56425E-16A2-4C83-91B8-ABBA3FEC75B3}"/>
    <hyperlink ref="J26" r:id="rId51" xr:uid="{6D3D4F7D-26C8-4F72-9257-5B777675703A}"/>
    <hyperlink ref="J57" r:id="rId52" xr:uid="{00668BA2-6B0F-4201-97DC-420FF1DCD5C2}"/>
    <hyperlink ref="J56" r:id="rId53" xr:uid="{8E7619DF-A7F2-4382-BB8E-B125E193922B}"/>
    <hyperlink ref="J38" r:id="rId54" xr:uid="{36F6984A-422E-488C-AB5C-95934FAA795C}"/>
    <hyperlink ref="J95" r:id="rId55" xr:uid="{BC5D9D1F-F455-42DC-A23D-036B1FA8EE9B}"/>
    <hyperlink ref="J39" r:id="rId56" xr:uid="{640C8C4E-0968-4752-980B-77813FB49B9E}"/>
    <hyperlink ref="J96" r:id="rId57" xr:uid="{77D5F34C-F75B-4488-8454-65DE3744861C}"/>
    <hyperlink ref="J19" r:id="rId58" xr:uid="{B709C205-CB0C-4311-9CA5-DAA85C359D33}"/>
    <hyperlink ref="J18" r:id="rId59" xr:uid="{D478D70B-9A24-44AF-9574-AF3620AFE8EE}"/>
    <hyperlink ref="J85" r:id="rId60" xr:uid="{6824CF24-850C-4D43-861A-87409D11DCAE}"/>
    <hyperlink ref="J14" r:id="rId61" xr:uid="{46C63F28-54C1-40DC-8396-F1E1FABEE887}"/>
    <hyperlink ref="J21" r:id="rId62" xr:uid="{C3ADE45C-A8A1-4113-9055-DB1CA1BB7325}"/>
    <hyperlink ref="J53" r:id="rId63" xr:uid="{6B731015-04FC-4ADE-8DB9-10036ED46708}"/>
    <hyperlink ref="J79" r:id="rId64" xr:uid="{2A01DB76-8B3F-4C6F-9E52-3EE7125D6642}"/>
    <hyperlink ref="J12" r:id="rId65" xr:uid="{98AFD2DB-E6DC-4F4F-862B-F83E62463749}"/>
    <hyperlink ref="K21" r:id="rId66" xr:uid="{34B363AF-8ECE-49DD-B79E-3693565B48CF}"/>
    <hyperlink ref="K27" r:id="rId67" xr:uid="{FF4BFD46-935B-498F-85C4-158ACBDF0F08}"/>
    <hyperlink ref="K3" r:id="rId68" xr:uid="{065AE122-9E1A-429D-A03F-1231DB4EC996}"/>
    <hyperlink ref="K24" r:id="rId69" xr:uid="{4F55ACCF-AF34-454F-9BD2-CF954DA15EBF}"/>
    <hyperlink ref="K26:K27" r:id="rId70" display="SHEET" xr:uid="{F096B913-A14C-45B9-864B-B09255AAC272}"/>
    <hyperlink ref="K18" r:id="rId71" xr:uid="{06709086-E5B7-4AAE-A868-A9E66BE58567}"/>
    <hyperlink ref="K19" r:id="rId72" xr:uid="{B88EC820-54CB-48FF-8D42-96DEB938E512}"/>
    <hyperlink ref="K20" r:id="rId73" xr:uid="{1FA3A4A0-FC88-4BCE-8F03-FD2F76B7559A}"/>
    <hyperlink ref="K7" r:id="rId74" xr:uid="{B7253284-7456-453A-BA83-3A250C4B3B51}"/>
    <hyperlink ref="K11" r:id="rId75" xr:uid="{5556C010-6A95-4811-AFFB-4A25A2C7F45E}"/>
    <hyperlink ref="K12" r:id="rId76" xr:uid="{AD990167-6057-4CD5-98AC-A3A08081E2FC}"/>
    <hyperlink ref="K129" r:id="rId77" xr:uid="{31F9ADB3-09B5-40BF-BF88-84D595A0382E}"/>
    <hyperlink ref="K96" r:id="rId78" xr:uid="{9C149605-F7DE-4923-836F-D816A61027FA}"/>
    <hyperlink ref="K97:K104" r:id="rId79" display="SHEET" xr:uid="{CF441334-0037-4D86-A0D7-F0EA2F45BC83}"/>
    <hyperlink ref="K86" r:id="rId80" xr:uid="{C6C79301-403A-4AE6-91CA-AAA366884816}"/>
    <hyperlink ref="K87:K95" r:id="rId81" display="SHEET" xr:uid="{ABC41E8D-CFBA-45E6-9199-F479CDD23735}"/>
    <hyperlink ref="K85" r:id="rId82" xr:uid="{8383E6DE-182B-4C9E-91F8-9BDEE1205300}"/>
    <hyperlink ref="K83" r:id="rId83" xr:uid="{00C3819E-B824-4599-8068-B8F10A781776}"/>
    <hyperlink ref="K84" r:id="rId84" xr:uid="{870C278C-733D-42BE-8F39-61601153397C}"/>
    <hyperlink ref="K79" r:id="rId85" xr:uid="{076E008B-8CB7-4309-9E70-70685CE5373D}"/>
    <hyperlink ref="K29" r:id="rId86" xr:uid="{9DD384DB-1D65-409C-B09A-0512462A39F4}"/>
    <hyperlink ref="K31:K38" r:id="rId87" display="SHEET" xr:uid="{B65D30F5-36FC-4251-97BE-E0033E969BA3}"/>
    <hyperlink ref="K38" r:id="rId88" xr:uid="{A8F6E782-C5AD-4761-B393-C94AF0965676}"/>
    <hyperlink ref="K40" r:id="rId89" xr:uid="{A73CE0A8-B969-46D2-BDC6-2D220438E6CD}"/>
    <hyperlink ref="K14" r:id="rId90" xr:uid="{D942C6D7-9C39-448C-AB07-45579D99C3CF}"/>
    <hyperlink ref="K49" r:id="rId91" xr:uid="{31260544-D7CF-4712-BC33-E92F283B249C}"/>
    <hyperlink ref="K51:K52" r:id="rId92" display="SHEET" xr:uid="{A7E28A21-5CDA-4AEE-9314-F069CA8169EE}"/>
    <hyperlink ref="K53" r:id="rId93" xr:uid="{9A121943-6103-4D5F-A687-036E80E864B9}"/>
    <hyperlink ref="K54" r:id="rId94" xr:uid="{C73D4D5B-BFCD-4BC9-83B1-A6136EB6506B}"/>
    <hyperlink ref="K56" r:id="rId95" xr:uid="{242597B4-4667-4C05-9170-466E737D7146}"/>
    <hyperlink ref="K57" r:id="rId96" xr:uid="{4E5DE5A0-BFAB-40A2-BECF-26159E501016}"/>
    <hyperlink ref="K58" r:id="rId97" xr:uid="{B45E0323-FA9C-4DDF-907A-40EFEA1A925A}"/>
    <hyperlink ref="K59:K66" r:id="rId98" display="SHEET" xr:uid="{9B9CC06C-729B-4360-90E2-AC4AE487F9B2}"/>
    <hyperlink ref="K67" r:id="rId99" xr:uid="{CA3D93AA-4B91-416B-BE44-72602EDC133F}"/>
    <hyperlink ref="K5" r:id="rId100" xr:uid="{4CC27046-690D-4436-BAC1-A6D73EC86B88}"/>
    <hyperlink ref="K8" r:id="rId101" xr:uid="{EF6F2CD2-E553-474F-95E5-86644CFF965F}"/>
    <hyperlink ref="K9" r:id="rId102" xr:uid="{BCDC4C1B-41E4-4D4F-8633-31C4946F3F02}"/>
    <hyperlink ref="K10" r:id="rId103" xr:uid="{16A78C61-F72F-4744-96CA-A311FB727932}"/>
    <hyperlink ref="K13" r:id="rId104" xr:uid="{881E0DE2-1669-48B6-A16C-64A0A5DCE3C7}"/>
    <hyperlink ref="K28" r:id="rId105" xr:uid="{877D0013-9D16-4A8A-82AD-F8899B5D4F54}"/>
    <hyperlink ref="K39" r:id="rId106" xr:uid="{519FC800-32BC-4F3B-8342-8F6E51A34828}"/>
    <hyperlink ref="K78" r:id="rId107" xr:uid="{E4C28012-7534-4B9A-AE7E-2F75B53423D6}"/>
    <hyperlink ref="J97" r:id="rId108" xr:uid="{820215F6-A3CE-4DEB-8505-07CB70436AD7}"/>
    <hyperlink ref="J98:J104" r:id="rId109" display="PHOTO" xr:uid="{E35C99DF-E062-4C13-9D32-2BB9A29767E2}"/>
    <hyperlink ref="K109" r:id="rId110" xr:uid="{DBC85041-70EE-424C-8919-C8E41A69F67E}"/>
    <hyperlink ref="K108" r:id="rId111" xr:uid="{13D5C902-E1DD-437F-86AA-C184F1BB602A}"/>
    <hyperlink ref="K113" r:id="rId112" xr:uid="{0BB1C6BB-F36D-4877-95D7-27A2D3D5E903}"/>
    <hyperlink ref="K114" r:id="rId113" xr:uid="{1388A13B-C70A-432F-82DC-AE2E7945D36D}"/>
    <hyperlink ref="J28" r:id="rId114" xr:uid="{B15598D2-7485-46EB-A54E-66A7EB8E6ED4}"/>
    <hyperlink ref="J41" r:id="rId115" xr:uid="{985061A4-3C75-46AF-BC6D-5A5533ED285F}"/>
    <hyperlink ref="K41" r:id="rId116" xr:uid="{3A6D5AB3-43D3-4525-AE8E-274FA9CFB578}"/>
    <hyperlink ref="K127" r:id="rId117" xr:uid="{67506D9F-A791-4DED-ACF7-70D922F88E33}"/>
    <hyperlink ref="K125" r:id="rId118" xr:uid="{DCF37D25-8FBA-44D0-A71A-1DE3F160A8AB}"/>
    <hyperlink ref="K126" r:id="rId119" xr:uid="{3BC9EC84-0EA9-4935-9D19-859E03459A25}"/>
    <hyperlink ref="K128" r:id="rId120" xr:uid="{DB9A89B7-FE11-477B-A668-9815E3BB93B7}"/>
    <hyperlink ref="J133" r:id="rId121" xr:uid="{29805432-6DDC-4882-B08A-17FCBBF323FD}"/>
    <hyperlink ref="J131" r:id="rId122" xr:uid="{85F5A589-F4EF-43B7-8995-7657DD2E6A86}"/>
    <hyperlink ref="J6" r:id="rId123" xr:uid="{2E31645B-0756-4B3D-80B8-A3DDA947DB87}"/>
    <hyperlink ref="J15" r:id="rId124" xr:uid="{6F1F3121-74FF-4B3F-9512-793BE3CE1564}"/>
    <hyperlink ref="J17" r:id="rId125" xr:uid="{E296E9ED-5DB0-4C2E-8AEE-DA7A3A08055F}"/>
    <hyperlink ref="K15" r:id="rId126" xr:uid="{126322F7-3F23-470E-BA44-AF154721AE72}"/>
    <hyperlink ref="K17" r:id="rId127" xr:uid="{051B09CF-9223-466D-8077-05F914104A0B}"/>
    <hyperlink ref="J82" r:id="rId128" xr:uid="{6727DC41-4581-4BF6-BC88-6D5E01432D6E}"/>
    <hyperlink ref="J81" r:id="rId129" xr:uid="{AE4E3ECC-42A4-4C41-AE13-BB22230E22CA}"/>
    <hyperlink ref="K82" r:id="rId130" xr:uid="{F1343635-5B24-4D43-AF39-2A3C081F0F6E}"/>
    <hyperlink ref="K81" r:id="rId131" xr:uid="{F1BE2734-E960-42E3-9E20-942F26A4C8C6}"/>
    <hyperlink ref="J22" r:id="rId132" xr:uid="{9966282A-9ADC-4C31-A676-F0BCAB7B912F}"/>
    <hyperlink ref="J23" r:id="rId133" xr:uid="{3C88218F-8A1D-49A6-8CB7-B0DCD4A9BCEB}"/>
    <hyperlink ref="K22" r:id="rId134" xr:uid="{509E6B2A-EA50-4564-AB2A-1E018228F2E0}"/>
    <hyperlink ref="K80" r:id="rId135" xr:uid="{517F3167-F9DE-4494-A38C-18B02E4A62CD}"/>
    <hyperlink ref="J107" r:id="rId136" xr:uid="{DAABD256-71A7-40CF-9948-914939257FDA}"/>
    <hyperlink ref="K107" r:id="rId137" xr:uid="{D2E4DAF5-0124-4CE8-B66A-26C577018CEA}"/>
    <hyperlink ref="J105" r:id="rId138" xr:uid="{56AB8E56-895D-4716-AEE9-3776A4F6E0CA}"/>
    <hyperlink ref="J75" r:id="rId139" xr:uid="{39823F7C-91F2-4E2E-9370-CFB06D5740AC}"/>
    <hyperlink ref="J68" r:id="rId140" xr:uid="{04570DA3-9D5C-42D7-B951-1FC7EAE00EE7}"/>
    <hyperlink ref="J70" r:id="rId141" xr:uid="{4E94627B-9F5E-4AA8-9D61-48CF5713E1D6}"/>
    <hyperlink ref="J69" r:id="rId142" xr:uid="{C96468AC-97E2-48AC-800E-CA15AF41CDFE}"/>
    <hyperlink ref="J77" r:id="rId143" xr:uid="{4E526A32-CACC-48AB-88EF-B9B0F9B649C9}"/>
    <hyperlink ref="J73" r:id="rId144" xr:uid="{6ADFDFF4-41F1-4BE0-9E4E-774BDABA3C4D}"/>
    <hyperlink ref="J71" r:id="rId145" xr:uid="{151C7747-3812-4F3C-9025-E82BCDD2B67F}"/>
    <hyperlink ref="J74" r:id="rId146" xr:uid="{0C5E2E79-67A4-4CD6-BEA0-B909E94D37FE}"/>
    <hyperlink ref="J76" r:id="rId147" xr:uid="{B5C21D29-DA01-4716-BB56-311130FEC04D}"/>
    <hyperlink ref="J72" r:id="rId148" display="PHOTO" xr:uid="{015CEE67-9FDA-436A-BE6F-524499626D27}"/>
  </hyperlinks>
  <pageMargins left="0.7" right="0.7" top="0.75" bottom="0.75" header="0.3" footer="0.3"/>
  <pageSetup orientation="portrait" r:id="rId149"/>
  <legacyDrawing r:id="rId15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627E-1F82-4698-B4E0-A71AB6E50EBD}">
  <sheetPr>
    <tabColor theme="9" tint="-0.249977111117893"/>
  </sheetPr>
  <dimension ref="A1:AW131"/>
  <sheetViews>
    <sheetView showGridLines="0" zoomScale="85" zoomScaleNormal="85" workbookViewId="0">
      <pane xSplit="2" ySplit="2" topLeftCell="C3" activePane="bottomRight" state="frozenSplit"/>
      <selection pane="topRight" activeCell="C1" sqref="C1"/>
      <selection pane="bottomLeft" activeCell="A15" sqref="A15"/>
      <selection pane="bottomRight" activeCell="A2" sqref="A2"/>
    </sheetView>
  </sheetViews>
  <sheetFormatPr defaultColWidth="179.28515625" defaultRowHeight="14.25"/>
  <cols>
    <col min="1" max="1" width="21.42578125" style="7" customWidth="1"/>
    <col min="2" max="2" width="83.5703125" style="7" customWidth="1"/>
    <col min="3" max="3" width="108.5703125" style="7" bestFit="1" customWidth="1"/>
    <col min="4" max="4" width="114.42578125" style="15" customWidth="1"/>
    <col min="5" max="5" width="5" style="15" bestFit="1" customWidth="1"/>
    <col min="6" max="6" width="6.7109375" style="15" bestFit="1" customWidth="1"/>
    <col min="7" max="7" width="5.28515625" style="15" bestFit="1" customWidth="1"/>
    <col min="8" max="8" width="8.7109375" style="72" bestFit="1" customWidth="1"/>
    <col min="9" max="9" width="6.5703125" style="15" bestFit="1" customWidth="1"/>
    <col min="10" max="10" width="5.5703125" style="15" customWidth="1"/>
    <col min="11" max="11" width="14.5703125" style="15" bestFit="1" customWidth="1"/>
    <col min="12" max="12" width="11.28515625" style="15" customWidth="1"/>
    <col min="13" max="13" width="11.28515625" style="15" bestFit="1" customWidth="1"/>
    <col min="14" max="14" width="8.28515625" style="15" bestFit="1" customWidth="1"/>
    <col min="15" max="15" width="9.85546875" style="15" bestFit="1" customWidth="1"/>
    <col min="16" max="16" width="11.28515625" style="15" bestFit="1" customWidth="1"/>
    <col min="17" max="17" width="5.42578125" style="7" customWidth="1"/>
    <col min="18" max="16384" width="179.28515625" style="7"/>
  </cols>
  <sheetData>
    <row r="1" spans="1:17" s="2" customFormat="1" ht="45">
      <c r="A1" s="346" t="s">
        <v>1750</v>
      </c>
      <c r="B1" s="347"/>
      <c r="C1" s="347"/>
      <c r="D1" s="357" t="s">
        <v>167</v>
      </c>
      <c r="E1" s="357"/>
      <c r="F1" s="357"/>
      <c r="G1" s="357"/>
      <c r="H1" s="357"/>
      <c r="I1" s="357"/>
      <c r="J1" s="358"/>
      <c r="K1" s="46">
        <v>125</v>
      </c>
      <c r="L1" s="1"/>
      <c r="M1" s="1"/>
      <c r="N1" s="1"/>
      <c r="O1" s="349" t="s">
        <v>213</v>
      </c>
      <c r="P1" s="350"/>
    </row>
    <row r="2" spans="1:17" s="14" customFormat="1" ht="47.25">
      <c r="A2" s="131" t="s">
        <v>140</v>
      </c>
      <c r="B2" s="131" t="s">
        <v>141</v>
      </c>
      <c r="C2" s="10" t="s">
        <v>142</v>
      </c>
      <c r="D2" s="131" t="s">
        <v>143</v>
      </c>
      <c r="E2" s="131" t="s">
        <v>461</v>
      </c>
      <c r="F2" s="131" t="s">
        <v>1729</v>
      </c>
      <c r="G2" s="131" t="s">
        <v>462</v>
      </c>
      <c r="H2" s="131" t="s">
        <v>768</v>
      </c>
      <c r="I2" s="355" t="s">
        <v>1685</v>
      </c>
      <c r="J2" s="356"/>
      <c r="K2" s="131" t="s">
        <v>144</v>
      </c>
      <c r="L2" s="10" t="s">
        <v>145</v>
      </c>
      <c r="M2" s="10" t="s">
        <v>146</v>
      </c>
      <c r="N2" s="143" t="s">
        <v>147</v>
      </c>
      <c r="O2" s="132" t="s">
        <v>148</v>
      </c>
      <c r="P2" s="132" t="s">
        <v>149</v>
      </c>
    </row>
    <row r="3" spans="1:17" s="14" customFormat="1" ht="12.75">
      <c r="A3" s="160" t="s">
        <v>871</v>
      </c>
      <c r="B3" s="156" t="s">
        <v>1009</v>
      </c>
      <c r="C3" s="156" t="s">
        <v>874</v>
      </c>
      <c r="D3" s="145" t="s">
        <v>1843</v>
      </c>
      <c r="E3" s="314" t="s">
        <v>454</v>
      </c>
      <c r="F3" s="314" t="s">
        <v>454</v>
      </c>
      <c r="G3" s="314" t="s">
        <v>454</v>
      </c>
      <c r="H3" s="148" t="s">
        <v>768</v>
      </c>
      <c r="I3" s="148"/>
      <c r="J3" s="148"/>
      <c r="K3" s="149" t="s">
        <v>59</v>
      </c>
      <c r="L3" s="242">
        <v>1750</v>
      </c>
      <c r="M3" s="242">
        <v>2295.9499999999998</v>
      </c>
      <c r="N3" s="145">
        <v>1.5</v>
      </c>
      <c r="O3" s="242">
        <f t="shared" ref="O3:O119" si="0">$K$1</f>
        <v>125</v>
      </c>
      <c r="P3" s="197">
        <f t="shared" ref="P3:P40" si="1">N3*O3+M3</f>
        <v>2483.4499999999998</v>
      </c>
    </row>
    <row r="4" spans="1:17" s="14" customFormat="1" ht="12.75">
      <c r="A4" s="160" t="s">
        <v>872</v>
      </c>
      <c r="B4" s="156" t="s">
        <v>873</v>
      </c>
      <c r="C4" s="156" t="s">
        <v>875</v>
      </c>
      <c r="D4" s="145" t="s">
        <v>1844</v>
      </c>
      <c r="E4" s="314" t="s">
        <v>454</v>
      </c>
      <c r="F4" s="314" t="s">
        <v>454</v>
      </c>
      <c r="G4" s="314" t="s">
        <v>454</v>
      </c>
      <c r="H4" s="148"/>
      <c r="I4" s="148"/>
      <c r="J4" s="148"/>
      <c r="K4" s="149" t="s">
        <v>59</v>
      </c>
      <c r="L4" s="242">
        <v>84</v>
      </c>
      <c r="M4" s="242">
        <v>119.95</v>
      </c>
      <c r="N4" s="145">
        <v>0</v>
      </c>
      <c r="O4" s="242">
        <f t="shared" si="0"/>
        <v>125</v>
      </c>
      <c r="P4" s="197">
        <f t="shared" si="1"/>
        <v>119.95</v>
      </c>
    </row>
    <row r="5" spans="1:17" s="14" customFormat="1" ht="12.75">
      <c r="A5" s="160" t="s">
        <v>52</v>
      </c>
      <c r="B5" s="156" t="s">
        <v>643</v>
      </c>
      <c r="C5" s="156" t="s">
        <v>378</v>
      </c>
      <c r="D5" s="145" t="s">
        <v>2115</v>
      </c>
      <c r="E5" s="314" t="s">
        <v>410</v>
      </c>
      <c r="F5" s="314" t="s">
        <v>454</v>
      </c>
      <c r="G5" s="314" t="s">
        <v>454</v>
      </c>
      <c r="H5" s="148" t="s">
        <v>768</v>
      </c>
      <c r="I5" s="148"/>
      <c r="J5" s="148"/>
      <c r="K5" s="149" t="s">
        <v>10</v>
      </c>
      <c r="L5" s="242">
        <v>44</v>
      </c>
      <c r="M5" s="242">
        <v>65.95</v>
      </c>
      <c r="N5" s="145">
        <v>0.2</v>
      </c>
      <c r="O5" s="242">
        <f t="shared" si="0"/>
        <v>125</v>
      </c>
      <c r="P5" s="197">
        <f t="shared" si="1"/>
        <v>90.95</v>
      </c>
    </row>
    <row r="6" spans="1:17" ht="12.75">
      <c r="A6" s="160" t="s">
        <v>43</v>
      </c>
      <c r="B6" s="156" t="s">
        <v>1686</v>
      </c>
      <c r="C6" s="156" t="s">
        <v>97</v>
      </c>
      <c r="D6" s="145" t="s">
        <v>128</v>
      </c>
      <c r="E6" s="314" t="s">
        <v>454</v>
      </c>
      <c r="F6" s="314" t="s">
        <v>454</v>
      </c>
      <c r="G6" s="314" t="s">
        <v>454</v>
      </c>
      <c r="H6" s="148" t="s">
        <v>768</v>
      </c>
      <c r="I6" s="148" t="s">
        <v>1684</v>
      </c>
      <c r="J6" s="148"/>
      <c r="K6" s="149" t="s">
        <v>10</v>
      </c>
      <c r="L6" s="242">
        <v>85.77</v>
      </c>
      <c r="M6" s="242">
        <v>142.94999999999999</v>
      </c>
      <c r="N6" s="145">
        <v>0.3</v>
      </c>
      <c r="O6" s="242">
        <f t="shared" si="0"/>
        <v>125</v>
      </c>
      <c r="P6" s="197">
        <f t="shared" si="1"/>
        <v>180.45</v>
      </c>
    </row>
    <row r="7" spans="1:17" ht="12.75">
      <c r="A7" s="160" t="s">
        <v>49</v>
      </c>
      <c r="B7" s="156" t="s">
        <v>186</v>
      </c>
      <c r="C7" s="156" t="s">
        <v>377</v>
      </c>
      <c r="D7" s="145" t="s">
        <v>58</v>
      </c>
      <c r="E7" s="314" t="s">
        <v>454</v>
      </c>
      <c r="F7" s="314" t="s">
        <v>454</v>
      </c>
      <c r="G7" s="314" t="s">
        <v>454</v>
      </c>
      <c r="H7" s="148" t="s">
        <v>768</v>
      </c>
      <c r="I7" s="148"/>
      <c r="J7" s="148"/>
      <c r="K7" s="149" t="s">
        <v>10</v>
      </c>
      <c r="L7" s="242">
        <v>159.57</v>
      </c>
      <c r="M7" s="242">
        <v>265.95</v>
      </c>
      <c r="N7" s="145">
        <v>0.5</v>
      </c>
      <c r="O7" s="242">
        <f t="shared" si="0"/>
        <v>125</v>
      </c>
      <c r="P7" s="197">
        <f t="shared" si="1"/>
        <v>328.45</v>
      </c>
    </row>
    <row r="8" spans="1:17" ht="12.75">
      <c r="A8" s="160" t="s">
        <v>36</v>
      </c>
      <c r="B8" s="156" t="s">
        <v>1748</v>
      </c>
      <c r="C8" s="156" t="s">
        <v>1749</v>
      </c>
      <c r="D8" s="145" t="s">
        <v>2116</v>
      </c>
      <c r="E8" s="314" t="s">
        <v>454</v>
      </c>
      <c r="F8" s="314" t="s">
        <v>454</v>
      </c>
      <c r="G8" s="314" t="s">
        <v>454</v>
      </c>
      <c r="H8" s="148" t="s">
        <v>768</v>
      </c>
      <c r="I8" s="148" t="s">
        <v>1684</v>
      </c>
      <c r="J8" s="148"/>
      <c r="K8" s="149" t="s">
        <v>0</v>
      </c>
      <c r="L8" s="242">
        <v>44.97</v>
      </c>
      <c r="M8" s="242">
        <v>74.95</v>
      </c>
      <c r="N8" s="145">
        <v>0</v>
      </c>
      <c r="O8" s="242">
        <f t="shared" si="0"/>
        <v>125</v>
      </c>
      <c r="P8" s="197">
        <f t="shared" si="1"/>
        <v>74.95</v>
      </c>
    </row>
    <row r="9" spans="1:17" s="190" customFormat="1" ht="12.75">
      <c r="A9" s="160" t="s">
        <v>34</v>
      </c>
      <c r="B9" s="156" t="s">
        <v>25</v>
      </c>
      <c r="C9" s="156" t="s">
        <v>93</v>
      </c>
      <c r="D9" s="145" t="s">
        <v>128</v>
      </c>
      <c r="E9" s="314" t="s">
        <v>454</v>
      </c>
      <c r="F9" s="314" t="s">
        <v>454</v>
      </c>
      <c r="G9" s="314" t="s">
        <v>454</v>
      </c>
      <c r="H9" s="148" t="s">
        <v>768</v>
      </c>
      <c r="I9" s="148"/>
      <c r="J9" s="148"/>
      <c r="K9" s="149" t="s">
        <v>0</v>
      </c>
      <c r="L9" s="242">
        <v>80.459999999999994</v>
      </c>
      <c r="M9" s="242">
        <v>134.94999999999999</v>
      </c>
      <c r="N9" s="145">
        <v>0</v>
      </c>
      <c r="O9" s="242">
        <f t="shared" si="0"/>
        <v>125</v>
      </c>
      <c r="P9" s="197">
        <f t="shared" si="1"/>
        <v>134.94999999999999</v>
      </c>
      <c r="Q9" s="7"/>
    </row>
    <row r="10" spans="1:17" ht="12.75">
      <c r="A10" s="160" t="s">
        <v>35</v>
      </c>
      <c r="B10" s="156" t="s">
        <v>2117</v>
      </c>
      <c r="C10" s="156" t="s">
        <v>2118</v>
      </c>
      <c r="D10" s="145" t="s">
        <v>128</v>
      </c>
      <c r="E10" s="314" t="s">
        <v>454</v>
      </c>
      <c r="F10" s="314" t="s">
        <v>454</v>
      </c>
      <c r="G10" s="314" t="s">
        <v>454</v>
      </c>
      <c r="H10" s="148" t="s">
        <v>768</v>
      </c>
      <c r="I10" s="148" t="s">
        <v>1684</v>
      </c>
      <c r="J10" s="148"/>
      <c r="K10" s="149" t="s">
        <v>0</v>
      </c>
      <c r="L10" s="242">
        <v>57.17</v>
      </c>
      <c r="M10" s="242">
        <v>87.95</v>
      </c>
      <c r="N10" s="145">
        <v>0</v>
      </c>
      <c r="O10" s="242">
        <f t="shared" si="0"/>
        <v>125</v>
      </c>
      <c r="P10" s="197">
        <f t="shared" si="1"/>
        <v>87.95</v>
      </c>
    </row>
    <row r="11" spans="1:17" ht="12.75">
      <c r="A11" s="160" t="s">
        <v>113</v>
      </c>
      <c r="B11" s="156" t="s">
        <v>645</v>
      </c>
      <c r="C11" s="156" t="s">
        <v>408</v>
      </c>
      <c r="D11" s="145" t="s">
        <v>2119</v>
      </c>
      <c r="E11" s="314" t="s">
        <v>454</v>
      </c>
      <c r="F11" s="314"/>
      <c r="G11" s="314"/>
      <c r="H11" s="148" t="s">
        <v>768</v>
      </c>
      <c r="I11" s="148" t="s">
        <v>1684</v>
      </c>
      <c r="J11" s="148"/>
      <c r="K11" s="149" t="s">
        <v>0</v>
      </c>
      <c r="L11" s="242">
        <v>152.97</v>
      </c>
      <c r="M11" s="242">
        <v>254.95</v>
      </c>
      <c r="N11" s="145">
        <v>0.5</v>
      </c>
      <c r="O11" s="242">
        <f t="shared" si="0"/>
        <v>125</v>
      </c>
      <c r="P11" s="197">
        <f t="shared" si="1"/>
        <v>317.45</v>
      </c>
    </row>
    <row r="12" spans="1:17" ht="12.75">
      <c r="A12" s="160" t="s">
        <v>53</v>
      </c>
      <c r="B12" s="156" t="s">
        <v>54</v>
      </c>
      <c r="C12" s="156" t="s">
        <v>381</v>
      </c>
      <c r="D12" s="145" t="s">
        <v>185</v>
      </c>
      <c r="E12" s="314" t="s">
        <v>454</v>
      </c>
      <c r="F12" s="314" t="s">
        <v>454</v>
      </c>
      <c r="G12" s="314" t="s">
        <v>454</v>
      </c>
      <c r="H12" s="148" t="s">
        <v>768</v>
      </c>
      <c r="I12" s="148" t="s">
        <v>1684</v>
      </c>
      <c r="J12" s="148"/>
      <c r="K12" s="149" t="s">
        <v>59</v>
      </c>
      <c r="L12" s="242">
        <v>52.17</v>
      </c>
      <c r="M12" s="242">
        <v>86.95</v>
      </c>
      <c r="N12" s="145">
        <v>1</v>
      </c>
      <c r="O12" s="242">
        <f t="shared" si="0"/>
        <v>125</v>
      </c>
      <c r="P12" s="197">
        <f t="shared" si="1"/>
        <v>211.95</v>
      </c>
    </row>
    <row r="13" spans="1:17" ht="12.75">
      <c r="A13" s="160" t="s">
        <v>151</v>
      </c>
      <c r="B13" s="156" t="s">
        <v>187</v>
      </c>
      <c r="C13" s="156" t="s">
        <v>192</v>
      </c>
      <c r="D13" s="145" t="s">
        <v>182</v>
      </c>
      <c r="E13" s="314" t="s">
        <v>410</v>
      </c>
      <c r="F13" s="314" t="s">
        <v>410</v>
      </c>
      <c r="G13" s="314" t="s">
        <v>454</v>
      </c>
      <c r="H13" s="148" t="s">
        <v>768</v>
      </c>
      <c r="I13" s="148" t="s">
        <v>1684</v>
      </c>
      <c r="J13" s="148"/>
      <c r="K13" s="149" t="s">
        <v>10</v>
      </c>
      <c r="L13" s="242">
        <v>182.97</v>
      </c>
      <c r="M13" s="242">
        <v>304.95</v>
      </c>
      <c r="N13" s="145">
        <v>0.2</v>
      </c>
      <c r="O13" s="242">
        <f t="shared" si="0"/>
        <v>125</v>
      </c>
      <c r="P13" s="197">
        <f t="shared" si="1"/>
        <v>329.95</v>
      </c>
    </row>
    <row r="14" spans="1:17" ht="12.75">
      <c r="A14" s="160" t="s">
        <v>152</v>
      </c>
      <c r="B14" s="156" t="s">
        <v>188</v>
      </c>
      <c r="C14" s="156" t="s">
        <v>193</v>
      </c>
      <c r="D14" s="145" t="s">
        <v>183</v>
      </c>
      <c r="E14" s="314" t="s">
        <v>454</v>
      </c>
      <c r="F14" s="314" t="s">
        <v>454</v>
      </c>
      <c r="G14" s="314" t="s">
        <v>410</v>
      </c>
      <c r="H14" s="148" t="s">
        <v>768</v>
      </c>
      <c r="I14" s="148" t="s">
        <v>1684</v>
      </c>
      <c r="J14" s="148"/>
      <c r="K14" s="149" t="s">
        <v>10</v>
      </c>
      <c r="L14" s="242">
        <v>182.97</v>
      </c>
      <c r="M14" s="242">
        <v>304.95</v>
      </c>
      <c r="N14" s="145">
        <v>0.2</v>
      </c>
      <c r="O14" s="242">
        <f t="shared" si="0"/>
        <v>125</v>
      </c>
      <c r="P14" s="197">
        <f t="shared" si="1"/>
        <v>329.95</v>
      </c>
    </row>
    <row r="15" spans="1:17" ht="12.75">
      <c r="A15" s="160" t="s">
        <v>51</v>
      </c>
      <c r="B15" s="156" t="s">
        <v>170</v>
      </c>
      <c r="C15" s="156" t="s">
        <v>100</v>
      </c>
      <c r="D15" s="145" t="s">
        <v>128</v>
      </c>
      <c r="E15" s="314" t="s">
        <v>454</v>
      </c>
      <c r="F15" s="314" t="s">
        <v>454</v>
      </c>
      <c r="G15" s="314" t="s">
        <v>454</v>
      </c>
      <c r="H15" s="148" t="s">
        <v>768</v>
      </c>
      <c r="I15" s="148" t="s">
        <v>1684</v>
      </c>
      <c r="J15" s="148"/>
      <c r="K15" s="149" t="s">
        <v>10</v>
      </c>
      <c r="L15" s="242">
        <v>42.17</v>
      </c>
      <c r="M15" s="242">
        <v>59.95</v>
      </c>
      <c r="N15" s="145">
        <v>0.5</v>
      </c>
      <c r="O15" s="242">
        <f t="shared" si="0"/>
        <v>125</v>
      </c>
      <c r="P15" s="197">
        <f t="shared" si="1"/>
        <v>122.45</v>
      </c>
    </row>
    <row r="16" spans="1:17" s="16" customFormat="1" ht="12.75">
      <c r="A16" s="160" t="s">
        <v>1758</v>
      </c>
      <c r="B16" s="156" t="s">
        <v>1755</v>
      </c>
      <c r="C16" s="151" t="s">
        <v>2199</v>
      </c>
      <c r="D16" s="145" t="s">
        <v>1759</v>
      </c>
      <c r="E16" s="314" t="s">
        <v>454</v>
      </c>
      <c r="F16" s="314" t="s">
        <v>454</v>
      </c>
      <c r="G16" s="314" t="s">
        <v>454</v>
      </c>
      <c r="H16" s="148" t="s">
        <v>768</v>
      </c>
      <c r="I16" s="148" t="s">
        <v>1684</v>
      </c>
      <c r="J16" s="148"/>
      <c r="K16" s="149" t="s">
        <v>59</v>
      </c>
      <c r="L16" s="242">
        <v>225</v>
      </c>
      <c r="M16" s="242">
        <v>319.95</v>
      </c>
      <c r="N16" s="145">
        <v>0.7</v>
      </c>
      <c r="O16" s="242">
        <f t="shared" si="0"/>
        <v>125</v>
      </c>
      <c r="P16" s="197">
        <f t="shared" si="1"/>
        <v>407.45</v>
      </c>
    </row>
    <row r="17" spans="1:49" s="201" customFormat="1" ht="12.75">
      <c r="A17" s="170" t="s">
        <v>2187</v>
      </c>
      <c r="B17" s="171" t="s">
        <v>2213</v>
      </c>
      <c r="C17" s="209" t="s">
        <v>2201</v>
      </c>
      <c r="D17" s="182" t="s">
        <v>2188</v>
      </c>
      <c r="E17" s="180" t="s">
        <v>454</v>
      </c>
      <c r="F17" s="180" t="s">
        <v>454</v>
      </c>
      <c r="G17" s="180" t="s">
        <v>454</v>
      </c>
      <c r="H17" s="180"/>
      <c r="I17" s="180"/>
      <c r="J17" s="243"/>
      <c r="K17" s="210" t="s">
        <v>59</v>
      </c>
      <c r="L17" s="211">
        <v>489.99</v>
      </c>
      <c r="M17" s="211">
        <v>699.95</v>
      </c>
      <c r="N17" s="212">
        <v>0.7</v>
      </c>
      <c r="O17" s="206">
        <f t="shared" si="0"/>
        <v>125</v>
      </c>
      <c r="P17" s="213">
        <f t="shared" si="1"/>
        <v>787.45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16" customFormat="1" ht="12.75">
      <c r="A18" s="160" t="s">
        <v>1757</v>
      </c>
      <c r="B18" s="156" t="s">
        <v>1756</v>
      </c>
      <c r="C18" s="151" t="s">
        <v>2200</v>
      </c>
      <c r="D18" s="145" t="s">
        <v>1759</v>
      </c>
      <c r="E18" s="314" t="s">
        <v>454</v>
      </c>
      <c r="F18" s="314" t="s">
        <v>454</v>
      </c>
      <c r="G18" s="314" t="s">
        <v>454</v>
      </c>
      <c r="H18" s="148" t="s">
        <v>768</v>
      </c>
      <c r="I18" s="148" t="s">
        <v>1684</v>
      </c>
      <c r="J18" s="148"/>
      <c r="K18" s="149" t="s">
        <v>59</v>
      </c>
      <c r="L18" s="242">
        <v>598</v>
      </c>
      <c r="M18" s="242">
        <v>849.95</v>
      </c>
      <c r="N18" s="145">
        <v>0.7</v>
      </c>
      <c r="O18" s="242">
        <f t="shared" si="0"/>
        <v>125</v>
      </c>
      <c r="P18" s="197">
        <f t="shared" si="1"/>
        <v>937.45</v>
      </c>
    </row>
    <row r="19" spans="1:49" s="16" customFormat="1" ht="12.75">
      <c r="A19" s="160" t="s">
        <v>39</v>
      </c>
      <c r="B19" s="156" t="s">
        <v>27</v>
      </c>
      <c r="C19" s="156" t="s">
        <v>365</v>
      </c>
      <c r="D19" s="145" t="s">
        <v>57</v>
      </c>
      <c r="E19" s="314" t="s">
        <v>454</v>
      </c>
      <c r="F19" s="314" t="s">
        <v>454</v>
      </c>
      <c r="G19" s="314" t="s">
        <v>454</v>
      </c>
      <c r="H19" s="148"/>
      <c r="I19" s="148"/>
      <c r="J19" s="148"/>
      <c r="K19" s="149" t="s">
        <v>4</v>
      </c>
      <c r="L19" s="242">
        <v>88.87</v>
      </c>
      <c r="M19" s="242">
        <v>148.94999999999999</v>
      </c>
      <c r="N19" s="145">
        <v>0.5</v>
      </c>
      <c r="O19" s="242">
        <f t="shared" si="0"/>
        <v>125</v>
      </c>
      <c r="P19" s="197">
        <f t="shared" si="1"/>
        <v>211.45</v>
      </c>
    </row>
    <row r="20" spans="1:49" ht="12.75">
      <c r="A20" s="160" t="s">
        <v>44</v>
      </c>
      <c r="B20" s="156" t="s">
        <v>117</v>
      </c>
      <c r="C20" s="156" t="s">
        <v>98</v>
      </c>
      <c r="D20" s="145" t="s">
        <v>128</v>
      </c>
      <c r="E20" s="314" t="s">
        <v>454</v>
      </c>
      <c r="F20" s="314" t="s">
        <v>454</v>
      </c>
      <c r="G20" s="314" t="s">
        <v>454</v>
      </c>
      <c r="H20" s="148" t="s">
        <v>768</v>
      </c>
      <c r="I20" s="148"/>
      <c r="J20" s="148"/>
      <c r="K20" s="149" t="s">
        <v>10</v>
      </c>
      <c r="L20" s="242">
        <v>30.57</v>
      </c>
      <c r="M20" s="242">
        <v>50.95</v>
      </c>
      <c r="N20" s="145">
        <v>0.2</v>
      </c>
      <c r="O20" s="242">
        <f t="shared" si="0"/>
        <v>125</v>
      </c>
      <c r="P20" s="197">
        <f t="shared" si="1"/>
        <v>75.95</v>
      </c>
    </row>
    <row r="21" spans="1:49" ht="12.75">
      <c r="A21" s="160" t="s">
        <v>55</v>
      </c>
      <c r="B21" s="156" t="s">
        <v>190</v>
      </c>
      <c r="C21" s="156" t="s">
        <v>379</v>
      </c>
      <c r="D21" s="145" t="s">
        <v>23</v>
      </c>
      <c r="E21" s="314" t="s">
        <v>454</v>
      </c>
      <c r="F21" s="314" t="s">
        <v>454</v>
      </c>
      <c r="G21" s="314" t="s">
        <v>454</v>
      </c>
      <c r="H21" s="148" t="s">
        <v>768</v>
      </c>
      <c r="I21" s="148" t="s">
        <v>1684</v>
      </c>
      <c r="J21" s="148"/>
      <c r="K21" s="149" t="s">
        <v>59</v>
      </c>
      <c r="L21" s="242">
        <v>89.97</v>
      </c>
      <c r="M21" s="242">
        <v>149.94999999999999</v>
      </c>
      <c r="N21" s="145">
        <v>1.5</v>
      </c>
      <c r="O21" s="242">
        <f t="shared" si="0"/>
        <v>125</v>
      </c>
      <c r="P21" s="197">
        <f t="shared" si="1"/>
        <v>337.45</v>
      </c>
    </row>
    <row r="22" spans="1:49" ht="12.75">
      <c r="A22" s="160" t="s">
        <v>168</v>
      </c>
      <c r="B22" s="156" t="s">
        <v>191</v>
      </c>
      <c r="C22" s="156" t="s">
        <v>380</v>
      </c>
      <c r="D22" s="145" t="s">
        <v>184</v>
      </c>
      <c r="E22" s="314" t="s">
        <v>454</v>
      </c>
      <c r="F22" s="314" t="s">
        <v>454</v>
      </c>
      <c r="G22" s="314" t="s">
        <v>454</v>
      </c>
      <c r="H22" s="148" t="s">
        <v>768</v>
      </c>
      <c r="I22" s="148" t="s">
        <v>1684</v>
      </c>
      <c r="J22" s="148"/>
      <c r="K22" s="149" t="s">
        <v>59</v>
      </c>
      <c r="L22" s="242">
        <v>89.97</v>
      </c>
      <c r="M22" s="242">
        <v>149.94999999999999</v>
      </c>
      <c r="N22" s="145">
        <v>1.5</v>
      </c>
      <c r="O22" s="242">
        <f t="shared" si="0"/>
        <v>125</v>
      </c>
      <c r="P22" s="197">
        <f t="shared" si="1"/>
        <v>337.45</v>
      </c>
    </row>
    <row r="23" spans="1:49" ht="12.75">
      <c r="A23" s="160" t="s">
        <v>33</v>
      </c>
      <c r="B23" s="156" t="s">
        <v>1747</v>
      </c>
      <c r="C23" s="156" t="s">
        <v>1746</v>
      </c>
      <c r="D23" s="145" t="s">
        <v>2041</v>
      </c>
      <c r="E23" s="314" t="s">
        <v>454</v>
      </c>
      <c r="F23" s="314" t="s">
        <v>454</v>
      </c>
      <c r="G23" s="314" t="s">
        <v>454</v>
      </c>
      <c r="H23" s="148" t="s">
        <v>768</v>
      </c>
      <c r="I23" s="148"/>
      <c r="J23" s="148"/>
      <c r="K23" s="149" t="s">
        <v>0</v>
      </c>
      <c r="L23" s="242">
        <v>127.17</v>
      </c>
      <c r="M23" s="242">
        <v>211.95</v>
      </c>
      <c r="N23" s="145">
        <v>0</v>
      </c>
      <c r="O23" s="242">
        <f t="shared" si="0"/>
        <v>125</v>
      </c>
      <c r="P23" s="197">
        <f t="shared" si="1"/>
        <v>211.95</v>
      </c>
    </row>
    <row r="24" spans="1:49" ht="12.75">
      <c r="A24" s="160" t="s">
        <v>725</v>
      </c>
      <c r="B24" s="156" t="s">
        <v>189</v>
      </c>
      <c r="C24" s="156" t="s">
        <v>1631</v>
      </c>
      <c r="D24" s="145"/>
      <c r="E24" s="314" t="s">
        <v>454</v>
      </c>
      <c r="F24" s="314" t="s">
        <v>454</v>
      </c>
      <c r="G24" s="314" t="s">
        <v>454</v>
      </c>
      <c r="H24" s="148"/>
      <c r="I24" s="148"/>
      <c r="J24" s="148"/>
      <c r="K24" s="149" t="s">
        <v>0</v>
      </c>
      <c r="L24" s="242">
        <v>46.17</v>
      </c>
      <c r="M24" s="242">
        <v>76.95</v>
      </c>
      <c r="N24" s="145">
        <v>0</v>
      </c>
      <c r="O24" s="242">
        <f t="shared" si="0"/>
        <v>125</v>
      </c>
      <c r="P24" s="197">
        <f t="shared" si="1"/>
        <v>76.95</v>
      </c>
    </row>
    <row r="25" spans="1:49" s="16" customFormat="1" ht="12.75">
      <c r="A25" s="160" t="s">
        <v>597</v>
      </c>
      <c r="B25" s="156" t="s">
        <v>610</v>
      </c>
      <c r="C25" s="156" t="s">
        <v>657</v>
      </c>
      <c r="D25" s="145" t="s">
        <v>56</v>
      </c>
      <c r="E25" s="314"/>
      <c r="F25" s="314"/>
      <c r="G25" s="314" t="s">
        <v>454</v>
      </c>
      <c r="H25" s="148" t="s">
        <v>768</v>
      </c>
      <c r="I25" s="148" t="s">
        <v>1684</v>
      </c>
      <c r="J25" s="148"/>
      <c r="K25" s="149" t="s">
        <v>10</v>
      </c>
      <c r="L25" s="242">
        <v>92.97</v>
      </c>
      <c r="M25" s="242">
        <v>154.94999999999999</v>
      </c>
      <c r="N25" s="145">
        <v>0.3</v>
      </c>
      <c r="O25" s="242">
        <f t="shared" si="0"/>
        <v>125</v>
      </c>
      <c r="P25" s="197">
        <f t="shared" si="1"/>
        <v>192.45</v>
      </c>
      <c r="Q25" s="7"/>
    </row>
    <row r="26" spans="1:49" ht="12.75">
      <c r="A26" s="160" t="s">
        <v>576</v>
      </c>
      <c r="B26" s="156" t="s">
        <v>621</v>
      </c>
      <c r="C26" s="156" t="s">
        <v>658</v>
      </c>
      <c r="D26" s="145" t="s">
        <v>135</v>
      </c>
      <c r="E26" s="314" t="s">
        <v>454</v>
      </c>
      <c r="F26" s="314"/>
      <c r="G26" s="314" t="s">
        <v>454</v>
      </c>
      <c r="H26" s="148" t="s">
        <v>768</v>
      </c>
      <c r="I26" s="148" t="s">
        <v>1684</v>
      </c>
      <c r="J26" s="148"/>
      <c r="K26" s="149" t="s">
        <v>10</v>
      </c>
      <c r="L26" s="242">
        <v>203.37</v>
      </c>
      <c r="M26" s="242">
        <v>338.95</v>
      </c>
      <c r="N26" s="145">
        <v>0.6</v>
      </c>
      <c r="O26" s="242">
        <f t="shared" si="0"/>
        <v>125</v>
      </c>
      <c r="P26" s="197">
        <f t="shared" si="1"/>
        <v>413.95</v>
      </c>
    </row>
    <row r="27" spans="1:49" ht="12.75">
      <c r="A27" s="160" t="s">
        <v>577</v>
      </c>
      <c r="B27" s="156" t="s">
        <v>622</v>
      </c>
      <c r="C27" s="156" t="s">
        <v>659</v>
      </c>
      <c r="D27" s="145" t="s">
        <v>660</v>
      </c>
      <c r="E27" s="314" t="s">
        <v>410</v>
      </c>
      <c r="F27" s="314"/>
      <c r="G27" s="314" t="s">
        <v>454</v>
      </c>
      <c r="H27" s="148" t="s">
        <v>768</v>
      </c>
      <c r="I27" s="148" t="s">
        <v>1684</v>
      </c>
      <c r="J27" s="148"/>
      <c r="K27" s="149" t="s">
        <v>10</v>
      </c>
      <c r="L27" s="242">
        <v>203.37</v>
      </c>
      <c r="M27" s="242">
        <v>338.95</v>
      </c>
      <c r="N27" s="145">
        <v>0.6</v>
      </c>
      <c r="O27" s="242">
        <f t="shared" si="0"/>
        <v>125</v>
      </c>
      <c r="P27" s="197">
        <f t="shared" si="1"/>
        <v>413.95</v>
      </c>
    </row>
    <row r="28" spans="1:49" ht="12.75">
      <c r="A28" s="160" t="s">
        <v>575</v>
      </c>
      <c r="B28" s="156" t="s">
        <v>631</v>
      </c>
      <c r="C28" s="156" t="s">
        <v>661</v>
      </c>
      <c r="D28" s="145" t="s">
        <v>136</v>
      </c>
      <c r="E28" s="314" t="s">
        <v>454</v>
      </c>
      <c r="F28" s="314"/>
      <c r="G28" s="314" t="s">
        <v>454</v>
      </c>
      <c r="H28" s="148" t="s">
        <v>768</v>
      </c>
      <c r="I28" s="148" t="s">
        <v>1684</v>
      </c>
      <c r="J28" s="148"/>
      <c r="K28" s="149" t="s">
        <v>10</v>
      </c>
      <c r="L28" s="242">
        <v>203.37</v>
      </c>
      <c r="M28" s="242">
        <v>338.95</v>
      </c>
      <c r="N28" s="145">
        <v>0.6</v>
      </c>
      <c r="O28" s="242">
        <f t="shared" si="0"/>
        <v>125</v>
      </c>
      <c r="P28" s="197">
        <f t="shared" si="1"/>
        <v>413.95</v>
      </c>
    </row>
    <row r="29" spans="1:49" ht="12.75">
      <c r="A29" s="160" t="s">
        <v>574</v>
      </c>
      <c r="B29" s="156" t="s">
        <v>620</v>
      </c>
      <c r="C29" s="156" t="s">
        <v>662</v>
      </c>
      <c r="D29" s="145" t="s">
        <v>134</v>
      </c>
      <c r="E29" s="314" t="s">
        <v>454</v>
      </c>
      <c r="F29" s="314"/>
      <c r="G29" s="314" t="s">
        <v>454</v>
      </c>
      <c r="H29" s="148" t="s">
        <v>768</v>
      </c>
      <c r="I29" s="148" t="s">
        <v>1684</v>
      </c>
      <c r="J29" s="148"/>
      <c r="K29" s="149" t="s">
        <v>10</v>
      </c>
      <c r="L29" s="242">
        <v>203.37</v>
      </c>
      <c r="M29" s="242">
        <v>338.95</v>
      </c>
      <c r="N29" s="145">
        <v>0.6</v>
      </c>
      <c r="O29" s="242">
        <f t="shared" si="0"/>
        <v>125</v>
      </c>
      <c r="P29" s="197">
        <f t="shared" si="1"/>
        <v>413.95</v>
      </c>
    </row>
    <row r="30" spans="1:49" ht="12.75">
      <c r="A30" s="160" t="s">
        <v>573</v>
      </c>
      <c r="B30" s="156" t="s">
        <v>619</v>
      </c>
      <c r="C30" s="156" t="s">
        <v>846</v>
      </c>
      <c r="D30" s="145" t="s">
        <v>663</v>
      </c>
      <c r="E30" s="314" t="s">
        <v>454</v>
      </c>
      <c r="F30" s="314"/>
      <c r="G30" s="314" t="s">
        <v>454</v>
      </c>
      <c r="H30" s="148" t="s">
        <v>768</v>
      </c>
      <c r="I30" s="148" t="s">
        <v>1684</v>
      </c>
      <c r="J30" s="148"/>
      <c r="K30" s="149" t="s">
        <v>10</v>
      </c>
      <c r="L30" s="242">
        <v>203.37</v>
      </c>
      <c r="M30" s="242">
        <v>338.95</v>
      </c>
      <c r="N30" s="145">
        <v>0.6</v>
      </c>
      <c r="O30" s="242">
        <f t="shared" si="0"/>
        <v>125</v>
      </c>
      <c r="P30" s="197">
        <f t="shared" si="1"/>
        <v>413.95</v>
      </c>
    </row>
    <row r="31" spans="1:49" ht="12.75">
      <c r="A31" s="160" t="s">
        <v>1715</v>
      </c>
      <c r="B31" s="156" t="s">
        <v>1716</v>
      </c>
      <c r="C31" s="156" t="s">
        <v>1731</v>
      </c>
      <c r="D31" s="145" t="s">
        <v>1727</v>
      </c>
      <c r="E31" s="314"/>
      <c r="F31" s="314" t="s">
        <v>454</v>
      </c>
      <c r="G31" s="314"/>
      <c r="H31" s="148" t="s">
        <v>768</v>
      </c>
      <c r="I31" s="148" t="s">
        <v>1684</v>
      </c>
      <c r="J31" s="148"/>
      <c r="K31" s="149" t="s">
        <v>10</v>
      </c>
      <c r="L31" s="242">
        <v>199.17</v>
      </c>
      <c r="M31" s="242">
        <v>331.95</v>
      </c>
      <c r="N31" s="145">
        <v>0.6</v>
      </c>
      <c r="O31" s="242">
        <f t="shared" si="0"/>
        <v>125</v>
      </c>
      <c r="P31" s="197">
        <f t="shared" si="1"/>
        <v>406.95</v>
      </c>
    </row>
    <row r="32" spans="1:49" ht="12.75">
      <c r="A32" s="160" t="s">
        <v>1717</v>
      </c>
      <c r="B32" s="156" t="s">
        <v>1732</v>
      </c>
      <c r="C32" s="156" t="s">
        <v>1741</v>
      </c>
      <c r="D32" s="145" t="s">
        <v>1728</v>
      </c>
      <c r="E32" s="314" t="s">
        <v>454</v>
      </c>
      <c r="F32" s="314"/>
      <c r="G32" s="314" t="s">
        <v>454</v>
      </c>
      <c r="H32" s="148" t="s">
        <v>768</v>
      </c>
      <c r="I32" s="148" t="s">
        <v>1684</v>
      </c>
      <c r="J32" s="148"/>
      <c r="K32" s="149" t="s">
        <v>10</v>
      </c>
      <c r="L32" s="242">
        <v>199.17</v>
      </c>
      <c r="M32" s="242">
        <v>331.95</v>
      </c>
      <c r="N32" s="145">
        <v>0.6</v>
      </c>
      <c r="O32" s="242">
        <f t="shared" si="0"/>
        <v>125</v>
      </c>
      <c r="P32" s="197">
        <f t="shared" si="1"/>
        <v>406.95</v>
      </c>
    </row>
    <row r="33" spans="1:16" ht="12.75">
      <c r="A33" s="160" t="s">
        <v>578</v>
      </c>
      <c r="B33" s="156" t="s">
        <v>623</v>
      </c>
      <c r="C33" s="156" t="s">
        <v>664</v>
      </c>
      <c r="D33" s="145" t="s">
        <v>166</v>
      </c>
      <c r="E33" s="314" t="s">
        <v>410</v>
      </c>
      <c r="F33" s="314" t="s">
        <v>454</v>
      </c>
      <c r="G33" s="314" t="s">
        <v>454</v>
      </c>
      <c r="H33" s="148" t="s">
        <v>768</v>
      </c>
      <c r="I33" s="148" t="s">
        <v>1684</v>
      </c>
      <c r="J33" s="148"/>
      <c r="K33" s="149" t="s">
        <v>10</v>
      </c>
      <c r="L33" s="242">
        <v>203.37</v>
      </c>
      <c r="M33" s="242">
        <v>338.95</v>
      </c>
      <c r="N33" s="145">
        <v>0.6</v>
      </c>
      <c r="O33" s="242">
        <f t="shared" si="0"/>
        <v>125</v>
      </c>
      <c r="P33" s="197">
        <f t="shared" si="1"/>
        <v>413.95</v>
      </c>
    </row>
    <row r="34" spans="1:16" ht="12.75">
      <c r="A34" s="160" t="s">
        <v>571</v>
      </c>
      <c r="B34" s="156" t="s">
        <v>612</v>
      </c>
      <c r="C34" s="156" t="s">
        <v>665</v>
      </c>
      <c r="D34" s="145" t="s">
        <v>615</v>
      </c>
      <c r="E34" s="314" t="s">
        <v>454</v>
      </c>
      <c r="F34" s="314" t="s">
        <v>454</v>
      </c>
      <c r="G34" s="314" t="s">
        <v>454</v>
      </c>
      <c r="H34" s="148" t="s">
        <v>768</v>
      </c>
      <c r="I34" s="148" t="s">
        <v>1684</v>
      </c>
      <c r="J34" s="148"/>
      <c r="K34" s="149" t="s">
        <v>10</v>
      </c>
      <c r="L34" s="242">
        <v>190.77</v>
      </c>
      <c r="M34" s="242">
        <v>317.95</v>
      </c>
      <c r="N34" s="145">
        <v>0.5</v>
      </c>
      <c r="O34" s="242">
        <f t="shared" si="0"/>
        <v>125</v>
      </c>
      <c r="P34" s="197">
        <f t="shared" si="1"/>
        <v>380.45</v>
      </c>
    </row>
    <row r="35" spans="1:16" ht="12.75">
      <c r="A35" s="160" t="s">
        <v>572</v>
      </c>
      <c r="B35" s="156" t="s">
        <v>613</v>
      </c>
      <c r="C35" s="156" t="s">
        <v>666</v>
      </c>
      <c r="D35" s="145" t="s">
        <v>615</v>
      </c>
      <c r="E35" s="314" t="s">
        <v>454</v>
      </c>
      <c r="F35" s="314" t="s">
        <v>454</v>
      </c>
      <c r="G35" s="314" t="s">
        <v>454</v>
      </c>
      <c r="H35" s="148" t="s">
        <v>768</v>
      </c>
      <c r="I35" s="148" t="s">
        <v>1684</v>
      </c>
      <c r="J35" s="148"/>
      <c r="K35" s="149" t="s">
        <v>10</v>
      </c>
      <c r="L35" s="242">
        <v>190.77</v>
      </c>
      <c r="M35" s="242">
        <v>317.95</v>
      </c>
      <c r="N35" s="145">
        <v>0.5</v>
      </c>
      <c r="O35" s="242">
        <f t="shared" si="0"/>
        <v>125</v>
      </c>
      <c r="P35" s="197">
        <f t="shared" si="1"/>
        <v>380.45</v>
      </c>
    </row>
    <row r="36" spans="1:16" ht="12.75">
      <c r="A36" s="160" t="s">
        <v>595</v>
      </c>
      <c r="B36" s="156" t="s">
        <v>609</v>
      </c>
      <c r="C36" s="156" t="s">
        <v>667</v>
      </c>
      <c r="D36" s="145" t="s">
        <v>634</v>
      </c>
      <c r="E36" s="314" t="s">
        <v>454</v>
      </c>
      <c r="F36" s="314" t="s">
        <v>454</v>
      </c>
      <c r="G36" s="314" t="s">
        <v>454</v>
      </c>
      <c r="H36" s="148" t="s">
        <v>768</v>
      </c>
      <c r="I36" s="148" t="s">
        <v>1684</v>
      </c>
      <c r="J36" s="148"/>
      <c r="K36" s="149" t="s">
        <v>10</v>
      </c>
      <c r="L36" s="242">
        <v>85.77</v>
      </c>
      <c r="M36" s="242">
        <v>142.94999999999999</v>
      </c>
      <c r="N36" s="145">
        <v>0.4</v>
      </c>
      <c r="O36" s="242">
        <f t="shared" si="0"/>
        <v>125</v>
      </c>
      <c r="P36" s="197">
        <f t="shared" si="1"/>
        <v>192.95</v>
      </c>
    </row>
    <row r="37" spans="1:16" ht="12.75">
      <c r="A37" s="160" t="s">
        <v>175</v>
      </c>
      <c r="B37" s="156" t="s">
        <v>646</v>
      </c>
      <c r="C37" s="156" t="s">
        <v>878</v>
      </c>
      <c r="D37" s="145"/>
      <c r="E37" s="314" t="s">
        <v>454</v>
      </c>
      <c r="F37" s="314" t="s">
        <v>454</v>
      </c>
      <c r="G37" s="314" t="s">
        <v>454</v>
      </c>
      <c r="H37" s="148" t="s">
        <v>768</v>
      </c>
      <c r="I37" s="148"/>
      <c r="J37" s="148"/>
      <c r="K37" s="149" t="s">
        <v>16</v>
      </c>
      <c r="L37" s="242">
        <v>70</v>
      </c>
      <c r="M37" s="242">
        <v>99.95</v>
      </c>
      <c r="N37" s="145">
        <v>0</v>
      </c>
      <c r="O37" s="242">
        <f t="shared" si="0"/>
        <v>125</v>
      </c>
      <c r="P37" s="197">
        <f t="shared" si="1"/>
        <v>99.95</v>
      </c>
    </row>
    <row r="38" spans="1:16" ht="12.75">
      <c r="A38" s="160" t="s">
        <v>176</v>
      </c>
      <c r="B38" s="156" t="s">
        <v>647</v>
      </c>
      <c r="C38" s="156" t="s">
        <v>879</v>
      </c>
      <c r="D38" s="145"/>
      <c r="E38" s="314" t="s">
        <v>454</v>
      </c>
      <c r="F38" s="314" t="s">
        <v>454</v>
      </c>
      <c r="G38" s="314" t="s">
        <v>454</v>
      </c>
      <c r="H38" s="148" t="s">
        <v>768</v>
      </c>
      <c r="I38" s="148"/>
      <c r="J38" s="148"/>
      <c r="K38" s="149" t="s">
        <v>16</v>
      </c>
      <c r="L38" s="242">
        <v>70</v>
      </c>
      <c r="M38" s="242">
        <v>99.95</v>
      </c>
      <c r="N38" s="145">
        <v>0</v>
      </c>
      <c r="O38" s="242">
        <f t="shared" si="0"/>
        <v>125</v>
      </c>
      <c r="P38" s="197">
        <f t="shared" si="1"/>
        <v>99.95</v>
      </c>
    </row>
    <row r="39" spans="1:16" ht="12.75">
      <c r="A39" s="160" t="s">
        <v>177</v>
      </c>
      <c r="B39" s="156" t="s">
        <v>648</v>
      </c>
      <c r="C39" s="156" t="s">
        <v>880</v>
      </c>
      <c r="D39" s="145"/>
      <c r="E39" s="314" t="s">
        <v>454</v>
      </c>
      <c r="F39" s="314" t="s">
        <v>454</v>
      </c>
      <c r="G39" s="314" t="s">
        <v>454</v>
      </c>
      <c r="H39" s="148" t="s">
        <v>768</v>
      </c>
      <c r="I39" s="148"/>
      <c r="J39" s="148"/>
      <c r="K39" s="149" t="s">
        <v>16</v>
      </c>
      <c r="L39" s="242">
        <v>49</v>
      </c>
      <c r="M39" s="242">
        <v>69.95</v>
      </c>
      <c r="N39" s="145">
        <v>0</v>
      </c>
      <c r="O39" s="242">
        <f t="shared" si="0"/>
        <v>125</v>
      </c>
      <c r="P39" s="197">
        <f t="shared" si="1"/>
        <v>69.95</v>
      </c>
    </row>
    <row r="40" spans="1:16" ht="12.75">
      <c r="A40" s="160" t="s">
        <v>606</v>
      </c>
      <c r="B40" s="156" t="s">
        <v>554</v>
      </c>
      <c r="C40" s="156" t="s">
        <v>656</v>
      </c>
      <c r="D40" s="145" t="s">
        <v>2120</v>
      </c>
      <c r="E40" s="314" t="s">
        <v>454</v>
      </c>
      <c r="F40" s="314" t="s">
        <v>454</v>
      </c>
      <c r="G40" s="314" t="s">
        <v>454</v>
      </c>
      <c r="H40" s="148" t="s">
        <v>768</v>
      </c>
      <c r="I40" s="148" t="s">
        <v>1684</v>
      </c>
      <c r="J40" s="148"/>
      <c r="K40" s="149" t="s">
        <v>10</v>
      </c>
      <c r="L40" s="242">
        <v>118.53</v>
      </c>
      <c r="M40" s="242">
        <v>197.95</v>
      </c>
      <c r="N40" s="145">
        <v>0.5</v>
      </c>
      <c r="O40" s="242">
        <f t="shared" si="0"/>
        <v>125</v>
      </c>
      <c r="P40" s="197">
        <f t="shared" si="1"/>
        <v>260.45</v>
      </c>
    </row>
    <row r="41" spans="1:16" ht="12.75">
      <c r="A41" s="160" t="s">
        <v>561</v>
      </c>
      <c r="B41" s="156" t="s">
        <v>563</v>
      </c>
      <c r="C41" s="156" t="s">
        <v>566</v>
      </c>
      <c r="D41" s="147" t="s">
        <v>1829</v>
      </c>
      <c r="E41" s="314" t="s">
        <v>454</v>
      </c>
      <c r="F41" s="314" t="s">
        <v>454</v>
      </c>
      <c r="G41" s="314" t="s">
        <v>454</v>
      </c>
      <c r="H41" s="148" t="s">
        <v>768</v>
      </c>
      <c r="I41" s="148"/>
      <c r="J41" s="148"/>
      <c r="K41" s="149" t="s">
        <v>10</v>
      </c>
      <c r="L41" s="242">
        <v>14.77</v>
      </c>
      <c r="M41" s="242">
        <v>39.950000000000003</v>
      </c>
      <c r="N41" s="145">
        <v>0</v>
      </c>
      <c r="O41" s="242">
        <f t="shared" si="0"/>
        <v>125</v>
      </c>
      <c r="P41" s="197">
        <v>49.95</v>
      </c>
    </row>
    <row r="42" spans="1:16" ht="12.75">
      <c r="A42" s="160" t="s">
        <v>1046</v>
      </c>
      <c r="B42" s="156" t="s">
        <v>1047</v>
      </c>
      <c r="C42" s="156" t="s">
        <v>1050</v>
      </c>
      <c r="D42" s="147" t="s">
        <v>1829</v>
      </c>
      <c r="E42" s="314" t="s">
        <v>454</v>
      </c>
      <c r="F42" s="314" t="s">
        <v>454</v>
      </c>
      <c r="G42" s="314" t="s">
        <v>454</v>
      </c>
      <c r="H42" s="148" t="s">
        <v>768</v>
      </c>
      <c r="I42" s="148"/>
      <c r="J42" s="148"/>
      <c r="K42" s="149" t="s">
        <v>10</v>
      </c>
      <c r="L42" s="242">
        <v>18.5</v>
      </c>
      <c r="M42" s="242">
        <v>0</v>
      </c>
      <c r="N42" s="145">
        <v>0</v>
      </c>
      <c r="O42" s="242">
        <f t="shared" si="0"/>
        <v>125</v>
      </c>
      <c r="P42" s="197">
        <v>49.95</v>
      </c>
    </row>
    <row r="43" spans="1:16" ht="12.75">
      <c r="A43" s="160" t="s">
        <v>1048</v>
      </c>
      <c r="B43" s="156" t="s">
        <v>1049</v>
      </c>
      <c r="C43" s="156" t="s">
        <v>1051</v>
      </c>
      <c r="D43" s="147" t="s">
        <v>1829</v>
      </c>
      <c r="E43" s="314" t="s">
        <v>454</v>
      </c>
      <c r="F43" s="314" t="s">
        <v>454</v>
      </c>
      <c r="G43" s="314" t="s">
        <v>454</v>
      </c>
      <c r="H43" s="148" t="s">
        <v>768</v>
      </c>
      <c r="I43" s="148"/>
      <c r="J43" s="148"/>
      <c r="K43" s="149" t="s">
        <v>10</v>
      </c>
      <c r="L43" s="242">
        <v>14.25</v>
      </c>
      <c r="M43" s="242">
        <v>0</v>
      </c>
      <c r="N43" s="145">
        <v>0</v>
      </c>
      <c r="O43" s="242">
        <f t="shared" si="0"/>
        <v>125</v>
      </c>
      <c r="P43" s="197">
        <v>49.95</v>
      </c>
    </row>
    <row r="44" spans="1:16" ht="12.75">
      <c r="A44" s="160" t="s">
        <v>562</v>
      </c>
      <c r="B44" s="156" t="s">
        <v>565</v>
      </c>
      <c r="C44" s="156" t="s">
        <v>568</v>
      </c>
      <c r="D44" s="147" t="s">
        <v>1829</v>
      </c>
      <c r="E44" s="314" t="s">
        <v>454</v>
      </c>
      <c r="F44" s="314" t="s">
        <v>454</v>
      </c>
      <c r="G44" s="314" t="s">
        <v>454</v>
      </c>
      <c r="H44" s="148" t="s">
        <v>768</v>
      </c>
      <c r="I44" s="148"/>
      <c r="J44" s="148"/>
      <c r="K44" s="149" t="s">
        <v>10</v>
      </c>
      <c r="L44" s="242">
        <v>18.09</v>
      </c>
      <c r="M44" s="242">
        <v>0</v>
      </c>
      <c r="N44" s="145">
        <v>0</v>
      </c>
      <c r="O44" s="242">
        <f t="shared" si="0"/>
        <v>125</v>
      </c>
      <c r="P44" s="197">
        <f>N44*O44+M44</f>
        <v>0</v>
      </c>
    </row>
    <row r="45" spans="1:16" ht="12.75">
      <c r="A45" s="160" t="s">
        <v>560</v>
      </c>
      <c r="B45" s="156" t="s">
        <v>885</v>
      </c>
      <c r="C45" s="156" t="s">
        <v>905</v>
      </c>
      <c r="D45" s="147" t="s">
        <v>1829</v>
      </c>
      <c r="E45" s="314" t="s">
        <v>454</v>
      </c>
      <c r="F45" s="314" t="s">
        <v>454</v>
      </c>
      <c r="G45" s="314" t="s">
        <v>454</v>
      </c>
      <c r="H45" s="148" t="s">
        <v>768</v>
      </c>
      <c r="I45" s="148"/>
      <c r="J45" s="148"/>
      <c r="K45" s="149" t="s">
        <v>10</v>
      </c>
      <c r="L45" s="242">
        <v>16.45</v>
      </c>
      <c r="M45" s="242">
        <v>39.950000000000003</v>
      </c>
      <c r="N45" s="145">
        <v>0</v>
      </c>
      <c r="O45" s="242">
        <f t="shared" si="0"/>
        <v>125</v>
      </c>
      <c r="P45" s="197">
        <v>49.95</v>
      </c>
    </row>
    <row r="46" spans="1:16" s="16" customFormat="1" ht="12.75">
      <c r="A46" s="160" t="s">
        <v>570</v>
      </c>
      <c r="B46" s="156" t="s">
        <v>564</v>
      </c>
      <c r="C46" s="156" t="s">
        <v>567</v>
      </c>
      <c r="D46" s="147" t="s">
        <v>1829</v>
      </c>
      <c r="E46" s="314" t="s">
        <v>454</v>
      </c>
      <c r="F46" s="314" t="s">
        <v>454</v>
      </c>
      <c r="G46" s="314" t="s">
        <v>454</v>
      </c>
      <c r="H46" s="148" t="s">
        <v>768</v>
      </c>
      <c r="I46" s="148"/>
      <c r="J46" s="148"/>
      <c r="K46" s="149" t="s">
        <v>10</v>
      </c>
      <c r="L46" s="242">
        <v>99.95</v>
      </c>
      <c r="M46" s="242">
        <v>39.950000000000003</v>
      </c>
      <c r="N46" s="145">
        <v>0</v>
      </c>
      <c r="O46" s="242">
        <f t="shared" si="0"/>
        <v>125</v>
      </c>
      <c r="P46" s="197">
        <v>49.95</v>
      </c>
    </row>
    <row r="47" spans="1:16" s="16" customFormat="1" ht="12.75">
      <c r="A47" s="160" t="s">
        <v>598</v>
      </c>
      <c r="B47" s="156" t="s">
        <v>1640</v>
      </c>
      <c r="C47" s="156" t="s">
        <v>668</v>
      </c>
      <c r="D47" s="145" t="s">
        <v>1641</v>
      </c>
      <c r="E47" s="314"/>
      <c r="F47" s="314"/>
      <c r="G47" s="314" t="s">
        <v>454</v>
      </c>
      <c r="H47" s="148" t="s">
        <v>768</v>
      </c>
      <c r="I47" s="148" t="s">
        <v>1684</v>
      </c>
      <c r="J47" s="148"/>
      <c r="K47" s="149" t="s">
        <v>10</v>
      </c>
      <c r="L47" s="242">
        <v>352.17</v>
      </c>
      <c r="M47" s="242">
        <v>586.95000000000005</v>
      </c>
      <c r="N47" s="145">
        <v>1.5</v>
      </c>
      <c r="O47" s="242">
        <f t="shared" si="0"/>
        <v>125</v>
      </c>
      <c r="P47" s="197">
        <f t="shared" ref="P47:P110" si="2">N47*O47+M47</f>
        <v>774.45</v>
      </c>
    </row>
    <row r="48" spans="1:16" ht="12.75">
      <c r="A48" s="160" t="s">
        <v>1722</v>
      </c>
      <c r="B48" s="156" t="s">
        <v>2121</v>
      </c>
      <c r="C48" s="156" t="s">
        <v>2122</v>
      </c>
      <c r="D48" s="145" t="s">
        <v>58</v>
      </c>
      <c r="E48" s="314" t="s">
        <v>454</v>
      </c>
      <c r="F48" s="314" t="s">
        <v>454</v>
      </c>
      <c r="G48" s="314" t="s">
        <v>454</v>
      </c>
      <c r="H48" s="148"/>
      <c r="I48" s="148" t="s">
        <v>1684</v>
      </c>
      <c r="J48" s="148"/>
      <c r="K48" s="149" t="s">
        <v>10</v>
      </c>
      <c r="L48" s="242">
        <v>46.17</v>
      </c>
      <c r="M48" s="242">
        <v>76.95</v>
      </c>
      <c r="N48" s="145">
        <v>0</v>
      </c>
      <c r="O48" s="242">
        <f t="shared" si="0"/>
        <v>125</v>
      </c>
      <c r="P48" s="197">
        <f t="shared" si="2"/>
        <v>76.95</v>
      </c>
    </row>
    <row r="49" spans="1:17" ht="12.75">
      <c r="A49" s="160" t="s">
        <v>726</v>
      </c>
      <c r="B49" s="156" t="s">
        <v>886</v>
      </c>
      <c r="C49" s="156" t="s">
        <v>129</v>
      </c>
      <c r="D49" s="145" t="s">
        <v>128</v>
      </c>
      <c r="E49" s="314" t="s">
        <v>454</v>
      </c>
      <c r="F49" s="314" t="s">
        <v>454</v>
      </c>
      <c r="G49" s="314" t="s">
        <v>454</v>
      </c>
      <c r="H49" s="148" t="s">
        <v>768</v>
      </c>
      <c r="I49" s="148"/>
      <c r="J49" s="148"/>
      <c r="K49" s="149" t="s">
        <v>16</v>
      </c>
      <c r="L49" s="242">
        <v>54.21</v>
      </c>
      <c r="M49" s="242">
        <v>99.95</v>
      </c>
      <c r="N49" s="145">
        <v>0.1</v>
      </c>
      <c r="O49" s="242">
        <f t="shared" si="0"/>
        <v>125</v>
      </c>
      <c r="P49" s="197">
        <f t="shared" si="2"/>
        <v>112.45</v>
      </c>
    </row>
    <row r="50" spans="1:17" s="190" customFormat="1" ht="12.75">
      <c r="A50" s="160" t="s">
        <v>37</v>
      </c>
      <c r="B50" s="156" t="s">
        <v>171</v>
      </c>
      <c r="C50" s="156" t="s">
        <v>96</v>
      </c>
      <c r="D50" s="145" t="s">
        <v>128</v>
      </c>
      <c r="E50" s="314" t="s">
        <v>454</v>
      </c>
      <c r="F50" s="314" t="s">
        <v>454</v>
      </c>
      <c r="G50" s="314" t="s">
        <v>454</v>
      </c>
      <c r="H50" s="148" t="s">
        <v>768</v>
      </c>
      <c r="I50" s="148" t="s">
        <v>1684</v>
      </c>
      <c r="J50" s="148"/>
      <c r="K50" s="149" t="s">
        <v>0</v>
      </c>
      <c r="L50" s="242">
        <v>84.75</v>
      </c>
      <c r="M50" s="242">
        <v>113.95</v>
      </c>
      <c r="N50" s="145">
        <v>0.3</v>
      </c>
      <c r="O50" s="242">
        <f t="shared" si="0"/>
        <v>125</v>
      </c>
      <c r="P50" s="197">
        <f t="shared" si="2"/>
        <v>151.44999999999999</v>
      </c>
      <c r="Q50" s="7"/>
    </row>
    <row r="51" spans="1:17" ht="12.75">
      <c r="A51" s="160" t="s">
        <v>592</v>
      </c>
      <c r="B51" s="156" t="s">
        <v>1679</v>
      </c>
      <c r="C51" s="156" t="s">
        <v>687</v>
      </c>
      <c r="D51" s="145" t="s">
        <v>2123</v>
      </c>
      <c r="E51" s="314" t="s">
        <v>454</v>
      </c>
      <c r="F51" s="314" t="s">
        <v>454</v>
      </c>
      <c r="G51" s="314" t="s">
        <v>454</v>
      </c>
      <c r="H51" s="148" t="s">
        <v>768</v>
      </c>
      <c r="I51" s="148" t="s">
        <v>1684</v>
      </c>
      <c r="J51" s="148"/>
      <c r="K51" s="149" t="s">
        <v>10</v>
      </c>
      <c r="L51" s="242">
        <v>84.57</v>
      </c>
      <c r="M51" s="242">
        <v>140.94999999999999</v>
      </c>
      <c r="N51" s="145">
        <v>0.4</v>
      </c>
      <c r="O51" s="242">
        <f t="shared" si="0"/>
        <v>125</v>
      </c>
      <c r="P51" s="197">
        <f t="shared" si="2"/>
        <v>190.95</v>
      </c>
    </row>
    <row r="52" spans="1:17" ht="12.75">
      <c r="A52" s="160" t="s">
        <v>593</v>
      </c>
      <c r="B52" s="156" t="s">
        <v>1650</v>
      </c>
      <c r="C52" s="156" t="s">
        <v>688</v>
      </c>
      <c r="D52" s="145" t="s">
        <v>2124</v>
      </c>
      <c r="E52" s="314" t="s">
        <v>454</v>
      </c>
      <c r="F52" s="314" t="s">
        <v>454</v>
      </c>
      <c r="G52" s="314" t="s">
        <v>454</v>
      </c>
      <c r="H52" s="148" t="s">
        <v>768</v>
      </c>
      <c r="I52" s="148" t="s">
        <v>1684</v>
      </c>
      <c r="J52" s="148"/>
      <c r="K52" s="149" t="s">
        <v>10</v>
      </c>
      <c r="L52" s="242">
        <v>89.37</v>
      </c>
      <c r="M52" s="242">
        <v>148.94999999999999</v>
      </c>
      <c r="N52" s="145">
        <v>0.4</v>
      </c>
      <c r="O52" s="242">
        <f t="shared" si="0"/>
        <v>125</v>
      </c>
      <c r="P52" s="197">
        <f t="shared" si="2"/>
        <v>198.95</v>
      </c>
    </row>
    <row r="53" spans="1:17" ht="12.75">
      <c r="A53" s="160" t="s">
        <v>602</v>
      </c>
      <c r="B53" s="156" t="s">
        <v>649</v>
      </c>
      <c r="C53" s="156" t="s">
        <v>669</v>
      </c>
      <c r="D53" s="145" t="s">
        <v>614</v>
      </c>
      <c r="E53" s="314" t="s">
        <v>454</v>
      </c>
      <c r="F53" s="314" t="s">
        <v>410</v>
      </c>
      <c r="G53" s="314" t="s">
        <v>454</v>
      </c>
      <c r="H53" s="148" t="s">
        <v>768</v>
      </c>
      <c r="I53" s="148" t="s">
        <v>1684</v>
      </c>
      <c r="J53" s="148"/>
      <c r="K53" s="149" t="s">
        <v>10</v>
      </c>
      <c r="L53" s="242">
        <v>478.17</v>
      </c>
      <c r="M53" s="242">
        <v>796.95</v>
      </c>
      <c r="N53" s="145">
        <v>1</v>
      </c>
      <c r="O53" s="242">
        <f t="shared" si="0"/>
        <v>125</v>
      </c>
      <c r="P53" s="197">
        <f t="shared" si="2"/>
        <v>921.95</v>
      </c>
    </row>
    <row r="54" spans="1:17" ht="12.75">
      <c r="A54" s="160" t="s">
        <v>603</v>
      </c>
      <c r="B54" s="156" t="s">
        <v>650</v>
      </c>
      <c r="C54" s="156" t="s">
        <v>670</v>
      </c>
      <c r="D54" s="145" t="s">
        <v>614</v>
      </c>
      <c r="E54" s="314" t="s">
        <v>410</v>
      </c>
      <c r="F54" s="314" t="s">
        <v>410</v>
      </c>
      <c r="G54" s="314" t="s">
        <v>454</v>
      </c>
      <c r="H54" s="148" t="s">
        <v>768</v>
      </c>
      <c r="I54" s="148" t="s">
        <v>1684</v>
      </c>
      <c r="J54" s="148"/>
      <c r="K54" s="149" t="s">
        <v>10</v>
      </c>
      <c r="L54" s="242">
        <v>478.17</v>
      </c>
      <c r="M54" s="242">
        <v>796.95</v>
      </c>
      <c r="N54" s="145">
        <v>1</v>
      </c>
      <c r="O54" s="242">
        <f t="shared" si="0"/>
        <v>125</v>
      </c>
      <c r="P54" s="197">
        <f t="shared" si="2"/>
        <v>921.95</v>
      </c>
    </row>
    <row r="55" spans="1:17" ht="12.75">
      <c r="A55" s="160" t="s">
        <v>601</v>
      </c>
      <c r="B55" s="156" t="s">
        <v>651</v>
      </c>
      <c r="C55" s="156" t="s">
        <v>671</v>
      </c>
      <c r="D55" s="145" t="s">
        <v>614</v>
      </c>
      <c r="E55" s="314" t="s">
        <v>454</v>
      </c>
      <c r="F55" s="314" t="s">
        <v>410</v>
      </c>
      <c r="G55" s="314" t="s">
        <v>454</v>
      </c>
      <c r="H55" s="148" t="s">
        <v>768</v>
      </c>
      <c r="I55" s="148" t="s">
        <v>1684</v>
      </c>
      <c r="J55" s="148"/>
      <c r="K55" s="149" t="s">
        <v>10</v>
      </c>
      <c r="L55" s="242">
        <v>478.17</v>
      </c>
      <c r="M55" s="242">
        <v>796.95</v>
      </c>
      <c r="N55" s="145">
        <v>1</v>
      </c>
      <c r="O55" s="242">
        <f t="shared" si="0"/>
        <v>125</v>
      </c>
      <c r="P55" s="197">
        <f t="shared" si="2"/>
        <v>921.95</v>
      </c>
    </row>
    <row r="56" spans="1:17" s="190" customFormat="1" ht="12.75">
      <c r="A56" s="160" t="s">
        <v>600</v>
      </c>
      <c r="B56" s="156" t="s">
        <v>652</v>
      </c>
      <c r="C56" s="156" t="s">
        <v>672</v>
      </c>
      <c r="D56" s="145" t="s">
        <v>614</v>
      </c>
      <c r="E56" s="314" t="s">
        <v>454</v>
      </c>
      <c r="F56" s="314" t="s">
        <v>410</v>
      </c>
      <c r="G56" s="314" t="s">
        <v>454</v>
      </c>
      <c r="H56" s="148" t="s">
        <v>768</v>
      </c>
      <c r="I56" s="148" t="s">
        <v>1684</v>
      </c>
      <c r="J56" s="148"/>
      <c r="K56" s="149" t="s">
        <v>10</v>
      </c>
      <c r="L56" s="242">
        <v>478.17</v>
      </c>
      <c r="M56" s="242">
        <v>796.95</v>
      </c>
      <c r="N56" s="145">
        <v>1</v>
      </c>
      <c r="O56" s="242">
        <f t="shared" si="0"/>
        <v>125</v>
      </c>
      <c r="P56" s="197">
        <f t="shared" si="2"/>
        <v>921.95</v>
      </c>
      <c r="Q56" s="7"/>
    </row>
    <row r="57" spans="1:17" s="190" customFormat="1" ht="12.75">
      <c r="A57" s="160" t="s">
        <v>599</v>
      </c>
      <c r="B57" s="156" t="s">
        <v>653</v>
      </c>
      <c r="C57" s="156" t="s">
        <v>847</v>
      </c>
      <c r="D57" s="145" t="s">
        <v>614</v>
      </c>
      <c r="E57" s="314" t="s">
        <v>454</v>
      </c>
      <c r="F57" s="314" t="s">
        <v>410</v>
      </c>
      <c r="G57" s="314" t="s">
        <v>454</v>
      </c>
      <c r="H57" s="148" t="s">
        <v>768</v>
      </c>
      <c r="I57" s="148" t="s">
        <v>1684</v>
      </c>
      <c r="J57" s="148"/>
      <c r="K57" s="149" t="s">
        <v>10</v>
      </c>
      <c r="L57" s="242">
        <v>478.17</v>
      </c>
      <c r="M57" s="242">
        <v>796.95</v>
      </c>
      <c r="N57" s="145">
        <v>1</v>
      </c>
      <c r="O57" s="242">
        <f t="shared" si="0"/>
        <v>125</v>
      </c>
      <c r="P57" s="197">
        <f t="shared" si="2"/>
        <v>921.95</v>
      </c>
      <c r="Q57" s="7"/>
    </row>
    <row r="58" spans="1:17" s="190" customFormat="1" ht="12.75">
      <c r="A58" s="160" t="s">
        <v>604</v>
      </c>
      <c r="B58" s="156" t="s">
        <v>654</v>
      </c>
      <c r="C58" s="156" t="s">
        <v>673</v>
      </c>
      <c r="D58" s="145" t="s">
        <v>614</v>
      </c>
      <c r="E58" s="314" t="s">
        <v>454</v>
      </c>
      <c r="F58" s="314" t="s">
        <v>410</v>
      </c>
      <c r="G58" s="314" t="s">
        <v>454</v>
      </c>
      <c r="H58" s="148" t="s">
        <v>768</v>
      </c>
      <c r="I58" s="148" t="s">
        <v>1684</v>
      </c>
      <c r="J58" s="148"/>
      <c r="K58" s="149" t="s">
        <v>10</v>
      </c>
      <c r="L58" s="242">
        <v>478.17</v>
      </c>
      <c r="M58" s="242">
        <v>796.95</v>
      </c>
      <c r="N58" s="145">
        <v>1</v>
      </c>
      <c r="O58" s="242">
        <f t="shared" si="0"/>
        <v>125</v>
      </c>
      <c r="P58" s="197">
        <f t="shared" si="2"/>
        <v>921.95</v>
      </c>
      <c r="Q58" s="7"/>
    </row>
    <row r="59" spans="1:17" s="190" customFormat="1" ht="12.75">
      <c r="A59" s="160" t="s">
        <v>1723</v>
      </c>
      <c r="B59" s="156" t="s">
        <v>1724</v>
      </c>
      <c r="C59" s="156" t="s">
        <v>1733</v>
      </c>
      <c r="D59" s="145" t="s">
        <v>614</v>
      </c>
      <c r="E59" s="314" t="s">
        <v>454</v>
      </c>
      <c r="F59" s="314" t="s">
        <v>454</v>
      </c>
      <c r="G59" s="314" t="s">
        <v>454</v>
      </c>
      <c r="H59" s="148" t="s">
        <v>768</v>
      </c>
      <c r="I59" s="148" t="s">
        <v>1684</v>
      </c>
      <c r="J59" s="148"/>
      <c r="K59" s="149" t="s">
        <v>10</v>
      </c>
      <c r="L59" s="242">
        <v>455.97</v>
      </c>
      <c r="M59" s="242">
        <v>759.95</v>
      </c>
      <c r="N59" s="145">
        <v>1</v>
      </c>
      <c r="O59" s="242">
        <f t="shared" si="0"/>
        <v>125</v>
      </c>
      <c r="P59" s="197">
        <f t="shared" si="2"/>
        <v>884.95</v>
      </c>
      <c r="Q59" s="7"/>
    </row>
    <row r="60" spans="1:17" s="190" customFormat="1" ht="12.75">
      <c r="A60" s="160" t="s">
        <v>1725</v>
      </c>
      <c r="B60" s="156" t="s">
        <v>1740</v>
      </c>
      <c r="C60" s="156" t="s">
        <v>1734</v>
      </c>
      <c r="D60" s="145" t="s">
        <v>614</v>
      </c>
      <c r="E60" s="314" t="s">
        <v>454</v>
      </c>
      <c r="F60" s="314"/>
      <c r="G60" s="314" t="s">
        <v>454</v>
      </c>
      <c r="H60" s="148" t="s">
        <v>768</v>
      </c>
      <c r="I60" s="148" t="s">
        <v>1684</v>
      </c>
      <c r="J60" s="148"/>
      <c r="K60" s="149" t="s">
        <v>10</v>
      </c>
      <c r="L60" s="242">
        <v>475.77</v>
      </c>
      <c r="M60" s="242">
        <v>792.95</v>
      </c>
      <c r="N60" s="145">
        <v>1</v>
      </c>
      <c r="O60" s="242">
        <f t="shared" si="0"/>
        <v>125</v>
      </c>
      <c r="P60" s="197">
        <f t="shared" si="2"/>
        <v>917.95</v>
      </c>
      <c r="Q60" s="7"/>
    </row>
    <row r="61" spans="1:17" ht="12.75">
      <c r="A61" s="160" t="s">
        <v>605</v>
      </c>
      <c r="B61" s="156" t="s">
        <v>611</v>
      </c>
      <c r="C61" s="156" t="s">
        <v>209</v>
      </c>
      <c r="D61" s="145" t="s">
        <v>633</v>
      </c>
      <c r="E61" s="314" t="s">
        <v>454</v>
      </c>
      <c r="F61" s="314" t="s">
        <v>454</v>
      </c>
      <c r="G61" s="314" t="s">
        <v>454</v>
      </c>
      <c r="H61" s="148" t="s">
        <v>768</v>
      </c>
      <c r="I61" s="148" t="s">
        <v>1684</v>
      </c>
      <c r="J61" s="148"/>
      <c r="K61" s="149" t="s">
        <v>59</v>
      </c>
      <c r="L61" s="242">
        <v>301.77</v>
      </c>
      <c r="M61" s="242">
        <v>502.95</v>
      </c>
      <c r="N61" s="145">
        <v>0</v>
      </c>
      <c r="O61" s="242">
        <f t="shared" si="0"/>
        <v>125</v>
      </c>
      <c r="P61" s="197">
        <f t="shared" si="2"/>
        <v>502.95</v>
      </c>
    </row>
    <row r="62" spans="1:17" ht="12.75">
      <c r="A62" s="160" t="s">
        <v>589</v>
      </c>
      <c r="B62" s="156" t="s">
        <v>1604</v>
      </c>
      <c r="C62" s="156" t="s">
        <v>1605</v>
      </c>
      <c r="D62" s="145" t="s">
        <v>617</v>
      </c>
      <c r="E62" s="314" t="s">
        <v>454</v>
      </c>
      <c r="F62" s="314" t="s">
        <v>410</v>
      </c>
      <c r="G62" s="314" t="s">
        <v>454</v>
      </c>
      <c r="H62" s="148" t="s">
        <v>768</v>
      </c>
      <c r="I62" s="148" t="s">
        <v>1684</v>
      </c>
      <c r="J62" s="148"/>
      <c r="K62" s="149" t="s">
        <v>10</v>
      </c>
      <c r="L62" s="242">
        <v>267.57</v>
      </c>
      <c r="M62" s="242">
        <v>445.95</v>
      </c>
      <c r="N62" s="145">
        <v>0.6</v>
      </c>
      <c r="O62" s="242">
        <f t="shared" si="0"/>
        <v>125</v>
      </c>
      <c r="P62" s="197">
        <f t="shared" si="2"/>
        <v>520.95000000000005</v>
      </c>
    </row>
    <row r="63" spans="1:17" ht="12.75">
      <c r="A63" s="160" t="s">
        <v>590</v>
      </c>
      <c r="B63" s="156" t="s">
        <v>1602</v>
      </c>
      <c r="C63" s="156" t="s">
        <v>1603</v>
      </c>
      <c r="D63" s="145" t="s">
        <v>617</v>
      </c>
      <c r="E63" s="314" t="s">
        <v>410</v>
      </c>
      <c r="F63" s="314" t="s">
        <v>410</v>
      </c>
      <c r="G63" s="314" t="s">
        <v>454</v>
      </c>
      <c r="H63" s="148" t="s">
        <v>768</v>
      </c>
      <c r="I63" s="148" t="s">
        <v>1684</v>
      </c>
      <c r="J63" s="148"/>
      <c r="K63" s="149" t="s">
        <v>10</v>
      </c>
      <c r="L63" s="242">
        <v>267.57</v>
      </c>
      <c r="M63" s="242">
        <v>445.95</v>
      </c>
      <c r="N63" s="145">
        <v>0.6</v>
      </c>
      <c r="O63" s="242">
        <f t="shared" si="0"/>
        <v>125</v>
      </c>
      <c r="P63" s="197">
        <f t="shared" si="2"/>
        <v>520.95000000000005</v>
      </c>
    </row>
    <row r="64" spans="1:17" ht="12.75">
      <c r="A64" s="160" t="s">
        <v>588</v>
      </c>
      <c r="B64" s="156" t="s">
        <v>1600</v>
      </c>
      <c r="C64" s="156" t="s">
        <v>1601</v>
      </c>
      <c r="D64" s="145" t="s">
        <v>617</v>
      </c>
      <c r="E64" s="314" t="s">
        <v>454</v>
      </c>
      <c r="F64" s="314" t="s">
        <v>410</v>
      </c>
      <c r="G64" s="314" t="s">
        <v>454</v>
      </c>
      <c r="H64" s="148" t="s">
        <v>768</v>
      </c>
      <c r="I64" s="148" t="s">
        <v>1684</v>
      </c>
      <c r="J64" s="148"/>
      <c r="K64" s="149" t="s">
        <v>10</v>
      </c>
      <c r="L64" s="242">
        <v>267.57</v>
      </c>
      <c r="M64" s="242">
        <v>445.95</v>
      </c>
      <c r="N64" s="145">
        <v>0.6</v>
      </c>
      <c r="O64" s="242">
        <f t="shared" si="0"/>
        <v>125</v>
      </c>
      <c r="P64" s="197">
        <f t="shared" si="2"/>
        <v>520.95000000000005</v>
      </c>
    </row>
    <row r="65" spans="1:16" ht="12.75">
      <c r="A65" s="160" t="s">
        <v>587</v>
      </c>
      <c r="B65" s="156" t="s">
        <v>1598</v>
      </c>
      <c r="C65" s="156" t="s">
        <v>1599</v>
      </c>
      <c r="D65" s="145" t="s">
        <v>617</v>
      </c>
      <c r="E65" s="314" t="s">
        <v>454</v>
      </c>
      <c r="F65" s="314" t="s">
        <v>410</v>
      </c>
      <c r="G65" s="314" t="s">
        <v>454</v>
      </c>
      <c r="H65" s="148" t="s">
        <v>768</v>
      </c>
      <c r="I65" s="148" t="s">
        <v>1684</v>
      </c>
      <c r="J65" s="148"/>
      <c r="K65" s="149" t="s">
        <v>10</v>
      </c>
      <c r="L65" s="242">
        <v>267.57</v>
      </c>
      <c r="M65" s="242">
        <v>445.95</v>
      </c>
      <c r="N65" s="145">
        <v>0.6</v>
      </c>
      <c r="O65" s="242">
        <f t="shared" si="0"/>
        <v>125</v>
      </c>
      <c r="P65" s="197">
        <f t="shared" si="2"/>
        <v>520.95000000000005</v>
      </c>
    </row>
    <row r="66" spans="1:16" ht="12.75">
      <c r="A66" s="160" t="s">
        <v>586</v>
      </c>
      <c r="B66" s="156" t="s">
        <v>1596</v>
      </c>
      <c r="C66" s="156" t="s">
        <v>1597</v>
      </c>
      <c r="D66" s="145" t="s">
        <v>617</v>
      </c>
      <c r="E66" s="314" t="s">
        <v>454</v>
      </c>
      <c r="F66" s="314" t="s">
        <v>410</v>
      </c>
      <c r="G66" s="314" t="s">
        <v>454</v>
      </c>
      <c r="H66" s="148" t="s">
        <v>768</v>
      </c>
      <c r="I66" s="148" t="s">
        <v>1684</v>
      </c>
      <c r="J66" s="148"/>
      <c r="K66" s="149" t="s">
        <v>10</v>
      </c>
      <c r="L66" s="242">
        <v>267.57</v>
      </c>
      <c r="M66" s="242">
        <v>445.95</v>
      </c>
      <c r="N66" s="145">
        <v>0.6</v>
      </c>
      <c r="O66" s="242">
        <f t="shared" si="0"/>
        <v>125</v>
      </c>
      <c r="P66" s="197">
        <f t="shared" si="2"/>
        <v>520.95000000000005</v>
      </c>
    </row>
    <row r="67" spans="1:16" ht="12.75">
      <c r="A67" s="160" t="s">
        <v>591</v>
      </c>
      <c r="B67" s="156" t="s">
        <v>1606</v>
      </c>
      <c r="C67" s="156" t="s">
        <v>1607</v>
      </c>
      <c r="D67" s="145" t="s">
        <v>617</v>
      </c>
      <c r="E67" s="314" t="s">
        <v>454</v>
      </c>
      <c r="F67" s="314" t="s">
        <v>410</v>
      </c>
      <c r="G67" s="314" t="s">
        <v>454</v>
      </c>
      <c r="H67" s="148" t="s">
        <v>768</v>
      </c>
      <c r="I67" s="148" t="s">
        <v>1684</v>
      </c>
      <c r="J67" s="148"/>
      <c r="K67" s="149" t="s">
        <v>10</v>
      </c>
      <c r="L67" s="242">
        <v>267.57</v>
      </c>
      <c r="M67" s="242">
        <v>445.95</v>
      </c>
      <c r="N67" s="145">
        <v>0.6</v>
      </c>
      <c r="O67" s="242">
        <f t="shared" si="0"/>
        <v>125</v>
      </c>
      <c r="P67" s="197">
        <f t="shared" si="2"/>
        <v>520.95000000000005</v>
      </c>
    </row>
    <row r="68" spans="1:16" ht="12.75">
      <c r="A68" s="160" t="s">
        <v>1721</v>
      </c>
      <c r="B68" s="156" t="s">
        <v>1742</v>
      </c>
      <c r="C68" s="156" t="s">
        <v>1743</v>
      </c>
      <c r="D68" s="145" t="s">
        <v>617</v>
      </c>
      <c r="E68" s="314" t="s">
        <v>454</v>
      </c>
      <c r="F68" s="314" t="s">
        <v>454</v>
      </c>
      <c r="G68" s="314" t="s">
        <v>454</v>
      </c>
      <c r="H68" s="148" t="s">
        <v>768</v>
      </c>
      <c r="I68" s="148" t="s">
        <v>1684</v>
      </c>
      <c r="J68" s="148"/>
      <c r="K68" s="149" t="s">
        <v>10</v>
      </c>
      <c r="L68" s="242">
        <v>275.37</v>
      </c>
      <c r="M68" s="242">
        <v>458.95</v>
      </c>
      <c r="N68" s="145">
        <v>0.6</v>
      </c>
      <c r="O68" s="242">
        <f t="shared" si="0"/>
        <v>125</v>
      </c>
      <c r="P68" s="197">
        <f t="shared" si="2"/>
        <v>533.95000000000005</v>
      </c>
    </row>
    <row r="69" spans="1:16" ht="12.75">
      <c r="A69" s="160" t="s">
        <v>1720</v>
      </c>
      <c r="B69" s="156" t="s">
        <v>1739</v>
      </c>
      <c r="C69" s="156" t="s">
        <v>1735</v>
      </c>
      <c r="D69" s="145" t="s">
        <v>617</v>
      </c>
      <c r="E69" s="314" t="s">
        <v>454</v>
      </c>
      <c r="F69" s="314"/>
      <c r="G69" s="314" t="s">
        <v>454</v>
      </c>
      <c r="H69" s="148" t="s">
        <v>768</v>
      </c>
      <c r="I69" s="148" t="s">
        <v>1684</v>
      </c>
      <c r="J69" s="148"/>
      <c r="K69" s="149" t="s">
        <v>10</v>
      </c>
      <c r="L69" s="242">
        <v>275.37</v>
      </c>
      <c r="M69" s="242">
        <v>458.95</v>
      </c>
      <c r="N69" s="145">
        <v>0.6</v>
      </c>
      <c r="O69" s="242">
        <f t="shared" si="0"/>
        <v>125</v>
      </c>
      <c r="P69" s="197">
        <f t="shared" si="2"/>
        <v>533.95000000000005</v>
      </c>
    </row>
    <row r="70" spans="1:16" ht="12.75">
      <c r="A70" s="160" t="s">
        <v>594</v>
      </c>
      <c r="B70" s="156" t="s">
        <v>686</v>
      </c>
      <c r="C70" s="156" t="s">
        <v>674</v>
      </c>
      <c r="D70" s="145" t="s">
        <v>685</v>
      </c>
      <c r="E70" s="314" t="s">
        <v>454</v>
      </c>
      <c r="F70" s="314" t="s">
        <v>454</v>
      </c>
      <c r="G70" s="314" t="s">
        <v>454</v>
      </c>
      <c r="H70" s="148" t="s">
        <v>768</v>
      </c>
      <c r="I70" s="148" t="s">
        <v>1684</v>
      </c>
      <c r="J70" s="148"/>
      <c r="K70" s="149" t="s">
        <v>10</v>
      </c>
      <c r="L70" s="242">
        <v>188.37</v>
      </c>
      <c r="M70" s="242">
        <v>313.95</v>
      </c>
      <c r="N70" s="145">
        <v>0.4</v>
      </c>
      <c r="O70" s="242">
        <f t="shared" si="0"/>
        <v>125</v>
      </c>
      <c r="P70" s="197">
        <f t="shared" si="2"/>
        <v>363.95</v>
      </c>
    </row>
    <row r="71" spans="1:16" ht="12.75">
      <c r="A71" s="160" t="s">
        <v>596</v>
      </c>
      <c r="B71" s="156" t="s">
        <v>1751</v>
      </c>
      <c r="C71" s="156" t="s">
        <v>675</v>
      </c>
      <c r="D71" s="145" t="s">
        <v>634</v>
      </c>
      <c r="E71" s="314" t="s">
        <v>454</v>
      </c>
      <c r="F71" s="314" t="s">
        <v>454</v>
      </c>
      <c r="G71" s="314" t="s">
        <v>454</v>
      </c>
      <c r="H71" s="148" t="s">
        <v>768</v>
      </c>
      <c r="I71" s="148" t="s">
        <v>1684</v>
      </c>
      <c r="J71" s="148"/>
      <c r="K71" s="149" t="s">
        <v>10</v>
      </c>
      <c r="L71" s="242">
        <v>116.97</v>
      </c>
      <c r="M71" s="242">
        <v>194.95</v>
      </c>
      <c r="N71" s="145">
        <v>0.4</v>
      </c>
      <c r="O71" s="242">
        <f t="shared" si="0"/>
        <v>125</v>
      </c>
      <c r="P71" s="197">
        <f t="shared" si="2"/>
        <v>244.95</v>
      </c>
    </row>
    <row r="72" spans="1:16" ht="12.75">
      <c r="A72" s="160" t="s">
        <v>469</v>
      </c>
      <c r="B72" s="156" t="s">
        <v>779</v>
      </c>
      <c r="C72" s="156" t="s">
        <v>559</v>
      </c>
      <c r="D72" s="145"/>
      <c r="E72" s="314" t="s">
        <v>454</v>
      </c>
      <c r="F72" s="314" t="s">
        <v>454</v>
      </c>
      <c r="G72" s="314" t="s">
        <v>454</v>
      </c>
      <c r="H72" s="148" t="s">
        <v>768</v>
      </c>
      <c r="I72" s="148"/>
      <c r="J72" s="148"/>
      <c r="K72" s="149" t="s">
        <v>59</v>
      </c>
      <c r="L72" s="242">
        <v>60</v>
      </c>
      <c r="M72" s="242">
        <v>84.95</v>
      </c>
      <c r="N72" s="145">
        <v>0.8</v>
      </c>
      <c r="O72" s="242">
        <f t="shared" si="0"/>
        <v>125</v>
      </c>
      <c r="P72" s="197">
        <f t="shared" si="2"/>
        <v>184.95</v>
      </c>
    </row>
    <row r="73" spans="1:16" ht="25.5">
      <c r="A73" s="160" t="s">
        <v>1052</v>
      </c>
      <c r="B73" s="156" t="s">
        <v>1792</v>
      </c>
      <c r="C73" s="156" t="s">
        <v>1797</v>
      </c>
      <c r="D73" s="145" t="s">
        <v>2131</v>
      </c>
      <c r="E73" s="314" t="s">
        <v>454</v>
      </c>
      <c r="F73" s="314" t="s">
        <v>454</v>
      </c>
      <c r="G73" s="314" t="s">
        <v>454</v>
      </c>
      <c r="H73" s="148" t="s">
        <v>768</v>
      </c>
      <c r="I73" s="148"/>
      <c r="J73" s="148"/>
      <c r="K73" s="149" t="s">
        <v>59</v>
      </c>
      <c r="L73" s="242">
        <v>150</v>
      </c>
      <c r="M73" s="242">
        <v>214.95</v>
      </c>
      <c r="N73" s="145">
        <v>0.8</v>
      </c>
      <c r="O73" s="242">
        <f t="shared" si="0"/>
        <v>125</v>
      </c>
      <c r="P73" s="197">
        <f t="shared" si="2"/>
        <v>314.95</v>
      </c>
    </row>
    <row r="74" spans="1:16" ht="12.75">
      <c r="A74" s="160" t="s">
        <v>468</v>
      </c>
      <c r="B74" s="156" t="s">
        <v>1793</v>
      </c>
      <c r="C74" s="156" t="s">
        <v>1799</v>
      </c>
      <c r="D74" s="145" t="s">
        <v>2125</v>
      </c>
      <c r="E74" s="314" t="s">
        <v>454</v>
      </c>
      <c r="F74" s="314" t="s">
        <v>454</v>
      </c>
      <c r="G74" s="314" t="s">
        <v>454</v>
      </c>
      <c r="H74" s="148" t="s">
        <v>768</v>
      </c>
      <c r="I74" s="148"/>
      <c r="J74" s="148"/>
      <c r="K74" s="149" t="s">
        <v>59</v>
      </c>
      <c r="L74" s="242">
        <v>88.5</v>
      </c>
      <c r="M74" s="242">
        <v>124.95</v>
      </c>
      <c r="N74" s="145">
        <v>0.8</v>
      </c>
      <c r="O74" s="242">
        <f t="shared" si="0"/>
        <v>125</v>
      </c>
      <c r="P74" s="197">
        <f t="shared" si="2"/>
        <v>224.95</v>
      </c>
    </row>
    <row r="75" spans="1:16" ht="12.75">
      <c r="A75" s="160" t="s">
        <v>558</v>
      </c>
      <c r="B75" s="156" t="s">
        <v>1801</v>
      </c>
      <c r="C75" s="156" t="s">
        <v>1798</v>
      </c>
      <c r="D75" s="145" t="s">
        <v>2126</v>
      </c>
      <c r="E75" s="314" t="s">
        <v>454</v>
      </c>
      <c r="F75" s="314" t="s">
        <v>454</v>
      </c>
      <c r="G75" s="314" t="s">
        <v>454</v>
      </c>
      <c r="H75" s="148" t="s">
        <v>768</v>
      </c>
      <c r="I75" s="148"/>
      <c r="J75" s="148"/>
      <c r="K75" s="149" t="s">
        <v>59</v>
      </c>
      <c r="L75" s="242">
        <v>150</v>
      </c>
      <c r="M75" s="242">
        <v>214.95</v>
      </c>
      <c r="N75" s="145">
        <v>0.8</v>
      </c>
      <c r="O75" s="242">
        <f t="shared" si="0"/>
        <v>125</v>
      </c>
      <c r="P75" s="197">
        <f t="shared" si="2"/>
        <v>314.95</v>
      </c>
    </row>
    <row r="76" spans="1:16" ht="12.75">
      <c r="A76" s="160" t="s">
        <v>1084</v>
      </c>
      <c r="B76" s="156" t="s">
        <v>279</v>
      </c>
      <c r="C76" s="7" t="s">
        <v>1795</v>
      </c>
      <c r="D76" s="145" t="s">
        <v>2127</v>
      </c>
      <c r="E76" s="314" t="s">
        <v>454</v>
      </c>
      <c r="F76" s="314" t="s">
        <v>454</v>
      </c>
      <c r="G76" s="314" t="s">
        <v>454</v>
      </c>
      <c r="H76" s="148" t="s">
        <v>768</v>
      </c>
      <c r="I76" s="148" t="s">
        <v>1684</v>
      </c>
      <c r="J76" s="148"/>
      <c r="K76" s="149" t="s">
        <v>59</v>
      </c>
      <c r="L76" s="242">
        <v>260</v>
      </c>
      <c r="M76" s="242">
        <v>369.95</v>
      </c>
      <c r="N76" s="145">
        <v>0.8</v>
      </c>
      <c r="O76" s="242">
        <f t="shared" si="0"/>
        <v>125</v>
      </c>
      <c r="P76" s="197">
        <f t="shared" si="2"/>
        <v>469.95</v>
      </c>
    </row>
    <row r="77" spans="1:16" ht="25.5">
      <c r="A77" s="160" t="s">
        <v>286</v>
      </c>
      <c r="B77" s="156" t="s">
        <v>287</v>
      </c>
      <c r="C77" s="156" t="s">
        <v>292</v>
      </c>
      <c r="D77" s="145" t="s">
        <v>2128</v>
      </c>
      <c r="E77" s="314" t="s">
        <v>454</v>
      </c>
      <c r="F77" s="314" t="s">
        <v>454</v>
      </c>
      <c r="G77" s="314" t="s">
        <v>454</v>
      </c>
      <c r="H77" s="148" t="s">
        <v>768</v>
      </c>
      <c r="I77" s="148"/>
      <c r="J77" s="148"/>
      <c r="K77" s="149" t="s">
        <v>59</v>
      </c>
      <c r="L77" s="242">
        <v>230</v>
      </c>
      <c r="M77" s="242">
        <v>329.95</v>
      </c>
      <c r="N77" s="145">
        <v>0.8</v>
      </c>
      <c r="O77" s="242">
        <f t="shared" si="0"/>
        <v>125</v>
      </c>
      <c r="P77" s="197">
        <f t="shared" si="2"/>
        <v>429.95</v>
      </c>
    </row>
    <row r="78" spans="1:16" ht="12.75">
      <c r="A78" s="160" t="s">
        <v>1754</v>
      </c>
      <c r="B78" s="156" t="s">
        <v>2209</v>
      </c>
      <c r="C78" s="156" t="s">
        <v>1803</v>
      </c>
      <c r="D78" s="145"/>
      <c r="E78" s="314"/>
      <c r="F78" s="314"/>
      <c r="G78" s="314"/>
      <c r="H78" s="148"/>
      <c r="I78" s="148"/>
      <c r="J78" s="148"/>
      <c r="K78" s="149" t="s">
        <v>59</v>
      </c>
      <c r="L78" s="242">
        <v>230</v>
      </c>
      <c r="M78" s="242">
        <v>329.95</v>
      </c>
      <c r="N78" s="145">
        <v>0.8</v>
      </c>
      <c r="O78" s="242">
        <f t="shared" si="0"/>
        <v>125</v>
      </c>
      <c r="P78" s="197">
        <f t="shared" si="2"/>
        <v>429.95</v>
      </c>
    </row>
    <row r="79" spans="1:16" ht="12.75">
      <c r="A79" s="160" t="s">
        <v>283</v>
      </c>
      <c r="B79" s="156" t="s">
        <v>284</v>
      </c>
      <c r="C79" s="156" t="s">
        <v>291</v>
      </c>
      <c r="D79" s="145" t="s">
        <v>2129</v>
      </c>
      <c r="E79" s="314" t="s">
        <v>454</v>
      </c>
      <c r="F79" s="314" t="s">
        <v>454</v>
      </c>
      <c r="G79" s="314" t="s">
        <v>454</v>
      </c>
      <c r="H79" s="148" t="s">
        <v>768</v>
      </c>
      <c r="I79" s="148"/>
      <c r="J79" s="148"/>
      <c r="K79" s="149" t="s">
        <v>59</v>
      </c>
      <c r="L79" s="242">
        <v>150</v>
      </c>
      <c r="M79" s="242">
        <v>214.95</v>
      </c>
      <c r="N79" s="145">
        <v>0.8</v>
      </c>
      <c r="O79" s="242">
        <f t="shared" si="0"/>
        <v>125</v>
      </c>
      <c r="P79" s="197">
        <f t="shared" si="2"/>
        <v>314.95</v>
      </c>
    </row>
    <row r="80" spans="1:16" ht="12.75">
      <c r="A80" s="160" t="s">
        <v>299</v>
      </c>
      <c r="B80" s="156" t="s">
        <v>300</v>
      </c>
      <c r="C80" s="156" t="s">
        <v>301</v>
      </c>
      <c r="D80" s="145" t="s">
        <v>1095</v>
      </c>
      <c r="E80" s="314" t="s">
        <v>454</v>
      </c>
      <c r="F80" s="314" t="s">
        <v>454</v>
      </c>
      <c r="G80" s="314" t="s">
        <v>454</v>
      </c>
      <c r="H80" s="148" t="s">
        <v>768</v>
      </c>
      <c r="I80" s="148"/>
      <c r="J80" s="148"/>
      <c r="K80" s="149" t="s">
        <v>59</v>
      </c>
      <c r="L80" s="242">
        <v>60</v>
      </c>
      <c r="M80" s="242">
        <v>79.95</v>
      </c>
      <c r="N80" s="145">
        <v>0.8</v>
      </c>
      <c r="O80" s="242">
        <f t="shared" si="0"/>
        <v>125</v>
      </c>
      <c r="P80" s="197">
        <f t="shared" si="2"/>
        <v>179.95</v>
      </c>
    </row>
    <row r="81" spans="1:16" ht="12.75">
      <c r="A81" s="160" t="s">
        <v>1680</v>
      </c>
      <c r="B81" s="156" t="s">
        <v>1800</v>
      </c>
      <c r="C81" s="156" t="s">
        <v>1796</v>
      </c>
      <c r="D81" s="145" t="s">
        <v>1804</v>
      </c>
      <c r="E81" s="314" t="s">
        <v>454</v>
      </c>
      <c r="F81" s="314" t="s">
        <v>454</v>
      </c>
      <c r="G81" s="314" t="s">
        <v>454</v>
      </c>
      <c r="H81" s="148" t="s">
        <v>768</v>
      </c>
      <c r="I81" s="148"/>
      <c r="J81" s="148"/>
      <c r="K81" s="149" t="s">
        <v>59</v>
      </c>
      <c r="L81" s="242">
        <v>258.75</v>
      </c>
      <c r="M81" s="242">
        <v>389.95</v>
      </c>
      <c r="N81" s="145">
        <v>0.8</v>
      </c>
      <c r="O81" s="242">
        <f t="shared" si="0"/>
        <v>125</v>
      </c>
      <c r="P81" s="197">
        <f t="shared" si="2"/>
        <v>489.95</v>
      </c>
    </row>
    <row r="82" spans="1:16" ht="12.75">
      <c r="A82" s="160" t="s">
        <v>38</v>
      </c>
      <c r="B82" s="156" t="s">
        <v>388</v>
      </c>
      <c r="C82" s="156" t="s">
        <v>364</v>
      </c>
      <c r="D82" s="145" t="s">
        <v>2130</v>
      </c>
      <c r="E82" s="314" t="s">
        <v>454</v>
      </c>
      <c r="F82" s="314" t="s">
        <v>454</v>
      </c>
      <c r="G82" s="314" t="s">
        <v>454</v>
      </c>
      <c r="H82" s="148" t="s">
        <v>768</v>
      </c>
      <c r="I82" s="148" t="s">
        <v>1684</v>
      </c>
      <c r="J82" s="148"/>
      <c r="K82" s="149" t="s">
        <v>0</v>
      </c>
      <c r="L82" s="242">
        <v>109.17</v>
      </c>
      <c r="M82" s="242">
        <v>181.95</v>
      </c>
      <c r="N82" s="145">
        <v>0.5</v>
      </c>
      <c r="O82" s="242">
        <f t="shared" si="0"/>
        <v>125</v>
      </c>
      <c r="P82" s="197">
        <f t="shared" si="2"/>
        <v>244.45</v>
      </c>
    </row>
    <row r="83" spans="1:16" ht="12.75">
      <c r="A83" s="160" t="s">
        <v>18</v>
      </c>
      <c r="B83" s="156" t="s">
        <v>1687</v>
      </c>
      <c r="C83" s="156" t="s">
        <v>676</v>
      </c>
      <c r="D83" s="145" t="s">
        <v>172</v>
      </c>
      <c r="E83" s="314" t="s">
        <v>454</v>
      </c>
      <c r="F83" s="314" t="s">
        <v>454</v>
      </c>
      <c r="G83" s="314" t="s">
        <v>454</v>
      </c>
      <c r="H83" s="148" t="s">
        <v>768</v>
      </c>
      <c r="I83" s="148" t="s">
        <v>1684</v>
      </c>
      <c r="J83" s="148"/>
      <c r="K83" s="149" t="s">
        <v>0</v>
      </c>
      <c r="L83" s="242">
        <v>73.17</v>
      </c>
      <c r="M83" s="242">
        <v>121.95</v>
      </c>
      <c r="N83" s="145">
        <v>0.1</v>
      </c>
      <c r="O83" s="242">
        <f t="shared" si="0"/>
        <v>125</v>
      </c>
      <c r="P83" s="197">
        <f t="shared" si="2"/>
        <v>134.44999999999999</v>
      </c>
    </row>
    <row r="84" spans="1:16" ht="12.75">
      <c r="A84" s="160" t="s">
        <v>583</v>
      </c>
      <c r="B84" s="156" t="s">
        <v>627</v>
      </c>
      <c r="C84" s="156" t="s">
        <v>677</v>
      </c>
      <c r="D84" s="145" t="s">
        <v>616</v>
      </c>
      <c r="E84" s="314" t="s">
        <v>454</v>
      </c>
      <c r="F84" s="314" t="s">
        <v>410</v>
      </c>
      <c r="G84" s="314" t="s">
        <v>454</v>
      </c>
      <c r="H84" s="148" t="s">
        <v>768</v>
      </c>
      <c r="I84" s="148" t="s">
        <v>1684</v>
      </c>
      <c r="J84" s="148"/>
      <c r="K84" s="149" t="s">
        <v>10</v>
      </c>
      <c r="L84" s="242">
        <v>428.37</v>
      </c>
      <c r="M84" s="242">
        <v>713.95</v>
      </c>
      <c r="N84" s="145">
        <v>0.6</v>
      </c>
      <c r="O84" s="242">
        <f t="shared" si="0"/>
        <v>125</v>
      </c>
      <c r="P84" s="197">
        <f t="shared" si="2"/>
        <v>788.95</v>
      </c>
    </row>
    <row r="85" spans="1:16" ht="12.75">
      <c r="A85" s="160" t="s">
        <v>584</v>
      </c>
      <c r="B85" s="156" t="s">
        <v>628</v>
      </c>
      <c r="C85" s="156" t="s">
        <v>678</v>
      </c>
      <c r="D85" s="145" t="s">
        <v>616</v>
      </c>
      <c r="E85" s="314" t="s">
        <v>410</v>
      </c>
      <c r="F85" s="314" t="s">
        <v>410</v>
      </c>
      <c r="G85" s="314" t="s">
        <v>454</v>
      </c>
      <c r="H85" s="148" t="s">
        <v>768</v>
      </c>
      <c r="I85" s="148" t="s">
        <v>1684</v>
      </c>
      <c r="J85" s="148"/>
      <c r="K85" s="149" t="s">
        <v>10</v>
      </c>
      <c r="L85" s="242">
        <v>428.37</v>
      </c>
      <c r="M85" s="242">
        <v>713.95</v>
      </c>
      <c r="N85" s="145">
        <v>0.6</v>
      </c>
      <c r="O85" s="242">
        <f t="shared" si="0"/>
        <v>125</v>
      </c>
      <c r="P85" s="197">
        <f t="shared" si="2"/>
        <v>788.95</v>
      </c>
    </row>
    <row r="86" spans="1:16" ht="12.75">
      <c r="A86" s="160" t="s">
        <v>582</v>
      </c>
      <c r="B86" s="156" t="s">
        <v>630</v>
      </c>
      <c r="C86" s="156" t="s">
        <v>1643</v>
      </c>
      <c r="D86" s="145" t="s">
        <v>616</v>
      </c>
      <c r="E86" s="314" t="s">
        <v>454</v>
      </c>
      <c r="F86" s="314" t="s">
        <v>410</v>
      </c>
      <c r="G86" s="314" t="s">
        <v>454</v>
      </c>
      <c r="H86" s="148" t="s">
        <v>768</v>
      </c>
      <c r="I86" s="148" t="s">
        <v>1684</v>
      </c>
      <c r="J86" s="148"/>
      <c r="K86" s="149" t="s">
        <v>10</v>
      </c>
      <c r="L86" s="242">
        <v>428.37</v>
      </c>
      <c r="M86" s="242">
        <v>713.95</v>
      </c>
      <c r="N86" s="145">
        <v>0.6</v>
      </c>
      <c r="O86" s="242">
        <f t="shared" si="0"/>
        <v>125</v>
      </c>
      <c r="P86" s="197">
        <f t="shared" si="2"/>
        <v>788.95</v>
      </c>
    </row>
    <row r="87" spans="1:16" ht="12.75">
      <c r="A87" s="160" t="s">
        <v>580</v>
      </c>
      <c r="B87" s="156" t="s">
        <v>625</v>
      </c>
      <c r="C87" s="156" t="s">
        <v>679</v>
      </c>
      <c r="D87" s="145" t="s">
        <v>616</v>
      </c>
      <c r="E87" s="314" t="s">
        <v>454</v>
      </c>
      <c r="F87" s="314" t="s">
        <v>410</v>
      </c>
      <c r="G87" s="314" t="s">
        <v>454</v>
      </c>
      <c r="H87" s="148" t="s">
        <v>768</v>
      </c>
      <c r="I87" s="148" t="s">
        <v>1684</v>
      </c>
      <c r="J87" s="148"/>
      <c r="K87" s="149" t="s">
        <v>10</v>
      </c>
      <c r="L87" s="242">
        <v>428.37</v>
      </c>
      <c r="M87" s="242">
        <v>713.95</v>
      </c>
      <c r="N87" s="145">
        <v>0.6</v>
      </c>
      <c r="O87" s="242">
        <f t="shared" si="0"/>
        <v>125</v>
      </c>
      <c r="P87" s="197">
        <f t="shared" si="2"/>
        <v>788.95</v>
      </c>
    </row>
    <row r="88" spans="1:16" ht="12.75">
      <c r="A88" s="160" t="s">
        <v>581</v>
      </c>
      <c r="B88" s="156" t="s">
        <v>626</v>
      </c>
      <c r="C88" s="156" t="s">
        <v>382</v>
      </c>
      <c r="D88" s="145" t="s">
        <v>616</v>
      </c>
      <c r="E88" s="314" t="s">
        <v>454</v>
      </c>
      <c r="F88" s="314" t="s">
        <v>410</v>
      </c>
      <c r="G88" s="314" t="s">
        <v>454</v>
      </c>
      <c r="H88" s="148" t="s">
        <v>768</v>
      </c>
      <c r="I88" s="148" t="s">
        <v>1684</v>
      </c>
      <c r="J88" s="148"/>
      <c r="K88" s="149" t="s">
        <v>10</v>
      </c>
      <c r="L88" s="242">
        <v>428.37</v>
      </c>
      <c r="M88" s="242">
        <v>713.95</v>
      </c>
      <c r="N88" s="145">
        <v>0.6</v>
      </c>
      <c r="O88" s="242">
        <f t="shared" si="0"/>
        <v>125</v>
      </c>
      <c r="P88" s="197">
        <f t="shared" si="2"/>
        <v>788.95</v>
      </c>
    </row>
    <row r="89" spans="1:16" ht="12.75">
      <c r="A89" s="160" t="s">
        <v>579</v>
      </c>
      <c r="B89" s="156" t="s">
        <v>624</v>
      </c>
      <c r="C89" s="156" t="s">
        <v>848</v>
      </c>
      <c r="D89" s="145" t="s">
        <v>616</v>
      </c>
      <c r="E89" s="314" t="s">
        <v>454</v>
      </c>
      <c r="F89" s="314" t="s">
        <v>410</v>
      </c>
      <c r="G89" s="314" t="s">
        <v>454</v>
      </c>
      <c r="H89" s="148" t="s">
        <v>768</v>
      </c>
      <c r="I89" s="148" t="s">
        <v>1684</v>
      </c>
      <c r="J89" s="148"/>
      <c r="K89" s="149" t="s">
        <v>10</v>
      </c>
      <c r="L89" s="242">
        <v>428.37</v>
      </c>
      <c r="M89" s="242">
        <v>713.95</v>
      </c>
      <c r="N89" s="145">
        <v>0.6</v>
      </c>
      <c r="O89" s="242">
        <f t="shared" si="0"/>
        <v>125</v>
      </c>
      <c r="P89" s="197">
        <f t="shared" si="2"/>
        <v>788.95</v>
      </c>
    </row>
    <row r="90" spans="1:16" s="16" customFormat="1" ht="12.75">
      <c r="A90" s="160" t="s">
        <v>1718</v>
      </c>
      <c r="B90" s="156" t="s">
        <v>1744</v>
      </c>
      <c r="C90" s="156" t="s">
        <v>1745</v>
      </c>
      <c r="D90" s="145" t="s">
        <v>616</v>
      </c>
      <c r="E90" s="314" t="s">
        <v>454</v>
      </c>
      <c r="F90" s="314" t="s">
        <v>454</v>
      </c>
      <c r="G90" s="314" t="s">
        <v>454</v>
      </c>
      <c r="H90" s="148" t="s">
        <v>768</v>
      </c>
      <c r="I90" s="148" t="s">
        <v>1684</v>
      </c>
      <c r="J90" s="148"/>
      <c r="K90" s="149" t="s">
        <v>10</v>
      </c>
      <c r="L90" s="242">
        <v>423.57</v>
      </c>
      <c r="M90" s="242">
        <v>705.95</v>
      </c>
      <c r="N90" s="145">
        <v>0.6</v>
      </c>
      <c r="O90" s="242">
        <f t="shared" si="0"/>
        <v>125</v>
      </c>
      <c r="P90" s="197">
        <f t="shared" si="2"/>
        <v>780.95</v>
      </c>
    </row>
    <row r="91" spans="1:16" s="16" customFormat="1" ht="12.75">
      <c r="A91" s="160" t="s">
        <v>1719</v>
      </c>
      <c r="B91" s="156" t="s">
        <v>1738</v>
      </c>
      <c r="C91" s="156" t="s">
        <v>1730</v>
      </c>
      <c r="D91" s="145" t="s">
        <v>616</v>
      </c>
      <c r="E91" s="314" t="s">
        <v>454</v>
      </c>
      <c r="F91" s="314"/>
      <c r="G91" s="314" t="s">
        <v>454</v>
      </c>
      <c r="H91" s="148" t="s">
        <v>768</v>
      </c>
      <c r="I91" s="148" t="s">
        <v>1684</v>
      </c>
      <c r="J91" s="148"/>
      <c r="K91" s="149" t="s">
        <v>10</v>
      </c>
      <c r="L91" s="242">
        <v>423.57</v>
      </c>
      <c r="M91" s="242">
        <v>705.95</v>
      </c>
      <c r="N91" s="145">
        <v>0.6</v>
      </c>
      <c r="O91" s="242">
        <f t="shared" si="0"/>
        <v>125</v>
      </c>
      <c r="P91" s="197">
        <f t="shared" si="2"/>
        <v>780.95</v>
      </c>
    </row>
    <row r="92" spans="1:16" ht="12.75">
      <c r="A92" s="160" t="s">
        <v>585</v>
      </c>
      <c r="B92" s="156" t="s">
        <v>629</v>
      </c>
      <c r="C92" s="156" t="s">
        <v>680</v>
      </c>
      <c r="D92" s="145" t="s">
        <v>616</v>
      </c>
      <c r="E92" s="314" t="s">
        <v>410</v>
      </c>
      <c r="F92" s="314" t="s">
        <v>454</v>
      </c>
      <c r="G92" s="314" t="s">
        <v>454</v>
      </c>
      <c r="H92" s="148" t="s">
        <v>768</v>
      </c>
      <c r="I92" s="148" t="s">
        <v>1684</v>
      </c>
      <c r="J92" s="148"/>
      <c r="K92" s="149" t="s">
        <v>10</v>
      </c>
      <c r="L92" s="242">
        <v>428.37</v>
      </c>
      <c r="M92" s="242">
        <v>713.95</v>
      </c>
      <c r="N92" s="145">
        <v>0.6</v>
      </c>
      <c r="O92" s="242">
        <f t="shared" si="0"/>
        <v>125</v>
      </c>
      <c r="P92" s="197">
        <f t="shared" si="2"/>
        <v>788.95</v>
      </c>
    </row>
    <row r="93" spans="1:16" ht="12.75">
      <c r="A93" s="160" t="s">
        <v>46</v>
      </c>
      <c r="B93" s="156" t="s">
        <v>373</v>
      </c>
      <c r="C93" s="156" t="s">
        <v>374</v>
      </c>
      <c r="D93" s="145" t="s">
        <v>1973</v>
      </c>
      <c r="E93" s="314" t="s">
        <v>454</v>
      </c>
      <c r="F93" s="314" t="s">
        <v>410</v>
      </c>
      <c r="G93" s="314" t="s">
        <v>454</v>
      </c>
      <c r="H93" s="148" t="s">
        <v>768</v>
      </c>
      <c r="I93" s="148" t="s">
        <v>1684</v>
      </c>
      <c r="J93" s="148"/>
      <c r="K93" s="149" t="s">
        <v>10</v>
      </c>
      <c r="L93" s="242">
        <v>82.17</v>
      </c>
      <c r="M93" s="242">
        <v>136.94999999999999</v>
      </c>
      <c r="N93" s="145">
        <v>0.6</v>
      </c>
      <c r="O93" s="242">
        <f t="shared" si="0"/>
        <v>125</v>
      </c>
      <c r="P93" s="197">
        <f t="shared" si="2"/>
        <v>211.95</v>
      </c>
    </row>
    <row r="94" spans="1:16" ht="12.75">
      <c r="A94" s="160" t="s">
        <v>47</v>
      </c>
      <c r="B94" s="156" t="s">
        <v>371</v>
      </c>
      <c r="C94" s="156" t="s">
        <v>372</v>
      </c>
      <c r="D94" s="145" t="s">
        <v>1974</v>
      </c>
      <c r="E94" s="314" t="s">
        <v>454</v>
      </c>
      <c r="F94" s="314" t="s">
        <v>410</v>
      </c>
      <c r="G94" s="314" t="s">
        <v>454</v>
      </c>
      <c r="H94" s="148" t="s">
        <v>768</v>
      </c>
      <c r="I94" s="148" t="s">
        <v>1684</v>
      </c>
      <c r="J94" s="148"/>
      <c r="K94" s="149" t="s">
        <v>10</v>
      </c>
      <c r="L94" s="242">
        <v>82.17</v>
      </c>
      <c r="M94" s="242">
        <v>136.94999999999999</v>
      </c>
      <c r="N94" s="145">
        <v>0.6</v>
      </c>
      <c r="O94" s="242">
        <f t="shared" si="0"/>
        <v>125</v>
      </c>
      <c r="P94" s="197">
        <f t="shared" si="2"/>
        <v>211.95</v>
      </c>
    </row>
    <row r="95" spans="1:16" ht="12.75">
      <c r="A95" s="160" t="s">
        <v>608</v>
      </c>
      <c r="B95" s="156" t="s">
        <v>639</v>
      </c>
      <c r="C95" s="156" t="s">
        <v>681</v>
      </c>
      <c r="D95" s="145" t="s">
        <v>1975</v>
      </c>
      <c r="E95" s="314" t="s">
        <v>410</v>
      </c>
      <c r="F95" s="314" t="s">
        <v>410</v>
      </c>
      <c r="G95" s="314" t="s">
        <v>454</v>
      </c>
      <c r="H95" s="148" t="s">
        <v>768</v>
      </c>
      <c r="I95" s="148" t="s">
        <v>1684</v>
      </c>
      <c r="J95" s="148"/>
      <c r="K95" s="149" t="s">
        <v>10</v>
      </c>
      <c r="L95" s="242">
        <v>88.17</v>
      </c>
      <c r="M95" s="242">
        <v>146.94999999999999</v>
      </c>
      <c r="N95" s="145">
        <v>0.6</v>
      </c>
      <c r="O95" s="242">
        <f t="shared" si="0"/>
        <v>125</v>
      </c>
      <c r="P95" s="197">
        <f t="shared" si="2"/>
        <v>221.95</v>
      </c>
    </row>
    <row r="96" spans="1:16" ht="12.75">
      <c r="A96" s="160" t="s">
        <v>45</v>
      </c>
      <c r="B96" s="156" t="s">
        <v>618</v>
      </c>
      <c r="C96" s="156" t="s">
        <v>682</v>
      </c>
      <c r="D96" s="145" t="s">
        <v>1976</v>
      </c>
      <c r="E96" s="314" t="s">
        <v>454</v>
      </c>
      <c r="F96" s="314" t="s">
        <v>410</v>
      </c>
      <c r="G96" s="314" t="s">
        <v>454</v>
      </c>
      <c r="H96" s="148" t="s">
        <v>768</v>
      </c>
      <c r="I96" s="148" t="s">
        <v>1684</v>
      </c>
      <c r="J96" s="148"/>
      <c r="K96" s="149" t="s">
        <v>10</v>
      </c>
      <c r="L96" s="242">
        <v>82.17</v>
      </c>
      <c r="M96" s="242">
        <v>136.94999999999999</v>
      </c>
      <c r="N96" s="145">
        <v>0.6</v>
      </c>
      <c r="O96" s="242">
        <f t="shared" si="0"/>
        <v>125</v>
      </c>
      <c r="P96" s="197">
        <f t="shared" si="2"/>
        <v>211.95</v>
      </c>
    </row>
    <row r="97" spans="1:16" ht="12.75">
      <c r="A97" s="160" t="s">
        <v>48</v>
      </c>
      <c r="B97" s="156" t="s">
        <v>369</v>
      </c>
      <c r="C97" s="156" t="s">
        <v>370</v>
      </c>
      <c r="D97" s="145" t="s">
        <v>1977</v>
      </c>
      <c r="E97" s="314" t="s">
        <v>454</v>
      </c>
      <c r="F97" s="314" t="s">
        <v>410</v>
      </c>
      <c r="G97" s="314" t="s">
        <v>454</v>
      </c>
      <c r="H97" s="148" t="s">
        <v>768</v>
      </c>
      <c r="I97" s="148" t="s">
        <v>1684</v>
      </c>
      <c r="J97" s="148"/>
      <c r="K97" s="149" t="s">
        <v>10</v>
      </c>
      <c r="L97" s="242">
        <v>88.17</v>
      </c>
      <c r="M97" s="242">
        <v>146.94999999999999</v>
      </c>
      <c r="N97" s="145">
        <v>0.6</v>
      </c>
      <c r="O97" s="242">
        <f t="shared" si="0"/>
        <v>125</v>
      </c>
      <c r="P97" s="197">
        <f t="shared" si="2"/>
        <v>221.95</v>
      </c>
    </row>
    <row r="98" spans="1:16" ht="12.75">
      <c r="A98" s="160" t="s">
        <v>607</v>
      </c>
      <c r="B98" s="156" t="s">
        <v>638</v>
      </c>
      <c r="C98" s="156" t="s">
        <v>849</v>
      </c>
      <c r="D98" s="145" t="s">
        <v>1978</v>
      </c>
      <c r="E98" s="314" t="s">
        <v>454</v>
      </c>
      <c r="F98" s="314" t="s">
        <v>410</v>
      </c>
      <c r="G98" s="314" t="s">
        <v>454</v>
      </c>
      <c r="H98" s="148" t="s">
        <v>768</v>
      </c>
      <c r="I98" s="148" t="s">
        <v>1684</v>
      </c>
      <c r="J98" s="148"/>
      <c r="K98" s="149" t="s">
        <v>10</v>
      </c>
      <c r="L98" s="242">
        <v>88.17</v>
      </c>
      <c r="M98" s="242">
        <v>146.94999999999999</v>
      </c>
      <c r="N98" s="145">
        <v>0.6</v>
      </c>
      <c r="O98" s="242">
        <f t="shared" si="0"/>
        <v>125</v>
      </c>
      <c r="P98" s="197">
        <f t="shared" si="2"/>
        <v>221.95</v>
      </c>
    </row>
    <row r="99" spans="1:16" ht="12.75">
      <c r="A99" s="160" t="s">
        <v>139</v>
      </c>
      <c r="B99" s="156" t="s">
        <v>375</v>
      </c>
      <c r="C99" s="156" t="s">
        <v>376</v>
      </c>
      <c r="D99" s="145" t="s">
        <v>1979</v>
      </c>
      <c r="E99" s="314" t="s">
        <v>454</v>
      </c>
      <c r="F99" s="314" t="s">
        <v>410</v>
      </c>
      <c r="G99" s="314" t="s">
        <v>454</v>
      </c>
      <c r="H99" s="148" t="s">
        <v>768</v>
      </c>
      <c r="I99" s="148" t="s">
        <v>1684</v>
      </c>
      <c r="J99" s="148"/>
      <c r="K99" s="149" t="s">
        <v>10</v>
      </c>
      <c r="L99" s="242">
        <v>88.17</v>
      </c>
      <c r="M99" s="242">
        <v>146.94999999999999</v>
      </c>
      <c r="N99" s="145">
        <v>0.6</v>
      </c>
      <c r="O99" s="242">
        <f t="shared" si="0"/>
        <v>125</v>
      </c>
      <c r="P99" s="197">
        <f t="shared" si="2"/>
        <v>221.95</v>
      </c>
    </row>
    <row r="100" spans="1:16" ht="12.75">
      <c r="A100" s="160" t="s">
        <v>50</v>
      </c>
      <c r="B100" s="156" t="s">
        <v>31</v>
      </c>
      <c r="C100" s="156" t="s">
        <v>99</v>
      </c>
      <c r="D100" s="145" t="s">
        <v>128</v>
      </c>
      <c r="E100" s="314" t="s">
        <v>454</v>
      </c>
      <c r="F100" s="314" t="s">
        <v>454</v>
      </c>
      <c r="G100" s="314" t="s">
        <v>454</v>
      </c>
      <c r="H100" s="148" t="s">
        <v>768</v>
      </c>
      <c r="I100" s="148" t="s">
        <v>1684</v>
      </c>
      <c r="J100" s="148"/>
      <c r="K100" s="149" t="s">
        <v>10</v>
      </c>
      <c r="L100" s="242">
        <v>48.57</v>
      </c>
      <c r="M100" s="242">
        <v>80.95</v>
      </c>
      <c r="N100" s="145">
        <v>0.5</v>
      </c>
      <c r="O100" s="242">
        <f t="shared" si="0"/>
        <v>125</v>
      </c>
      <c r="P100" s="197">
        <f t="shared" si="2"/>
        <v>143.44999999999999</v>
      </c>
    </row>
    <row r="101" spans="1:16" ht="12.75">
      <c r="A101" s="160" t="s">
        <v>169</v>
      </c>
      <c r="B101" s="156" t="s">
        <v>683</v>
      </c>
      <c r="C101" s="156" t="s">
        <v>689</v>
      </c>
      <c r="D101" s="145"/>
      <c r="E101" s="314" t="s">
        <v>454</v>
      </c>
      <c r="F101" s="314" t="s">
        <v>454</v>
      </c>
      <c r="G101" s="314" t="s">
        <v>454</v>
      </c>
      <c r="H101" s="148" t="s">
        <v>768</v>
      </c>
      <c r="I101" s="148" t="s">
        <v>1684</v>
      </c>
      <c r="J101" s="148"/>
      <c r="K101" s="149" t="s">
        <v>59</v>
      </c>
      <c r="L101" s="242">
        <v>331.77</v>
      </c>
      <c r="M101" s="242">
        <v>552.95000000000005</v>
      </c>
      <c r="N101" s="145">
        <v>0.3</v>
      </c>
      <c r="O101" s="242">
        <f t="shared" si="0"/>
        <v>125</v>
      </c>
      <c r="P101" s="197">
        <f t="shared" si="2"/>
        <v>590.45000000000005</v>
      </c>
    </row>
    <row r="102" spans="1:16" ht="12.75">
      <c r="A102" s="160" t="s">
        <v>427</v>
      </c>
      <c r="B102" s="156" t="s">
        <v>895</v>
      </c>
      <c r="C102" s="156" t="s">
        <v>1003</v>
      </c>
      <c r="D102" s="145" t="s">
        <v>429</v>
      </c>
      <c r="E102" s="314" t="s">
        <v>454</v>
      </c>
      <c r="F102" s="314" t="s">
        <v>454</v>
      </c>
      <c r="G102" s="314" t="s">
        <v>454</v>
      </c>
      <c r="H102" s="148" t="s">
        <v>768</v>
      </c>
      <c r="I102" s="148"/>
      <c r="J102" s="148"/>
      <c r="K102" s="149" t="s">
        <v>16</v>
      </c>
      <c r="L102" s="242">
        <v>45.12</v>
      </c>
      <c r="M102" s="242">
        <v>59.95</v>
      </c>
      <c r="N102" s="145">
        <v>0</v>
      </c>
      <c r="O102" s="242">
        <f t="shared" si="0"/>
        <v>125</v>
      </c>
      <c r="P102" s="197">
        <f t="shared" si="2"/>
        <v>59.95</v>
      </c>
    </row>
    <row r="103" spans="1:16" ht="12.75">
      <c r="A103" s="160" t="s">
        <v>636</v>
      </c>
      <c r="B103" s="156" t="s">
        <v>1652</v>
      </c>
      <c r="C103" s="156" t="s">
        <v>684</v>
      </c>
      <c r="D103" s="145" t="s">
        <v>660</v>
      </c>
      <c r="E103" s="314" t="s">
        <v>410</v>
      </c>
      <c r="F103" s="314" t="s">
        <v>410</v>
      </c>
      <c r="G103" s="314" t="s">
        <v>454</v>
      </c>
      <c r="H103" s="148" t="s">
        <v>768</v>
      </c>
      <c r="I103" s="148"/>
      <c r="J103" s="148"/>
      <c r="K103" s="149" t="s">
        <v>4</v>
      </c>
      <c r="L103" s="242">
        <v>15.57</v>
      </c>
      <c r="M103" s="242">
        <v>23.95</v>
      </c>
      <c r="N103" s="145">
        <v>0</v>
      </c>
      <c r="O103" s="242">
        <f t="shared" si="0"/>
        <v>125</v>
      </c>
      <c r="P103" s="197">
        <f t="shared" si="2"/>
        <v>23.95</v>
      </c>
    </row>
    <row r="104" spans="1:16" ht="12.75">
      <c r="A104" s="160" t="s">
        <v>1809</v>
      </c>
      <c r="B104" s="156" t="s">
        <v>1726</v>
      </c>
      <c r="C104" s="156" t="s">
        <v>1736</v>
      </c>
      <c r="D104" s="145" t="s">
        <v>1727</v>
      </c>
      <c r="E104" s="314" t="s">
        <v>454</v>
      </c>
      <c r="F104" s="314" t="s">
        <v>454</v>
      </c>
      <c r="G104" s="314" t="s">
        <v>454</v>
      </c>
      <c r="H104" s="148" t="s">
        <v>768</v>
      </c>
      <c r="I104" s="148"/>
      <c r="J104" s="148"/>
      <c r="K104" s="149" t="s">
        <v>4</v>
      </c>
      <c r="L104" s="242">
        <v>15.57</v>
      </c>
      <c r="M104" s="242">
        <v>23.95</v>
      </c>
      <c r="N104" s="145">
        <v>0</v>
      </c>
      <c r="O104" s="242">
        <f t="shared" si="0"/>
        <v>125</v>
      </c>
      <c r="P104" s="197">
        <f t="shared" si="2"/>
        <v>23.95</v>
      </c>
    </row>
    <row r="105" spans="1:16" ht="12.75">
      <c r="A105" s="160" t="s">
        <v>1810</v>
      </c>
      <c r="B105" s="156" t="s">
        <v>1737</v>
      </c>
      <c r="C105" s="156" t="s">
        <v>1923</v>
      </c>
      <c r="D105" s="145" t="s">
        <v>1728</v>
      </c>
      <c r="E105" s="314" t="s">
        <v>454</v>
      </c>
      <c r="F105" s="314" t="s">
        <v>410</v>
      </c>
      <c r="G105" s="314" t="s">
        <v>454</v>
      </c>
      <c r="H105" s="148" t="s">
        <v>768</v>
      </c>
      <c r="I105" s="148"/>
      <c r="J105" s="148"/>
      <c r="K105" s="149" t="s">
        <v>4</v>
      </c>
      <c r="L105" s="242">
        <v>15.57</v>
      </c>
      <c r="M105" s="242">
        <v>23.95</v>
      </c>
      <c r="N105" s="145">
        <v>0</v>
      </c>
      <c r="O105" s="242">
        <f t="shared" si="0"/>
        <v>125</v>
      </c>
      <c r="P105" s="197">
        <f t="shared" si="2"/>
        <v>23.95</v>
      </c>
    </row>
    <row r="106" spans="1:16" ht="12.75">
      <c r="A106" s="160" t="s">
        <v>124</v>
      </c>
      <c r="B106" s="156" t="s">
        <v>1655</v>
      </c>
      <c r="C106" s="156" t="s">
        <v>368</v>
      </c>
      <c r="D106" s="145" t="s">
        <v>166</v>
      </c>
      <c r="E106" s="314" t="s">
        <v>410</v>
      </c>
      <c r="F106" s="314" t="s">
        <v>410</v>
      </c>
      <c r="G106" s="314" t="s">
        <v>454</v>
      </c>
      <c r="H106" s="148" t="s">
        <v>768</v>
      </c>
      <c r="I106" s="148"/>
      <c r="J106" s="148"/>
      <c r="K106" s="149" t="s">
        <v>4</v>
      </c>
      <c r="L106" s="242">
        <v>15.57</v>
      </c>
      <c r="M106" s="242">
        <v>23.95</v>
      </c>
      <c r="N106" s="145">
        <v>0</v>
      </c>
      <c r="O106" s="242">
        <f t="shared" si="0"/>
        <v>125</v>
      </c>
      <c r="P106" s="197">
        <f t="shared" si="2"/>
        <v>23.95</v>
      </c>
    </row>
    <row r="107" spans="1:16" ht="12.75">
      <c r="A107" s="160" t="s">
        <v>635</v>
      </c>
      <c r="B107" s="156" t="s">
        <v>1649</v>
      </c>
      <c r="C107" s="156" t="s">
        <v>845</v>
      </c>
      <c r="D107" s="145" t="s">
        <v>663</v>
      </c>
      <c r="E107" s="314" t="s">
        <v>454</v>
      </c>
      <c r="F107" s="314" t="s">
        <v>410</v>
      </c>
      <c r="G107" s="314" t="s">
        <v>454</v>
      </c>
      <c r="H107" s="148" t="s">
        <v>768</v>
      </c>
      <c r="I107" s="148"/>
      <c r="J107" s="148"/>
      <c r="K107" s="149" t="s">
        <v>4</v>
      </c>
      <c r="L107" s="242">
        <v>15.57</v>
      </c>
      <c r="M107" s="242">
        <v>23.95</v>
      </c>
      <c r="N107" s="145">
        <v>0</v>
      </c>
      <c r="O107" s="242">
        <f t="shared" si="0"/>
        <v>125</v>
      </c>
      <c r="P107" s="197">
        <f t="shared" si="2"/>
        <v>23.95</v>
      </c>
    </row>
    <row r="108" spans="1:16" ht="12.75">
      <c r="A108" s="160" t="s">
        <v>41</v>
      </c>
      <c r="B108" s="156" t="s">
        <v>1651</v>
      </c>
      <c r="C108" s="156" t="s">
        <v>367</v>
      </c>
      <c r="D108" s="145" t="s">
        <v>135</v>
      </c>
      <c r="E108" s="314" t="s">
        <v>454</v>
      </c>
      <c r="F108" s="314" t="s">
        <v>410</v>
      </c>
      <c r="G108" s="314" t="s">
        <v>454</v>
      </c>
      <c r="H108" s="148" t="s">
        <v>768</v>
      </c>
      <c r="I108" s="148"/>
      <c r="J108" s="148"/>
      <c r="K108" s="149" t="s">
        <v>4</v>
      </c>
      <c r="L108" s="242">
        <v>15.57</v>
      </c>
      <c r="M108" s="242">
        <v>23.95</v>
      </c>
      <c r="N108" s="145">
        <v>0</v>
      </c>
      <c r="O108" s="242">
        <f t="shared" si="0"/>
        <v>125</v>
      </c>
      <c r="P108" s="197">
        <f t="shared" si="2"/>
        <v>23.95</v>
      </c>
    </row>
    <row r="109" spans="1:16" ht="12.75">
      <c r="A109" s="160" t="s">
        <v>42</v>
      </c>
      <c r="B109" s="156" t="s">
        <v>1653</v>
      </c>
      <c r="C109" s="156" t="s">
        <v>637</v>
      </c>
      <c r="D109" s="145" t="s">
        <v>136</v>
      </c>
      <c r="E109" s="314" t="s">
        <v>454</v>
      </c>
      <c r="F109" s="314" t="s">
        <v>410</v>
      </c>
      <c r="G109" s="314" t="s">
        <v>454</v>
      </c>
      <c r="H109" s="148" t="s">
        <v>768</v>
      </c>
      <c r="I109" s="148"/>
      <c r="J109" s="148"/>
      <c r="K109" s="149" t="s">
        <v>4</v>
      </c>
      <c r="L109" s="242">
        <v>15.57</v>
      </c>
      <c r="M109" s="242">
        <v>23.95</v>
      </c>
      <c r="N109" s="145">
        <v>0</v>
      </c>
      <c r="O109" s="242">
        <f t="shared" si="0"/>
        <v>125</v>
      </c>
      <c r="P109" s="197">
        <f t="shared" si="2"/>
        <v>23.95</v>
      </c>
    </row>
    <row r="110" spans="1:16" ht="12.75">
      <c r="A110" s="160" t="s">
        <v>40</v>
      </c>
      <c r="B110" s="156" t="s">
        <v>1654</v>
      </c>
      <c r="C110" s="156" t="s">
        <v>366</v>
      </c>
      <c r="D110" s="145" t="s">
        <v>134</v>
      </c>
      <c r="E110" s="314" t="s">
        <v>454</v>
      </c>
      <c r="F110" s="314" t="s">
        <v>410</v>
      </c>
      <c r="G110" s="314" t="s">
        <v>454</v>
      </c>
      <c r="H110" s="148" t="s">
        <v>768</v>
      </c>
      <c r="I110" s="148"/>
      <c r="J110" s="148"/>
      <c r="K110" s="149" t="s">
        <v>4</v>
      </c>
      <c r="L110" s="242">
        <v>15.57</v>
      </c>
      <c r="M110" s="242">
        <v>23.95</v>
      </c>
      <c r="N110" s="145">
        <v>0</v>
      </c>
      <c r="O110" s="242">
        <f t="shared" si="0"/>
        <v>125</v>
      </c>
      <c r="P110" s="197">
        <f t="shared" si="2"/>
        <v>23.95</v>
      </c>
    </row>
    <row r="111" spans="1:16" s="16" customFormat="1" ht="12.75">
      <c r="A111" s="160" t="s">
        <v>294</v>
      </c>
      <c r="B111" s="156" t="s">
        <v>295</v>
      </c>
      <c r="C111" s="156" t="s">
        <v>296</v>
      </c>
      <c r="D111" s="145" t="s">
        <v>1708</v>
      </c>
      <c r="E111" s="314" t="s">
        <v>454</v>
      </c>
      <c r="F111" s="314" t="s">
        <v>454</v>
      </c>
      <c r="G111" s="314" t="s">
        <v>454</v>
      </c>
      <c r="H111" s="148" t="s">
        <v>768</v>
      </c>
      <c r="I111" s="148"/>
      <c r="J111" s="148"/>
      <c r="K111" s="149" t="s">
        <v>0</v>
      </c>
      <c r="L111" s="242">
        <v>60</v>
      </c>
      <c r="M111" s="242">
        <v>79.95</v>
      </c>
      <c r="N111" s="145">
        <v>0</v>
      </c>
      <c r="O111" s="242">
        <f t="shared" si="0"/>
        <v>125</v>
      </c>
      <c r="P111" s="197">
        <f t="shared" ref="P111:P119" si="3">N111*O111+M111</f>
        <v>79.95</v>
      </c>
    </row>
    <row r="112" spans="1:16" s="16" customFormat="1" ht="12.75">
      <c r="A112" s="160" t="s">
        <v>1487</v>
      </c>
      <c r="B112" s="156" t="s">
        <v>1485</v>
      </c>
      <c r="C112" s="156" t="s">
        <v>1486</v>
      </c>
      <c r="D112" s="145" t="s">
        <v>1709</v>
      </c>
      <c r="E112" s="314" t="s">
        <v>454</v>
      </c>
      <c r="F112" s="314" t="s">
        <v>454</v>
      </c>
      <c r="G112" s="314" t="s">
        <v>454</v>
      </c>
      <c r="H112" s="148" t="s">
        <v>768</v>
      </c>
      <c r="I112" s="148"/>
      <c r="J112" s="148"/>
      <c r="K112" s="149" t="s">
        <v>1753</v>
      </c>
      <c r="L112" s="242">
        <v>47</v>
      </c>
      <c r="M112" s="242">
        <v>64.95</v>
      </c>
      <c r="N112" s="145">
        <v>0</v>
      </c>
      <c r="O112" s="242">
        <f t="shared" si="0"/>
        <v>125</v>
      </c>
      <c r="P112" s="197">
        <f t="shared" si="3"/>
        <v>64.95</v>
      </c>
    </row>
    <row r="113" spans="1:16" s="16" customFormat="1" ht="12.75">
      <c r="A113" s="160" t="s">
        <v>17</v>
      </c>
      <c r="B113" s="156" t="s">
        <v>644</v>
      </c>
      <c r="C113" s="156" t="s">
        <v>1808</v>
      </c>
      <c r="D113" s="145" t="s">
        <v>1752</v>
      </c>
      <c r="E113" s="314" t="s">
        <v>454</v>
      </c>
      <c r="F113" s="314" t="s">
        <v>454</v>
      </c>
      <c r="G113" s="314" t="s">
        <v>454</v>
      </c>
      <c r="H113" s="148" t="s">
        <v>768</v>
      </c>
      <c r="I113" s="148"/>
      <c r="J113" s="148"/>
      <c r="K113" s="149" t="s">
        <v>16</v>
      </c>
      <c r="L113" s="242">
        <v>39.99</v>
      </c>
      <c r="M113" s="242">
        <v>59.95</v>
      </c>
      <c r="N113" s="145">
        <v>0</v>
      </c>
      <c r="O113" s="242">
        <f t="shared" si="0"/>
        <v>125</v>
      </c>
      <c r="P113" s="197">
        <f t="shared" si="3"/>
        <v>59.95</v>
      </c>
    </row>
    <row r="114" spans="1:16" ht="12.75">
      <c r="A114" s="160" t="s">
        <v>1059</v>
      </c>
      <c r="B114" s="156" t="s">
        <v>1060</v>
      </c>
      <c r="C114" s="156" t="s">
        <v>1068</v>
      </c>
      <c r="D114" s="149" t="s">
        <v>1856</v>
      </c>
      <c r="E114" s="314" t="s">
        <v>454</v>
      </c>
      <c r="F114" s="314" t="s">
        <v>454</v>
      </c>
      <c r="G114" s="314" t="s">
        <v>454</v>
      </c>
      <c r="H114" s="148" t="s">
        <v>768</v>
      </c>
      <c r="I114" s="148"/>
      <c r="J114" s="148"/>
      <c r="K114" s="149" t="s">
        <v>4</v>
      </c>
      <c r="L114" s="242">
        <v>2.5</v>
      </c>
      <c r="M114" s="242">
        <v>4.95</v>
      </c>
      <c r="N114" s="145">
        <v>0</v>
      </c>
      <c r="O114" s="242">
        <f t="shared" si="0"/>
        <v>125</v>
      </c>
      <c r="P114" s="197">
        <f t="shared" si="3"/>
        <v>4.95</v>
      </c>
    </row>
    <row r="115" spans="1:16" ht="12.75">
      <c r="A115" s="160" t="s">
        <v>1061</v>
      </c>
      <c r="B115" s="156" t="s">
        <v>1646</v>
      </c>
      <c r="C115" s="156" t="s">
        <v>1069</v>
      </c>
      <c r="D115" s="149" t="s">
        <v>1857</v>
      </c>
      <c r="E115" s="314" t="s">
        <v>454</v>
      </c>
      <c r="F115" s="314" t="s">
        <v>454</v>
      </c>
      <c r="G115" s="314" t="s">
        <v>454</v>
      </c>
      <c r="H115" s="148" t="s">
        <v>768</v>
      </c>
      <c r="I115" s="148"/>
      <c r="J115" s="148"/>
      <c r="K115" s="149" t="s">
        <v>4</v>
      </c>
      <c r="L115" s="242">
        <v>2.5</v>
      </c>
      <c r="M115" s="242">
        <v>4.95</v>
      </c>
      <c r="N115" s="145">
        <v>0</v>
      </c>
      <c r="O115" s="242">
        <f t="shared" si="0"/>
        <v>125</v>
      </c>
      <c r="P115" s="197">
        <f t="shared" si="3"/>
        <v>4.95</v>
      </c>
    </row>
    <row r="116" spans="1:16" ht="12.75">
      <c r="A116" s="160" t="s">
        <v>1070</v>
      </c>
      <c r="B116" s="156" t="s">
        <v>1064</v>
      </c>
      <c r="C116" s="156" t="s">
        <v>1066</v>
      </c>
      <c r="D116" s="149" t="s">
        <v>1858</v>
      </c>
      <c r="E116" s="314" t="s">
        <v>454</v>
      </c>
      <c r="F116" s="314" t="s">
        <v>454</v>
      </c>
      <c r="G116" s="314" t="s">
        <v>454</v>
      </c>
      <c r="H116" s="148" t="s">
        <v>768</v>
      </c>
      <c r="I116" s="148"/>
      <c r="J116" s="148"/>
      <c r="K116" s="149" t="s">
        <v>4</v>
      </c>
      <c r="L116" s="242">
        <v>2.5</v>
      </c>
      <c r="M116" s="242">
        <v>4.95</v>
      </c>
      <c r="N116" s="145">
        <v>0</v>
      </c>
      <c r="O116" s="242">
        <f t="shared" si="0"/>
        <v>125</v>
      </c>
      <c r="P116" s="197">
        <f t="shared" si="3"/>
        <v>4.95</v>
      </c>
    </row>
    <row r="117" spans="1:16" ht="12.75">
      <c r="A117" s="160" t="s">
        <v>1071</v>
      </c>
      <c r="B117" s="156" t="s">
        <v>1065</v>
      </c>
      <c r="C117" s="156" t="s">
        <v>1067</v>
      </c>
      <c r="D117" s="149" t="s">
        <v>1858</v>
      </c>
      <c r="E117" s="314" t="s">
        <v>454</v>
      </c>
      <c r="F117" s="314" t="s">
        <v>454</v>
      </c>
      <c r="G117" s="314" t="s">
        <v>454</v>
      </c>
      <c r="H117" s="148" t="s">
        <v>768</v>
      </c>
      <c r="I117" s="148"/>
      <c r="J117" s="148"/>
      <c r="K117" s="149" t="s">
        <v>4</v>
      </c>
      <c r="L117" s="242">
        <v>2.5</v>
      </c>
      <c r="M117" s="242">
        <v>4.95</v>
      </c>
      <c r="N117" s="145">
        <v>0</v>
      </c>
      <c r="O117" s="242">
        <f t="shared" si="0"/>
        <v>125</v>
      </c>
      <c r="P117" s="197">
        <f t="shared" si="3"/>
        <v>4.95</v>
      </c>
    </row>
    <row r="118" spans="1:16" ht="12.75">
      <c r="A118" s="160" t="s">
        <v>1780</v>
      </c>
      <c r="B118" s="156" t="s">
        <v>1778</v>
      </c>
      <c r="C118" s="156" t="s">
        <v>1781</v>
      </c>
      <c r="D118" s="145"/>
      <c r="E118" s="314" t="s">
        <v>454</v>
      </c>
      <c r="F118" s="314" t="s">
        <v>454</v>
      </c>
      <c r="G118" s="314" t="s">
        <v>454</v>
      </c>
      <c r="H118" s="148"/>
      <c r="I118" s="148"/>
      <c r="J118" s="148"/>
      <c r="K118" s="149" t="s">
        <v>4</v>
      </c>
      <c r="L118" s="242" t="e">
        <v>#N/A</v>
      </c>
      <c r="M118" s="242" t="e">
        <v>#N/A</v>
      </c>
      <c r="N118" s="145">
        <v>0</v>
      </c>
      <c r="O118" s="242">
        <f t="shared" si="0"/>
        <v>125</v>
      </c>
      <c r="P118" s="197" t="e">
        <f t="shared" si="3"/>
        <v>#N/A</v>
      </c>
    </row>
    <row r="119" spans="1:16" ht="12.75">
      <c r="A119" s="160" t="s">
        <v>1777</v>
      </c>
      <c r="B119" s="156" t="s">
        <v>1779</v>
      </c>
      <c r="C119" s="156" t="s">
        <v>1782</v>
      </c>
      <c r="D119" s="145"/>
      <c r="E119" s="314" t="s">
        <v>454</v>
      </c>
      <c r="F119" s="314" t="s">
        <v>454</v>
      </c>
      <c r="G119" s="314" t="s">
        <v>454</v>
      </c>
      <c r="H119" s="148"/>
      <c r="I119" s="148"/>
      <c r="J119" s="148"/>
      <c r="K119" s="149" t="s">
        <v>4</v>
      </c>
      <c r="L119" s="242" t="e">
        <v>#N/A</v>
      </c>
      <c r="M119" s="242" t="e">
        <v>#N/A</v>
      </c>
      <c r="N119" s="145">
        <v>0</v>
      </c>
      <c r="O119" s="242">
        <f t="shared" si="0"/>
        <v>125</v>
      </c>
      <c r="P119" s="197" t="e">
        <f t="shared" si="3"/>
        <v>#N/A</v>
      </c>
    </row>
    <row r="120" spans="1:16">
      <c r="D120" s="315"/>
    </row>
    <row r="121" spans="1:16">
      <c r="A121" s="250" t="s">
        <v>1089</v>
      </c>
      <c r="D121" s="315"/>
    </row>
    <row r="122" spans="1:16">
      <c r="D122" s="315"/>
    </row>
    <row r="123" spans="1:16">
      <c r="A123" s="96" t="s">
        <v>1094</v>
      </c>
      <c r="B123" s="97"/>
      <c r="C123" s="97"/>
      <c r="D123" s="315"/>
    </row>
    <row r="124" spans="1:16">
      <c r="A124" s="96"/>
      <c r="B124" s="97"/>
      <c r="C124" s="97"/>
      <c r="D124" s="315"/>
    </row>
    <row r="125" spans="1:16">
      <c r="A125" s="98" t="s">
        <v>1090</v>
      </c>
      <c r="B125" s="97"/>
      <c r="C125" s="97"/>
    </row>
    <row r="126" spans="1:16">
      <c r="A126" s="99"/>
      <c r="B126" s="99"/>
      <c r="C126" s="99"/>
    </row>
    <row r="127" spans="1:16">
      <c r="A127" s="100" t="s">
        <v>1091</v>
      </c>
      <c r="B127" s="97"/>
      <c r="C127" s="97"/>
    </row>
    <row r="128" spans="1:16">
      <c r="A128" s="100" t="s">
        <v>1093</v>
      </c>
      <c r="B128" s="97"/>
      <c r="C128" s="97"/>
    </row>
    <row r="129" spans="1:3">
      <c r="A129" s="100"/>
      <c r="B129" s="97"/>
      <c r="C129" s="97"/>
    </row>
    <row r="130" spans="1:3">
      <c r="A130" s="100" t="s">
        <v>1092</v>
      </c>
      <c r="B130" s="97"/>
      <c r="C130" s="97"/>
    </row>
    <row r="131" spans="1:3">
      <c r="A131" s="250"/>
      <c r="B131" s="250"/>
      <c r="C131" s="250"/>
    </row>
  </sheetData>
  <sortState xmlns:xlrd2="http://schemas.microsoft.com/office/spreadsheetml/2017/richdata2" ref="A3:O117">
    <sortCondition ref="B3:B117"/>
  </sortState>
  <mergeCells count="4">
    <mergeCell ref="I2:J2"/>
    <mergeCell ref="A1:C1"/>
    <mergeCell ref="D1:J1"/>
    <mergeCell ref="O1:P1"/>
  </mergeCells>
  <conditionalFormatting sqref="L3:M119">
    <cfRule type="cellIs" dxfId="3" priority="2" operator="lessThan">
      <formula>0.02</formula>
    </cfRule>
  </conditionalFormatting>
  <hyperlinks>
    <hyperlink ref="H34" r:id="rId1" xr:uid="{A6F79040-AFDA-463D-9E3B-1F66408C421B}"/>
    <hyperlink ref="H35" r:id="rId2" xr:uid="{822B400A-6E78-49D9-AE50-ECD3A63BD8AC}"/>
    <hyperlink ref="H84" r:id="rId3" xr:uid="{26283DE5-E2A0-497B-B540-1A49686B5C92}"/>
    <hyperlink ref="H71:H77" r:id="rId4" display="PHOTO" xr:uid="{D14FD11B-C7E6-464B-B045-DDA853AE2FCA}"/>
    <hyperlink ref="H52" r:id="rId5" xr:uid="{E8E1DBFA-B497-4F4B-A4FF-173ABF7076FB}"/>
    <hyperlink ref="H70" r:id="rId6" xr:uid="{A7BEB2B5-5894-4DF0-8310-B99FE71FC95C}"/>
    <hyperlink ref="H36" r:id="rId7" xr:uid="{669BCABE-E117-4F4D-AD7F-F9F20EAEC252}"/>
    <hyperlink ref="H38" r:id="rId8" xr:uid="{F059B986-9D62-4391-8B3A-4F5D703773CF}"/>
    <hyperlink ref="H37" r:id="rId9" xr:uid="{0F220C39-0AC6-45EE-AB93-F8A37807C982}"/>
    <hyperlink ref="H39" r:id="rId10" xr:uid="{7F84A6F1-77D4-40EB-9614-B582F26D57D1}"/>
    <hyperlink ref="H71" r:id="rId11" xr:uid="{F48AD2C1-165D-4457-BF71-A826259712C1}"/>
    <hyperlink ref="H25" r:id="rId12" xr:uid="{F101B323-69A7-443F-915B-24A6F6E5AA88}"/>
    <hyperlink ref="H47" r:id="rId13" xr:uid="{03D85F6B-F836-4332-B96B-A17B0D3701FB}"/>
    <hyperlink ref="H61" r:id="rId14" xr:uid="{6845176C-F0DF-4621-BBA5-2C598BCCE335}"/>
    <hyperlink ref="H102" r:id="rId15" xr:uid="{DA587979-1D66-46F7-812E-5FE8E579741E}"/>
    <hyperlink ref="H5" r:id="rId16" xr:uid="{C96FB321-B169-448C-BE27-7D23D1C34B12}"/>
    <hyperlink ref="H49" r:id="rId17" xr:uid="{D45EDDA3-3C3E-49EE-BE1B-CAC7ED38FABF}"/>
    <hyperlink ref="H93" r:id="rId18" xr:uid="{C5B70BE4-4833-4938-B8CC-08D25AA0BCCC}"/>
    <hyperlink ref="H6" r:id="rId19" xr:uid="{2FE5901F-0FD3-4E0A-9FC7-62DA67ABF450}"/>
    <hyperlink ref="H9" r:id="rId20" xr:uid="{8BA6842B-8E5C-48F2-95E0-E440B44C65AC}"/>
    <hyperlink ref="H10" r:id="rId21" xr:uid="{AF679744-5304-44F2-90F3-B36E0137F099}"/>
    <hyperlink ref="H13" r:id="rId22" xr:uid="{4F51656D-57E0-46D8-A513-DBFE93223845}"/>
    <hyperlink ref="H14" r:id="rId23" xr:uid="{CCCEFED1-6209-40D3-A46F-D41D50A348F4}"/>
    <hyperlink ref="H15" r:id="rId24" xr:uid="{61CABE6E-D50E-4A04-A938-AF254A632DDC}"/>
    <hyperlink ref="H20" r:id="rId25" xr:uid="{DCEF144A-C332-4FBE-BA1D-2569261EB28A}"/>
    <hyperlink ref="H41" r:id="rId26" xr:uid="{37642EF9-D26C-4BDE-B0BC-1C46511177F1}"/>
    <hyperlink ref="H44" r:id="rId27" xr:uid="{82E40B3E-A99A-4EF1-8521-026C9A9942AA}"/>
    <hyperlink ref="H46" r:id="rId28" xr:uid="{37051DDD-CB44-4802-AF91-26CA8F225FE6}"/>
    <hyperlink ref="H45" r:id="rId29" xr:uid="{62E103EA-A4AE-45F0-ABF9-40F992E40668}"/>
    <hyperlink ref="H101" r:id="rId30" xr:uid="{59521D4A-6B31-47F0-BC07-0F26F3E488B4}"/>
    <hyperlink ref="H82" r:id="rId31" xr:uid="{54D3AF49-7D77-4B43-A733-D490F2CDCA16}"/>
    <hyperlink ref="H7" r:id="rId32" xr:uid="{521B07B5-631B-4541-99E8-88B48E990B78}"/>
    <hyperlink ref="H11" r:id="rId33" xr:uid="{C8904251-9FB0-4245-8748-247F1217C848}"/>
    <hyperlink ref="H12" r:id="rId34" xr:uid="{7EC2076A-D419-4C6A-AF3E-4D23250525FB}"/>
    <hyperlink ref="H21" r:id="rId35" xr:uid="{3657BAE5-CCA5-4510-BA8D-74DAA6F58019}"/>
    <hyperlink ref="H26" r:id="rId36" xr:uid="{1D8819A7-8336-49AE-A8CC-47B26869F9BA}"/>
    <hyperlink ref="H27:H34" r:id="rId37" display="PHOTO" xr:uid="{D7ED74F6-4E7B-4D0F-9439-32961ECE33FD}"/>
    <hyperlink ref="H8" r:id="rId38" xr:uid="{1A8DAB7B-B7B0-404C-B34F-6FD9CEBE668B}"/>
    <hyperlink ref="H50" r:id="rId39" xr:uid="{8C16DF78-AD6F-4BAE-9A2C-ABFAC8BB32BD}"/>
    <hyperlink ref="H83" r:id="rId40" xr:uid="{5D52FACC-23FE-440C-BFD1-27F977782DA4}"/>
    <hyperlink ref="H3" r:id="rId41" xr:uid="{D57F195F-BBEC-4760-8725-DD90E7A83AA8}"/>
    <hyperlink ref="H42" r:id="rId42" xr:uid="{103587B2-AE1B-407D-866A-99565A0DAF93}"/>
    <hyperlink ref="H43" r:id="rId43" xr:uid="{F3BFD22C-F3C7-4401-B90F-2BE537A7EA0A}"/>
    <hyperlink ref="H79" r:id="rId44" xr:uid="{F592CFBE-BF8B-4B12-8A29-E04282E82F02}"/>
    <hyperlink ref="H77" r:id="rId45" xr:uid="{1B508C70-09A9-4AB4-B7DB-0C8FF022A2C3}"/>
    <hyperlink ref="H76" r:id="rId46" xr:uid="{C5EEA19B-AA09-4719-94F9-AC0B6C13E40B}"/>
    <hyperlink ref="H80" r:id="rId47" xr:uid="{33D1FF1F-AA19-4156-927D-AFBE9BF740EA}"/>
    <hyperlink ref="H74" r:id="rId48" xr:uid="{2D8B2F71-917B-4D2F-B097-AD335BF5F411}"/>
    <hyperlink ref="H75" r:id="rId49" xr:uid="{504A3760-7D01-467F-917A-AB578E2BB552}"/>
    <hyperlink ref="H72" r:id="rId50" xr:uid="{F3799752-A6EF-4111-814E-655C3893EFE9}"/>
    <hyperlink ref="H73" r:id="rId51" xr:uid="{A1F2D9D6-BA3C-41FD-9129-9CC33835DF7C}"/>
    <hyperlink ref="H40" r:id="rId52" xr:uid="{C3020FFF-E841-4DC2-8243-41893B98FF8D}"/>
    <hyperlink ref="H51" r:id="rId53" xr:uid="{0423F8DB-8F9C-462E-AF3F-FCFACAFC1A41}"/>
    <hyperlink ref="H81" r:id="rId54" xr:uid="{B48580D7-45B1-4D01-95CB-9E80483FD8F2}"/>
    <hyperlink ref="I6" r:id="rId55" xr:uid="{3029FFF3-CD4F-4408-9C8D-C0D7B8E5F8F6}"/>
    <hyperlink ref="I8" r:id="rId56" xr:uid="{4E34D392-EC4E-48FA-8395-1FEC6EAB18DF}"/>
    <hyperlink ref="I10" r:id="rId57" xr:uid="{D1F289D9-8E01-472E-B73F-F663EB3E7A6A}"/>
    <hyperlink ref="I11" r:id="rId58" xr:uid="{FA24347A-5372-4DC7-9AEE-6F166EBE1B39}"/>
    <hyperlink ref="I12" r:id="rId59" xr:uid="{172C45FA-F949-48A1-9C6A-920A76ACBA7B}"/>
    <hyperlink ref="I13" r:id="rId60" xr:uid="{BC20928B-8C95-4497-8811-1534FA662B03}"/>
    <hyperlink ref="I14" r:id="rId61" xr:uid="{B0DE2162-A0E8-4126-A8DC-4232C4FEDADF}"/>
    <hyperlink ref="I15" r:id="rId62" xr:uid="{DFC73E06-C772-47DB-BF4F-377FA85350EB}"/>
    <hyperlink ref="I21" r:id="rId63" xr:uid="{B0E7C2BE-833B-40A6-B1F5-A324F8C76D50}"/>
    <hyperlink ref="I22" r:id="rId64" xr:uid="{CDEDAB14-BFB1-491B-8539-BDD03874CE08}"/>
    <hyperlink ref="I25" r:id="rId65" xr:uid="{B737FE35-FEE5-4DD8-A1BC-F4DF0B56017E}"/>
    <hyperlink ref="I26" r:id="rId66" xr:uid="{005413CE-54A8-4A14-9E93-F33154F15D14}"/>
    <hyperlink ref="I27:I33" r:id="rId67" display="SHEET" xr:uid="{46F100D2-30BB-4625-98F5-C5F9BB235B2E}"/>
    <hyperlink ref="I34" r:id="rId68" xr:uid="{EB7F90B6-78CB-4396-B823-C561F8CE65B9}"/>
    <hyperlink ref="I35" r:id="rId69" xr:uid="{6B41999D-92DE-4545-886B-A5B3537347CA}"/>
    <hyperlink ref="I36" r:id="rId70" xr:uid="{9A3D5E1F-E738-40F1-AB8D-56FCC5E46267}"/>
    <hyperlink ref="I40" r:id="rId71" xr:uid="{7DB0D9E7-1442-4C3A-BF2D-96430FE9A0D7}"/>
    <hyperlink ref="I47" r:id="rId72" xr:uid="{7C4F0BE0-4E3D-48DB-8DFD-8EFF7646E61D}"/>
    <hyperlink ref="I48" r:id="rId73" xr:uid="{A0B5EA50-9716-4FBC-BB52-302620EB52A5}"/>
    <hyperlink ref="I50" r:id="rId74" xr:uid="{9777E665-DC72-46CB-AFEE-E06CC5F490E0}"/>
    <hyperlink ref="I51" r:id="rId75" xr:uid="{3B714B3A-940B-44DA-AF44-4C6487560A8E}"/>
    <hyperlink ref="I52" r:id="rId76" xr:uid="{89D5E0D6-8F52-4E3D-B03D-96DFC7B8FBAF}"/>
    <hyperlink ref="I53" r:id="rId77" xr:uid="{41FFE8D5-E3DF-4C0A-B020-E3B0C8EAC398}"/>
    <hyperlink ref="I54:I58" r:id="rId78" display="SHEET" xr:uid="{3CE1F870-2870-415E-812D-3986CDC74A00}"/>
    <hyperlink ref="I61" r:id="rId79" xr:uid="{8B93828F-400D-4BAA-9F9F-B72FB2247008}"/>
    <hyperlink ref="I62" r:id="rId80" xr:uid="{A534F934-AFF5-4FE7-AC6A-5CA45E6DA9B2}"/>
    <hyperlink ref="I63:I67" r:id="rId81" display="SHEET" xr:uid="{76AB3D08-BB6A-4F8D-BB0D-231E82F9A9B4}"/>
    <hyperlink ref="I70" r:id="rId82" xr:uid="{D61F4FA7-46E2-4A41-A9F3-B6C85DA088E3}"/>
    <hyperlink ref="I71" r:id="rId83" xr:uid="{70F734BD-EFF3-46E2-AF8A-4DDC5140349F}"/>
    <hyperlink ref="I82" r:id="rId84" xr:uid="{A82CA318-F504-4E34-9AD0-A2910A964C20}"/>
    <hyperlink ref="I83" r:id="rId85" xr:uid="{265FD6D5-6B6A-4CB4-8539-D8DA4348B55A}"/>
    <hyperlink ref="I84" r:id="rId86" xr:uid="{37F22337-0D04-4C28-BE6C-7A1815083998}"/>
    <hyperlink ref="I85:I92" r:id="rId87" display="SHEET" xr:uid="{9364A816-7E21-48C2-935D-ACC69779BE58}"/>
    <hyperlink ref="I93" r:id="rId88" xr:uid="{EEE6C424-3B67-4906-A301-566FDC2C1D0F}"/>
    <hyperlink ref="I94:I99" r:id="rId89" display="SHEET" xr:uid="{65D5E08F-DDF7-4E27-9F72-2506ADBFEC2D}"/>
    <hyperlink ref="I100" r:id="rId90" xr:uid="{A6714F91-8841-42A8-9179-D2A39E23C0D2}"/>
    <hyperlink ref="I101" r:id="rId91" xr:uid="{B45CF436-564F-4868-B8CF-A6689E63E940}"/>
    <hyperlink ref="H22" r:id="rId92" xr:uid="{5483B6B2-5DBC-4660-BF1B-D6C71A1F926D}"/>
    <hyperlink ref="I76" r:id="rId93" xr:uid="{56B99193-7EBB-46D8-935F-03D9C96C5802}"/>
    <hyperlink ref="H23" r:id="rId94" xr:uid="{67AD711E-742E-488A-9185-2102FEA5164B}"/>
    <hyperlink ref="H31" r:id="rId95" xr:uid="{0BCB4512-CED8-4DDF-9C6A-0BE7DC2680F2}"/>
    <hyperlink ref="H32" r:id="rId96" xr:uid="{1096BE1A-F2F7-405E-A2BF-F28CB2A9A9BF}"/>
    <hyperlink ref="I31" r:id="rId97" xr:uid="{5F9F0B59-B7C8-4409-A86D-28DD80CD5CAC}"/>
    <hyperlink ref="I32" r:id="rId98" xr:uid="{CCFB3316-D775-4237-813E-1D5B226AE738}"/>
    <hyperlink ref="H59:H60" r:id="rId99" display="PHOTO" xr:uid="{B205D250-32C4-48EC-A9CC-8F0BEBBA4561}"/>
    <hyperlink ref="I59:I60" r:id="rId100" display="SHEET" xr:uid="{1FBC7784-1979-4956-89D2-76FA43F8CDDD}"/>
    <hyperlink ref="I68:I69" r:id="rId101" display="SHEET" xr:uid="{C27A3426-D434-420E-887C-8D6A9445A795}"/>
    <hyperlink ref="I90" r:id="rId102" xr:uid="{937C6D25-0361-48B5-B309-A4EE328470F1}"/>
    <hyperlink ref="I91" r:id="rId103" xr:uid="{81E31F0E-420C-420B-A3D5-5F340BE0C357}"/>
    <hyperlink ref="H111" r:id="rId104" xr:uid="{2E3E37BF-FEDF-4596-86AE-D978C20D7BEB}"/>
    <hyperlink ref="H112" r:id="rId105" xr:uid="{36067048-5EA6-4BC4-AD24-BD6C3701F74D}"/>
    <hyperlink ref="H116" r:id="rId106" xr:uid="{E6317EE7-A193-4A1D-9BB1-D4C54B8DCC9E}"/>
    <hyperlink ref="H117" r:id="rId107" xr:uid="{C536A2EB-C95A-4CC6-B022-F2B66C2616CD}"/>
    <hyperlink ref="H114" r:id="rId108" xr:uid="{AAF61061-5E61-4C4D-95D2-D67679389DA8}"/>
    <hyperlink ref="H115" r:id="rId109" xr:uid="{9D877C02-1C14-40BA-9252-3D91A0D7082A}"/>
    <hyperlink ref="H113" r:id="rId110" xr:uid="{128CC749-7590-4A01-A8D8-634CEC076657}"/>
    <hyperlink ref="H16" r:id="rId111" xr:uid="{96915086-F148-4EE4-8CDA-49D080E39741}"/>
    <hyperlink ref="H18" r:id="rId112" xr:uid="{5764571D-76DE-438F-B363-E57D50E4A175}"/>
    <hyperlink ref="I16" r:id="rId113" xr:uid="{60251EEF-68EB-4394-BEFE-B7DD7F17B5CE}"/>
    <hyperlink ref="I18" r:id="rId114" xr:uid="{4FF0F407-AE8E-45B2-9C38-82CB7CE94F63}"/>
    <hyperlink ref="H53" r:id="rId115" xr:uid="{1C6B93C4-5436-41D1-A0A3-C1F60031DE7B}"/>
    <hyperlink ref="H54:H58" r:id="rId116" display="PHOTO" xr:uid="{5DDBB831-8378-4121-AED6-64C4D9D24336}"/>
    <hyperlink ref="H62" r:id="rId117" xr:uid="{5CA63E69-2E57-445A-B5FA-6939F364B3E4}"/>
    <hyperlink ref="H63:H69" r:id="rId118" display="PHOTO" xr:uid="{AC3B4C53-AB03-4302-BA63-66AE8545F1FA}"/>
    <hyperlink ref="H85:H91" r:id="rId119" display="PHOTO" xr:uid="{08D4D970-BE3E-4895-AC15-73B4720E96BE}"/>
    <hyperlink ref="H100" r:id="rId120" xr:uid="{1A1BD0B4-B1DD-4E61-B63C-476E953D9BBB}"/>
  </hyperlinks>
  <pageMargins left="0.7" right="0.7" top="0.75" bottom="0.75" header="0.3" footer="0.3"/>
  <pageSetup orientation="portrait" r:id="rId121"/>
  <legacyDrawing r:id="rId12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BE128"/>
  <sheetViews>
    <sheetView showGridLines="0" zoomScale="90" zoomScaleNormal="90" workbookViewId="0">
      <pane ySplit="2" topLeftCell="A3" activePane="bottomLeft" state="frozen"/>
      <selection pane="bottomLeft" sqref="A1:C1"/>
    </sheetView>
  </sheetViews>
  <sheetFormatPr defaultColWidth="67.7109375" defaultRowHeight="14.25"/>
  <cols>
    <col min="1" max="1" width="21" style="2" customWidth="1"/>
    <col min="2" max="2" width="60" style="2" bestFit="1" customWidth="1"/>
    <col min="3" max="3" width="72" style="2" bestFit="1" customWidth="1"/>
    <col min="4" max="4" width="69" style="2" bestFit="1" customWidth="1"/>
    <col min="5" max="6" width="4" style="2" bestFit="1" customWidth="1"/>
    <col min="7" max="9" width="6.28515625" style="2" bestFit="1" customWidth="1"/>
    <col min="10" max="10" width="10.28515625" style="2" bestFit="1" customWidth="1"/>
    <col min="11" max="11" width="6.28515625" style="2" bestFit="1" customWidth="1"/>
    <col min="12" max="12" width="12" style="2" bestFit="1" customWidth="1"/>
    <col min="13" max="13" width="10.42578125" style="11" customWidth="1"/>
    <col min="14" max="14" width="10.140625" style="2" customWidth="1"/>
    <col min="15" max="15" width="9.42578125" style="2" bestFit="1" customWidth="1"/>
    <col min="16" max="16" width="8.28515625" style="2" bestFit="1" customWidth="1"/>
    <col min="17" max="17" width="9.140625" style="2" bestFit="1" customWidth="1"/>
    <col min="18" max="18" width="11" style="2" bestFit="1" customWidth="1"/>
    <col min="19" max="19" width="5.7109375" style="2" customWidth="1"/>
    <col min="20" max="20" width="6.28515625" style="2" bestFit="1" customWidth="1"/>
    <col min="21" max="21" width="8.85546875" style="2" bestFit="1" customWidth="1"/>
    <col min="22" max="22" width="17.5703125" style="2" bestFit="1" customWidth="1"/>
    <col min="23" max="23" width="23" style="2" bestFit="1" customWidth="1"/>
    <col min="24" max="24" width="22.42578125" style="2" bestFit="1" customWidth="1"/>
    <col min="25" max="16384" width="67.7109375" style="2"/>
  </cols>
  <sheetData>
    <row r="1" spans="1:24" ht="63" customHeight="1">
      <c r="A1" s="359" t="s">
        <v>240</v>
      </c>
      <c r="B1" s="360"/>
      <c r="C1" s="360"/>
      <c r="D1" s="361" t="s">
        <v>167</v>
      </c>
      <c r="E1" s="361"/>
      <c r="F1" s="361"/>
      <c r="G1" s="361"/>
      <c r="H1" s="361"/>
      <c r="I1" s="361"/>
      <c r="J1" s="361"/>
      <c r="K1" s="361"/>
      <c r="L1" s="9">
        <v>125</v>
      </c>
      <c r="M1" s="73"/>
      <c r="N1" s="1"/>
      <c r="O1" s="1"/>
      <c r="P1" s="1"/>
      <c r="Q1" s="349" t="s">
        <v>213</v>
      </c>
      <c r="R1" s="350"/>
    </row>
    <row r="2" spans="1:24" ht="49.5" customHeight="1">
      <c r="A2" s="3" t="s">
        <v>140</v>
      </c>
      <c r="B2" s="3" t="s">
        <v>141</v>
      </c>
      <c r="C2" s="3" t="s">
        <v>142</v>
      </c>
      <c r="D2" s="3" t="s">
        <v>143</v>
      </c>
      <c r="E2" s="10" t="s">
        <v>450</v>
      </c>
      <c r="F2" s="10" t="s">
        <v>451</v>
      </c>
      <c r="G2" s="10" t="s">
        <v>456</v>
      </c>
      <c r="H2" s="10" t="s">
        <v>457</v>
      </c>
      <c r="I2" s="10" t="s">
        <v>458</v>
      </c>
      <c r="J2" s="10" t="s">
        <v>459</v>
      </c>
      <c r="K2" s="10" t="s">
        <v>460</v>
      </c>
      <c r="L2" s="3" t="s">
        <v>144</v>
      </c>
      <c r="M2" s="59" t="s">
        <v>210</v>
      </c>
      <c r="N2" s="5" t="s">
        <v>145</v>
      </c>
      <c r="O2" s="5" t="s">
        <v>146</v>
      </c>
      <c r="P2" s="3" t="s">
        <v>147</v>
      </c>
      <c r="Q2" s="5" t="s">
        <v>148</v>
      </c>
      <c r="R2" s="5" t="s">
        <v>149</v>
      </c>
      <c r="T2" s="6" t="s">
        <v>180</v>
      </c>
      <c r="U2" s="6" t="s">
        <v>205</v>
      </c>
      <c r="V2" s="6" t="s">
        <v>1053</v>
      </c>
      <c r="W2" s="6" t="s">
        <v>141</v>
      </c>
      <c r="X2" s="6" t="s">
        <v>142</v>
      </c>
    </row>
    <row r="3" spans="1:24" ht="14.25" customHeight="1">
      <c r="A3" s="66" t="s">
        <v>871</v>
      </c>
      <c r="B3" s="53" t="s">
        <v>1009</v>
      </c>
      <c r="C3" s="51" t="s">
        <v>874</v>
      </c>
      <c r="D3" s="52"/>
      <c r="E3" s="31" t="s">
        <v>454</v>
      </c>
      <c r="F3" s="31" t="s">
        <v>454</v>
      </c>
      <c r="G3" s="31" t="s">
        <v>454</v>
      </c>
      <c r="H3" s="31" t="s">
        <v>454</v>
      </c>
      <c r="I3" s="31" t="s">
        <v>454</v>
      </c>
      <c r="J3" s="31" t="s">
        <v>454</v>
      </c>
      <c r="K3" s="31" t="s">
        <v>454</v>
      </c>
      <c r="L3" s="26" t="s">
        <v>59</v>
      </c>
      <c r="M3" s="70" t="s">
        <v>768</v>
      </c>
      <c r="N3" s="43">
        <f>VLOOKUP(A3,[1]AccessoryList!$A:$D,4,FALSE)</f>
        <v>1750</v>
      </c>
      <c r="O3" s="43">
        <f>VLOOKUP(A3,[1]AccessoryList!$A:$E,5,FALSE)</f>
        <v>2295.9499999999998</v>
      </c>
      <c r="P3" s="55">
        <v>1.5</v>
      </c>
      <c r="Q3" s="27">
        <f t="shared" ref="Q3:Q95" si="0">$L$1</f>
        <v>125</v>
      </c>
      <c r="R3" s="28">
        <f t="shared" ref="R3:R4" si="1">P3*Q3+O3</f>
        <v>2483.4499999999998</v>
      </c>
      <c r="T3" s="7" t="str">
        <f>VLOOKUP(A3,[1]AccessoryList!$A:$B,2,FALSE)</f>
        <v>D</v>
      </c>
      <c r="U3" s="2">
        <f>VLOOKUP(A3,[1]AccessoryList!$A:$F,6,FALSE)+VLOOKUP(A3,[1]AccessoryList!$A:$G,7,FALSE)</f>
        <v>0</v>
      </c>
    </row>
    <row r="4" spans="1:24" ht="14.25" customHeight="1">
      <c r="A4" s="67" t="s">
        <v>872</v>
      </c>
      <c r="B4" s="53" t="s">
        <v>873</v>
      </c>
      <c r="C4" s="51" t="s">
        <v>875</v>
      </c>
      <c r="D4" s="52"/>
      <c r="E4" s="31" t="s">
        <v>454</v>
      </c>
      <c r="F4" s="31" t="s">
        <v>454</v>
      </c>
      <c r="G4" s="31" t="s">
        <v>454</v>
      </c>
      <c r="H4" s="31" t="s">
        <v>454</v>
      </c>
      <c r="I4" s="31" t="s">
        <v>454</v>
      </c>
      <c r="J4" s="31" t="s">
        <v>454</v>
      </c>
      <c r="K4" s="31" t="s">
        <v>454</v>
      </c>
      <c r="L4" s="26" t="s">
        <v>59</v>
      </c>
      <c r="M4" s="60"/>
      <c r="N4" s="43">
        <f>VLOOKUP(A4,[1]AccessoryList!$A:$D,4,FALSE)</f>
        <v>84</v>
      </c>
      <c r="O4" s="43">
        <f>VLOOKUP(A4,[1]AccessoryList!$A:$E,5,FALSE)</f>
        <v>119.95</v>
      </c>
      <c r="P4" s="55">
        <v>0</v>
      </c>
      <c r="Q4" s="27">
        <f t="shared" si="0"/>
        <v>125</v>
      </c>
      <c r="R4" s="28">
        <f t="shared" si="1"/>
        <v>119.95</v>
      </c>
      <c r="T4" s="7" t="str">
        <f>VLOOKUP(A4,[1]AccessoryList!$A:$B,2,FALSE)</f>
        <v>D</v>
      </c>
      <c r="U4" s="2">
        <f>VLOOKUP(A4,[1]AccessoryList!$A:$F,6,FALSE)+VLOOKUP(A4,[1]AccessoryList!$A:$G,7,FALSE)</f>
        <v>0</v>
      </c>
    </row>
    <row r="5" spans="1:24">
      <c r="A5" s="29" t="s">
        <v>112</v>
      </c>
      <c r="B5" s="30" t="s">
        <v>822</v>
      </c>
      <c r="C5" s="36" t="s">
        <v>876</v>
      </c>
      <c r="D5" s="26" t="s">
        <v>431</v>
      </c>
      <c r="E5" s="31" t="s">
        <v>454</v>
      </c>
      <c r="F5" s="31" t="s">
        <v>454</v>
      </c>
      <c r="G5" s="31" t="s">
        <v>454</v>
      </c>
      <c r="H5" s="31" t="s">
        <v>454</v>
      </c>
      <c r="I5" s="31" t="s">
        <v>454</v>
      </c>
      <c r="J5" s="31" t="s">
        <v>454</v>
      </c>
      <c r="K5" s="31" t="s">
        <v>454</v>
      </c>
      <c r="L5" s="26" t="s">
        <v>0</v>
      </c>
      <c r="M5" s="62"/>
      <c r="N5" s="43">
        <f>VLOOKUP(A5,[1]AccessoryList!$A:$D,4,FALSE)</f>
        <v>127.17</v>
      </c>
      <c r="O5" s="43">
        <f>VLOOKUP(A5,[1]AccessoryList!$A:$E,5,FALSE)</f>
        <v>211.95</v>
      </c>
      <c r="P5" s="26">
        <v>0</v>
      </c>
      <c r="Q5" s="27">
        <f t="shared" si="0"/>
        <v>125</v>
      </c>
      <c r="R5" s="28">
        <f t="shared" ref="R5" si="2">P5*Q5+O5</f>
        <v>211.95</v>
      </c>
      <c r="T5" s="7" t="str">
        <f>VLOOKUP(A5,[1]AccessoryList!$A:$B,2,FALSE)</f>
        <v>A</v>
      </c>
      <c r="U5" s="2">
        <f>VLOOKUP(A5,[1]AccessoryList!$A:$F,6,FALSE)+VLOOKUP(A5,[1]AccessoryList!$A:$G,7,FALSE)</f>
        <v>2870</v>
      </c>
    </row>
    <row r="6" spans="1:24">
      <c r="A6" s="29" t="s">
        <v>68</v>
      </c>
      <c r="B6" s="30" t="s">
        <v>69</v>
      </c>
      <c r="C6" s="30" t="s">
        <v>106</v>
      </c>
      <c r="D6" s="26"/>
      <c r="E6" s="31" t="s">
        <v>454</v>
      </c>
      <c r="F6" s="31" t="s">
        <v>454</v>
      </c>
      <c r="G6" s="31" t="s">
        <v>454</v>
      </c>
      <c r="H6" s="31" t="s">
        <v>454</v>
      </c>
      <c r="I6" s="31" t="s">
        <v>454</v>
      </c>
      <c r="J6" s="31" t="s">
        <v>454</v>
      </c>
      <c r="K6" s="31" t="s">
        <v>454</v>
      </c>
      <c r="L6" s="26" t="s">
        <v>10</v>
      </c>
      <c r="M6" s="65" t="s">
        <v>768</v>
      </c>
      <c r="N6" s="43">
        <f>VLOOKUP(A6,[1]AccessoryList!$A:$D,4,FALSE)</f>
        <v>180.67</v>
      </c>
      <c r="O6" s="43">
        <f>VLOOKUP(A6,[1]AccessoryList!$A:$E,5,FALSE)</f>
        <v>277.95</v>
      </c>
      <c r="P6" s="26">
        <v>0</v>
      </c>
      <c r="Q6" s="27">
        <f t="shared" si="0"/>
        <v>125</v>
      </c>
      <c r="R6" s="28">
        <f t="shared" ref="R6:R73" si="3">P6*Q6+O6</f>
        <v>277.95</v>
      </c>
      <c r="T6" s="7" t="str">
        <f>VLOOKUP(A6,[1]AccessoryList!$A:$B,2,FALSE)</f>
        <v>D</v>
      </c>
      <c r="U6" s="2">
        <f>VLOOKUP(A6,[1]AccessoryList!$A:$F,6,FALSE)+VLOOKUP(A6,[1]AccessoryList!$A:$G,7,FALSE)</f>
        <v>6</v>
      </c>
    </row>
    <row r="7" spans="1:24" s="8" customFormat="1">
      <c r="A7" s="29" t="s">
        <v>115</v>
      </c>
      <c r="B7" s="30" t="s">
        <v>817</v>
      </c>
      <c r="C7" s="30" t="s">
        <v>203</v>
      </c>
      <c r="D7" s="26"/>
      <c r="E7" s="31" t="s">
        <v>454</v>
      </c>
      <c r="F7" s="31" t="s">
        <v>454</v>
      </c>
      <c r="G7" s="31" t="s">
        <v>454</v>
      </c>
      <c r="H7" s="31" t="s">
        <v>454</v>
      </c>
      <c r="I7" s="31" t="s">
        <v>454</v>
      </c>
      <c r="J7" s="31" t="s">
        <v>454</v>
      </c>
      <c r="K7" s="31" t="s">
        <v>454</v>
      </c>
      <c r="L7" s="26" t="s">
        <v>10</v>
      </c>
      <c r="M7" s="62"/>
      <c r="N7" s="43">
        <f>VLOOKUP(A7,[1]AccessoryList!$A:$D,4,FALSE)</f>
        <v>15.57</v>
      </c>
      <c r="O7" s="43">
        <f>VLOOKUP(A7,[1]AccessoryList!$A:$E,5,FALSE)</f>
        <v>25.95</v>
      </c>
      <c r="P7" s="26">
        <v>0</v>
      </c>
      <c r="Q7" s="27">
        <f t="shared" si="0"/>
        <v>125</v>
      </c>
      <c r="R7" s="28">
        <f t="shared" si="3"/>
        <v>25.95</v>
      </c>
      <c r="S7" s="2"/>
      <c r="T7" s="7" t="str">
        <f>VLOOKUP(A7,[1]AccessoryList!$A:$B,2,FALSE)</f>
        <v>D</v>
      </c>
      <c r="U7" s="2">
        <f>VLOOKUP(A7,[1]AccessoryList!$A:$F,6,FALSE)+VLOOKUP(A7,[1]AccessoryList!$A:$G,7,FALSE)</f>
        <v>0</v>
      </c>
    </row>
    <row r="8" spans="1:24">
      <c r="A8" s="29" t="s">
        <v>276</v>
      </c>
      <c r="B8" s="30" t="s">
        <v>277</v>
      </c>
      <c r="C8" s="30" t="s">
        <v>278</v>
      </c>
      <c r="D8" s="26"/>
      <c r="E8" s="31" t="s">
        <v>454</v>
      </c>
      <c r="F8" s="31" t="s">
        <v>454</v>
      </c>
      <c r="G8" s="31" t="s">
        <v>454</v>
      </c>
      <c r="H8" s="31" t="s">
        <v>454</v>
      </c>
      <c r="I8" s="31" t="s">
        <v>454</v>
      </c>
      <c r="J8" s="31" t="s">
        <v>454</v>
      </c>
      <c r="K8" s="31" t="s">
        <v>454</v>
      </c>
      <c r="L8" s="26" t="s">
        <v>10</v>
      </c>
      <c r="M8" s="62"/>
      <c r="N8" s="43">
        <f>VLOOKUP(A8,[1]AccessoryList!$A:$D,4,FALSE)</f>
        <v>108.57</v>
      </c>
      <c r="O8" s="43">
        <f>VLOOKUP(A8,[1]AccessoryList!$A:$E,5,FALSE)</f>
        <v>180.95</v>
      </c>
      <c r="P8" s="26">
        <v>0</v>
      </c>
      <c r="Q8" s="27">
        <f t="shared" si="0"/>
        <v>125</v>
      </c>
      <c r="R8" s="28">
        <f t="shared" si="3"/>
        <v>180.95</v>
      </c>
      <c r="T8" s="7" t="str">
        <f>VLOOKUP(A8,[1]AccessoryList!$A:$B,2,FALSE)</f>
        <v>D</v>
      </c>
      <c r="U8" s="2">
        <f>VLOOKUP(A8,[1]AccessoryList!$A:$F,6,FALSE)+VLOOKUP(A8,[1]AccessoryList!$A:$G,7,FALSE)</f>
        <v>3</v>
      </c>
    </row>
    <row r="9" spans="1:24">
      <c r="A9" s="29" t="s">
        <v>1</v>
      </c>
      <c r="B9" s="30" t="s">
        <v>24</v>
      </c>
      <c r="C9" s="30" t="s">
        <v>85</v>
      </c>
      <c r="D9" s="26"/>
      <c r="E9" s="31" t="s">
        <v>454</v>
      </c>
      <c r="F9" s="31" t="s">
        <v>454</v>
      </c>
      <c r="G9" s="31" t="s">
        <v>454</v>
      </c>
      <c r="H9" s="31" t="s">
        <v>454</v>
      </c>
      <c r="I9" s="31" t="s">
        <v>454</v>
      </c>
      <c r="J9" s="31" t="s">
        <v>454</v>
      </c>
      <c r="K9" s="31" t="s">
        <v>454</v>
      </c>
      <c r="L9" s="26" t="s">
        <v>0</v>
      </c>
      <c r="M9" s="65" t="s">
        <v>768</v>
      </c>
      <c r="N9" s="43">
        <f>VLOOKUP(A9,[1]AccessoryList!$A:$D,4,FALSE)</f>
        <v>26.37</v>
      </c>
      <c r="O9" s="43">
        <f>VLOOKUP(A9,[1]AccessoryList!$A:$E,5,FALSE)</f>
        <v>43.95</v>
      </c>
      <c r="P9" s="26">
        <v>0</v>
      </c>
      <c r="Q9" s="27">
        <f t="shared" si="0"/>
        <v>125</v>
      </c>
      <c r="R9" s="28">
        <f t="shared" si="3"/>
        <v>43.95</v>
      </c>
      <c r="T9" s="7" t="str">
        <f>VLOOKUP(A9,[1]AccessoryList!$A:$B,2,FALSE)</f>
        <v>O</v>
      </c>
      <c r="U9" s="2">
        <f>VLOOKUP(A9,[1]AccessoryList!$A:$F,6,FALSE)+VLOOKUP(A9,[1]AccessoryList!$A:$G,7,FALSE)</f>
        <v>6</v>
      </c>
    </row>
    <row r="10" spans="1:24">
      <c r="A10" s="29" t="s">
        <v>271</v>
      </c>
      <c r="B10" s="30" t="s">
        <v>272</v>
      </c>
      <c r="C10" s="30" t="s">
        <v>273</v>
      </c>
      <c r="D10" s="26"/>
      <c r="E10" s="31" t="s">
        <v>454</v>
      </c>
      <c r="F10" s="31" t="s">
        <v>454</v>
      </c>
      <c r="G10" s="31" t="s">
        <v>454</v>
      </c>
      <c r="H10" s="31" t="s">
        <v>454</v>
      </c>
      <c r="I10" s="31" t="s">
        <v>454</v>
      </c>
      <c r="J10" s="31" t="s">
        <v>454</v>
      </c>
      <c r="K10" s="31" t="s">
        <v>454</v>
      </c>
      <c r="L10" s="26" t="s">
        <v>10</v>
      </c>
      <c r="M10" s="65" t="s">
        <v>768</v>
      </c>
      <c r="N10" s="43">
        <f>VLOOKUP(A10,[1]AccessoryList!$A:$D,4,FALSE)</f>
        <v>172.77</v>
      </c>
      <c r="O10" s="43">
        <f>VLOOKUP(A10,[1]AccessoryList!$A:$E,5,FALSE)</f>
        <v>287.95</v>
      </c>
      <c r="P10" s="26">
        <v>0.4</v>
      </c>
      <c r="Q10" s="27">
        <f t="shared" si="0"/>
        <v>125</v>
      </c>
      <c r="R10" s="28">
        <f t="shared" si="3"/>
        <v>337.95</v>
      </c>
      <c r="T10" s="7" t="str">
        <f>VLOOKUP(A10,[1]AccessoryList!$A:$B,2,FALSE)</f>
        <v>D</v>
      </c>
      <c r="U10" s="2">
        <f>VLOOKUP(A10,[1]AccessoryList!$A:$F,6,FALSE)+VLOOKUP(A10,[1]AccessoryList!$A:$G,7,FALSE)</f>
        <v>2</v>
      </c>
    </row>
    <row r="11" spans="1:24">
      <c r="A11" s="29" t="s">
        <v>222</v>
      </c>
      <c r="B11" s="30" t="s">
        <v>402</v>
      </c>
      <c r="C11" s="30" t="s">
        <v>333</v>
      </c>
      <c r="D11" s="26" t="s">
        <v>403</v>
      </c>
      <c r="E11" s="31" t="s">
        <v>454</v>
      </c>
      <c r="F11" s="31" t="s">
        <v>454</v>
      </c>
      <c r="G11" s="31" t="s">
        <v>454</v>
      </c>
      <c r="H11" s="31" t="s">
        <v>454</v>
      </c>
      <c r="I11" s="31" t="s">
        <v>454</v>
      </c>
      <c r="J11" s="31" t="s">
        <v>454</v>
      </c>
      <c r="K11" s="31" t="s">
        <v>454</v>
      </c>
      <c r="L11" s="26" t="s">
        <v>10</v>
      </c>
      <c r="M11" s="65" t="s">
        <v>768</v>
      </c>
      <c r="N11" s="43">
        <f>VLOOKUP(A11,[1]AccessoryList!$A:$D,4,FALSE)</f>
        <v>332.97</v>
      </c>
      <c r="O11" s="43">
        <f>VLOOKUP(A11,[1]AccessoryList!$A:$E,5,FALSE)</f>
        <v>554.95000000000005</v>
      </c>
      <c r="P11" s="26">
        <v>0.5</v>
      </c>
      <c r="Q11" s="27">
        <f t="shared" si="0"/>
        <v>125</v>
      </c>
      <c r="R11" s="28">
        <f t="shared" si="3"/>
        <v>617.45000000000005</v>
      </c>
      <c r="T11" s="7" t="str">
        <f>VLOOKUP(A11,[1]AccessoryList!$A:$B,2,FALSE)</f>
        <v>L</v>
      </c>
      <c r="U11" s="2">
        <f>VLOOKUP(A11,[1]AccessoryList!$A:$F,6,FALSE)+VLOOKUP(A11,[1]AccessoryList!$A:$G,7,FALSE)</f>
        <v>2</v>
      </c>
    </row>
    <row r="12" spans="1:24">
      <c r="A12" s="29" t="s">
        <v>162</v>
      </c>
      <c r="B12" s="30" t="s">
        <v>257</v>
      </c>
      <c r="C12" s="30" t="s">
        <v>332</v>
      </c>
      <c r="D12" s="26" t="s">
        <v>401</v>
      </c>
      <c r="E12" s="31" t="s">
        <v>454</v>
      </c>
      <c r="F12" s="31" t="s">
        <v>454</v>
      </c>
      <c r="G12" s="31" t="s">
        <v>454</v>
      </c>
      <c r="H12" s="31" t="s">
        <v>454</v>
      </c>
      <c r="I12" s="31" t="s">
        <v>454</v>
      </c>
      <c r="J12" s="31" t="s">
        <v>454</v>
      </c>
      <c r="K12" s="31" t="s">
        <v>454</v>
      </c>
      <c r="L12" s="26" t="s">
        <v>10</v>
      </c>
      <c r="M12" s="65" t="s">
        <v>768</v>
      </c>
      <c r="N12" s="43">
        <f>VLOOKUP(A12,[1]AccessoryList!$A:$D,4,FALSE)</f>
        <v>243.57</v>
      </c>
      <c r="O12" s="43">
        <f>VLOOKUP(A12,[1]AccessoryList!$A:$E,5,FALSE)</f>
        <v>405.95</v>
      </c>
      <c r="P12" s="26">
        <v>0.5</v>
      </c>
      <c r="Q12" s="27">
        <f t="shared" si="0"/>
        <v>125</v>
      </c>
      <c r="R12" s="28">
        <f t="shared" si="3"/>
        <v>468.45</v>
      </c>
      <c r="T12" s="7" t="str">
        <f>VLOOKUP(A12,[1]AccessoryList!$A:$B,2,FALSE)</f>
        <v>Z</v>
      </c>
      <c r="U12" s="2">
        <f>VLOOKUP(A12,[1]AccessoryList!$A:$F,6,FALSE)+VLOOKUP(A12,[1]AccessoryList!$A:$G,7,FALSE)</f>
        <v>0</v>
      </c>
    </row>
    <row r="13" spans="1:24">
      <c r="A13" s="29" t="s">
        <v>224</v>
      </c>
      <c r="B13" s="30" t="s">
        <v>264</v>
      </c>
      <c r="C13" s="30" t="s">
        <v>328</v>
      </c>
      <c r="D13" s="26" t="s">
        <v>398</v>
      </c>
      <c r="E13" s="31" t="s">
        <v>454</v>
      </c>
      <c r="F13" s="31" t="s">
        <v>454</v>
      </c>
      <c r="G13" s="31" t="s">
        <v>454</v>
      </c>
      <c r="H13" s="31" t="s">
        <v>454</v>
      </c>
      <c r="I13" s="31" t="s">
        <v>454</v>
      </c>
      <c r="J13" s="31" t="s">
        <v>454</v>
      </c>
      <c r="K13" s="31" t="s">
        <v>454</v>
      </c>
      <c r="L13" s="26" t="s">
        <v>10</v>
      </c>
      <c r="M13" s="65" t="s">
        <v>768</v>
      </c>
      <c r="N13" s="43">
        <f>VLOOKUP(A13,[1]AccessoryList!$A:$D,4,FALSE)</f>
        <v>332.97</v>
      </c>
      <c r="O13" s="43">
        <f>VLOOKUP(A13,[1]AccessoryList!$A:$E,5,FALSE)</f>
        <v>554.95000000000005</v>
      </c>
      <c r="P13" s="26">
        <v>0.5</v>
      </c>
      <c r="Q13" s="27">
        <f t="shared" si="0"/>
        <v>125</v>
      </c>
      <c r="R13" s="28">
        <f t="shared" si="3"/>
        <v>617.45000000000005</v>
      </c>
      <c r="T13" s="7" t="str">
        <f>VLOOKUP(A13,[1]AccessoryList!$A:$B,2,FALSE)</f>
        <v>S</v>
      </c>
      <c r="U13" s="2">
        <f>VLOOKUP(A13,[1]AccessoryList!$A:$F,6,FALSE)+VLOOKUP(A13,[1]AccessoryList!$A:$G,7,FALSE)</f>
        <v>0</v>
      </c>
    </row>
    <row r="14" spans="1:24">
      <c r="A14" s="29" t="s">
        <v>178</v>
      </c>
      <c r="B14" s="30" t="s">
        <v>261</v>
      </c>
      <c r="C14" s="30" t="s">
        <v>329</v>
      </c>
      <c r="D14" s="26" t="s">
        <v>399</v>
      </c>
      <c r="E14" s="31" t="s">
        <v>454</v>
      </c>
      <c r="F14" s="31" t="s">
        <v>454</v>
      </c>
      <c r="G14" s="31" t="s">
        <v>454</v>
      </c>
      <c r="H14" s="31" t="s">
        <v>454</v>
      </c>
      <c r="I14" s="31" t="s">
        <v>454</v>
      </c>
      <c r="J14" s="31" t="s">
        <v>454</v>
      </c>
      <c r="K14" s="31" t="s">
        <v>454</v>
      </c>
      <c r="L14" s="26" t="s">
        <v>10</v>
      </c>
      <c r="M14" s="65" t="s">
        <v>768</v>
      </c>
      <c r="N14" s="43">
        <f>VLOOKUP(A14,[1]AccessoryList!$A:$D,4,FALSE)</f>
        <v>263.87</v>
      </c>
      <c r="O14" s="43">
        <f>VLOOKUP(A14,[1]AccessoryList!$A:$E,5,FALSE)</f>
        <v>405.95</v>
      </c>
      <c r="P14" s="26">
        <v>0.5</v>
      </c>
      <c r="Q14" s="27">
        <f t="shared" si="0"/>
        <v>125</v>
      </c>
      <c r="R14" s="28">
        <f t="shared" si="3"/>
        <v>468.45</v>
      </c>
      <c r="T14" s="7" t="str">
        <f>VLOOKUP(A14,[1]AccessoryList!$A:$B,2,FALSE)</f>
        <v>Z</v>
      </c>
      <c r="U14" s="2">
        <f>VLOOKUP(A14,[1]AccessoryList!$A:$F,6,FALSE)+VLOOKUP(A14,[1]AccessoryList!$A:$G,7,FALSE)</f>
        <v>0</v>
      </c>
    </row>
    <row r="15" spans="1:24">
      <c r="A15" s="29" t="s">
        <v>153</v>
      </c>
      <c r="B15" s="30" t="s">
        <v>131</v>
      </c>
      <c r="C15" s="30" t="s">
        <v>850</v>
      </c>
      <c r="D15" s="26" t="s">
        <v>8</v>
      </c>
      <c r="E15" s="31" t="s">
        <v>454</v>
      </c>
      <c r="F15" s="31" t="s">
        <v>454</v>
      </c>
      <c r="G15" s="31" t="s">
        <v>454</v>
      </c>
      <c r="H15" s="31" t="s">
        <v>454</v>
      </c>
      <c r="I15" s="31" t="s">
        <v>454</v>
      </c>
      <c r="J15" s="31" t="s">
        <v>454</v>
      </c>
      <c r="K15" s="31" t="s">
        <v>454</v>
      </c>
      <c r="L15" s="26" t="s">
        <v>10</v>
      </c>
      <c r="M15" s="65" t="s">
        <v>768</v>
      </c>
      <c r="N15" s="43">
        <f>VLOOKUP(A15,[1]AccessoryList!$A:$D,4,FALSE)</f>
        <v>261.66000000000003</v>
      </c>
      <c r="O15" s="43">
        <f>VLOOKUP(A15,[1]AccessoryList!$A:$E,5,FALSE)</f>
        <v>402.95</v>
      </c>
      <c r="P15" s="26">
        <v>0.5</v>
      </c>
      <c r="Q15" s="27">
        <f t="shared" si="0"/>
        <v>125</v>
      </c>
      <c r="R15" s="28">
        <f t="shared" si="3"/>
        <v>465.45</v>
      </c>
      <c r="T15" s="7" t="str">
        <f>VLOOKUP(A15,[1]AccessoryList!$A:$B,2,FALSE)</f>
        <v>D</v>
      </c>
      <c r="U15" s="2">
        <f>VLOOKUP(A15,[1]AccessoryList!$A:$F,6,FALSE)+VLOOKUP(A15,[1]AccessoryList!$A:$G,7,FALSE)</f>
        <v>0</v>
      </c>
    </row>
    <row r="16" spans="1:24">
      <c r="A16" s="29" t="s">
        <v>223</v>
      </c>
      <c r="B16" s="30" t="s">
        <v>260</v>
      </c>
      <c r="C16" s="30" t="s">
        <v>837</v>
      </c>
      <c r="D16" s="26" t="s">
        <v>400</v>
      </c>
      <c r="E16" s="31" t="s">
        <v>454</v>
      </c>
      <c r="F16" s="31" t="s">
        <v>454</v>
      </c>
      <c r="G16" s="31" t="s">
        <v>454</v>
      </c>
      <c r="H16" s="31" t="s">
        <v>454</v>
      </c>
      <c r="I16" s="31" t="s">
        <v>454</v>
      </c>
      <c r="J16" s="31" t="s">
        <v>454</v>
      </c>
      <c r="K16" s="31" t="s">
        <v>454</v>
      </c>
      <c r="L16" s="26" t="s">
        <v>10</v>
      </c>
      <c r="M16" s="65" t="s">
        <v>768</v>
      </c>
      <c r="N16" s="43">
        <f>VLOOKUP(A16,[1]AccessoryList!$A:$D,4,FALSE)</f>
        <v>332.97</v>
      </c>
      <c r="O16" s="43">
        <f>VLOOKUP(A16,[1]AccessoryList!$A:$E,5,FALSE)</f>
        <v>554.95000000000005</v>
      </c>
      <c r="P16" s="26">
        <v>0.5</v>
      </c>
      <c r="Q16" s="27">
        <f t="shared" si="0"/>
        <v>125</v>
      </c>
      <c r="R16" s="28">
        <f t="shared" si="3"/>
        <v>617.45000000000005</v>
      </c>
      <c r="T16" s="7" t="str">
        <f>VLOOKUP(A16,[1]AccessoryList!$A:$B,2,FALSE)</f>
        <v>L</v>
      </c>
      <c r="U16" s="2">
        <f>VLOOKUP(A16,[1]AccessoryList!$A:$F,6,FALSE)+VLOOKUP(A16,[1]AccessoryList!$A:$G,7,FALSE)</f>
        <v>1</v>
      </c>
    </row>
    <row r="17" spans="1:21">
      <c r="A17" s="29" t="s">
        <v>196</v>
      </c>
      <c r="B17" s="30" t="s">
        <v>258</v>
      </c>
      <c r="C17" s="30" t="s">
        <v>331</v>
      </c>
      <c r="D17" s="26" t="s">
        <v>323</v>
      </c>
      <c r="E17" s="31" t="s">
        <v>454</v>
      </c>
      <c r="F17" s="31" t="s">
        <v>454</v>
      </c>
      <c r="G17" s="31" t="s">
        <v>454</v>
      </c>
      <c r="H17" s="31" t="s">
        <v>454</v>
      </c>
      <c r="I17" s="31" t="s">
        <v>454</v>
      </c>
      <c r="J17" s="31" t="s">
        <v>454</v>
      </c>
      <c r="K17" s="31" t="s">
        <v>454</v>
      </c>
      <c r="L17" s="26" t="s">
        <v>10</v>
      </c>
      <c r="M17" s="65" t="s">
        <v>768</v>
      </c>
      <c r="N17" s="43">
        <f>VLOOKUP(A17,[1]AccessoryList!$A:$D,4,FALSE)</f>
        <v>227.47</v>
      </c>
      <c r="O17" s="43">
        <f>VLOOKUP(A17,[1]AccessoryList!$A:$E,5,FALSE)</f>
        <v>349.95</v>
      </c>
      <c r="P17" s="26">
        <v>0.5</v>
      </c>
      <c r="Q17" s="27">
        <f t="shared" si="0"/>
        <v>125</v>
      </c>
      <c r="R17" s="28">
        <f t="shared" si="3"/>
        <v>412.45</v>
      </c>
      <c r="T17" s="7" t="str">
        <f>VLOOKUP(A17,[1]AccessoryList!$A:$B,2,FALSE)</f>
        <v>Z</v>
      </c>
      <c r="U17" s="2">
        <f>VLOOKUP(A17,[1]AccessoryList!$A:$F,6,FALSE)+VLOOKUP(A17,[1]AccessoryList!$A:$G,7,FALSE)</f>
        <v>0</v>
      </c>
    </row>
    <row r="18" spans="1:21">
      <c r="A18" s="29" t="s">
        <v>161</v>
      </c>
      <c r="B18" s="30" t="s">
        <v>259</v>
      </c>
      <c r="C18" s="30" t="s">
        <v>330</v>
      </c>
      <c r="D18" s="26" t="s">
        <v>392</v>
      </c>
      <c r="E18" s="31" t="s">
        <v>454</v>
      </c>
      <c r="F18" s="31" t="s">
        <v>454</v>
      </c>
      <c r="G18" s="31" t="s">
        <v>454</v>
      </c>
      <c r="H18" s="31" t="s">
        <v>454</v>
      </c>
      <c r="I18" s="31" t="s">
        <v>454</v>
      </c>
      <c r="J18" s="31" t="s">
        <v>454</v>
      </c>
      <c r="K18" s="31" t="s">
        <v>454</v>
      </c>
      <c r="L18" s="26" t="s">
        <v>10</v>
      </c>
      <c r="M18" s="65" t="s">
        <v>768</v>
      </c>
      <c r="N18" s="43">
        <f>VLOOKUP(A18,[1]AccessoryList!$A:$D,4,FALSE)</f>
        <v>263.87</v>
      </c>
      <c r="O18" s="43">
        <f>VLOOKUP(A18,[1]AccessoryList!$A:$E,5,FALSE)</f>
        <v>405.95</v>
      </c>
      <c r="P18" s="26">
        <v>0.5</v>
      </c>
      <c r="Q18" s="27">
        <f t="shared" si="0"/>
        <v>125</v>
      </c>
      <c r="R18" s="28">
        <f t="shared" si="3"/>
        <v>468.45</v>
      </c>
      <c r="T18" s="7" t="str">
        <f>VLOOKUP(A18,[1]AccessoryList!$A:$B,2,FALSE)</f>
        <v>U</v>
      </c>
      <c r="U18" s="2">
        <f>VLOOKUP(A18,[1]AccessoryList!$A:$F,6,FALSE)+VLOOKUP(A18,[1]AccessoryList!$A:$G,7,FALSE)</f>
        <v>0</v>
      </c>
    </row>
    <row r="19" spans="1:21">
      <c r="A19" s="29" t="s">
        <v>173</v>
      </c>
      <c r="B19" s="30" t="s">
        <v>197</v>
      </c>
      <c r="C19" s="30" t="s">
        <v>97</v>
      </c>
      <c r="D19" s="26"/>
      <c r="E19" s="31" t="s">
        <v>454</v>
      </c>
      <c r="F19" s="31" t="s">
        <v>454</v>
      </c>
      <c r="G19" s="31" t="s">
        <v>454</v>
      </c>
      <c r="H19" s="31" t="s">
        <v>454</v>
      </c>
      <c r="I19" s="31" t="s">
        <v>454</v>
      </c>
      <c r="J19" s="31" t="s">
        <v>454</v>
      </c>
      <c r="K19" s="31" t="s">
        <v>454</v>
      </c>
      <c r="L19" s="26" t="s">
        <v>10</v>
      </c>
      <c r="M19" s="65" t="s">
        <v>768</v>
      </c>
      <c r="N19" s="43">
        <f>VLOOKUP(A19,[1]AccessoryList!$A:$D,4,FALSE)</f>
        <v>238.77</v>
      </c>
      <c r="O19" s="43">
        <f>VLOOKUP(A19,[1]AccessoryList!$A:$E,5,FALSE)</f>
        <v>397.95</v>
      </c>
      <c r="P19" s="26">
        <v>0.3</v>
      </c>
      <c r="Q19" s="27">
        <f t="shared" si="0"/>
        <v>125</v>
      </c>
      <c r="R19" s="28">
        <f t="shared" si="3"/>
        <v>435.45</v>
      </c>
      <c r="T19" s="7" t="str">
        <f>VLOOKUP(A19,[1]AccessoryList!$A:$B,2,FALSE)</f>
        <v>Z</v>
      </c>
      <c r="U19" s="2">
        <f>VLOOKUP(A19,[1]AccessoryList!$A:$F,6,FALSE)+VLOOKUP(A19,[1]AccessoryList!$A:$G,7,FALSE)</f>
        <v>0</v>
      </c>
    </row>
    <row r="20" spans="1:21">
      <c r="A20" s="29" t="s">
        <v>267</v>
      </c>
      <c r="B20" s="30" t="s">
        <v>268</v>
      </c>
      <c r="C20" s="30" t="s">
        <v>327</v>
      </c>
      <c r="D20" s="26"/>
      <c r="E20" s="31" t="s">
        <v>454</v>
      </c>
      <c r="F20" s="31" t="s">
        <v>454</v>
      </c>
      <c r="G20" s="31" t="s">
        <v>454</v>
      </c>
      <c r="H20" s="31" t="s">
        <v>454</v>
      </c>
      <c r="I20" s="31" t="s">
        <v>454</v>
      </c>
      <c r="J20" s="31" t="s">
        <v>454</v>
      </c>
      <c r="K20" s="31" t="s">
        <v>454</v>
      </c>
      <c r="L20" s="26" t="s">
        <v>10</v>
      </c>
      <c r="M20" s="65" t="s">
        <v>768</v>
      </c>
      <c r="N20" s="43">
        <f>VLOOKUP(A20,[1]AccessoryList!$A:$D,4,FALSE)</f>
        <v>562.16</v>
      </c>
      <c r="O20" s="43">
        <f>VLOOKUP(A20,[1]AccessoryList!$A:$E,5,FALSE)</f>
        <v>936.95</v>
      </c>
      <c r="P20" s="26">
        <v>0.6</v>
      </c>
      <c r="Q20" s="27">
        <f t="shared" si="0"/>
        <v>125</v>
      </c>
      <c r="R20" s="28">
        <f t="shared" si="3"/>
        <v>1011.95</v>
      </c>
      <c r="T20" s="7" t="str">
        <f>VLOOKUP(A20,[1]AccessoryList!$A:$B,2,FALSE)</f>
        <v>O</v>
      </c>
      <c r="U20" s="2">
        <f>VLOOKUP(A20,[1]AccessoryList!$A:$F,6,FALSE)+VLOOKUP(A20,[1]AccessoryList!$A:$G,7,FALSE)</f>
        <v>26</v>
      </c>
    </row>
    <row r="21" spans="1:21" ht="15">
      <c r="A21" s="29" t="s">
        <v>179</v>
      </c>
      <c r="B21" s="30" t="s">
        <v>118</v>
      </c>
      <c r="C21" s="30" t="s">
        <v>363</v>
      </c>
      <c r="D21" s="26" t="s">
        <v>181</v>
      </c>
      <c r="E21" s="31" t="s">
        <v>454</v>
      </c>
      <c r="F21" s="31" t="s">
        <v>454</v>
      </c>
      <c r="G21" s="31" t="s">
        <v>454</v>
      </c>
      <c r="H21" s="31" t="s">
        <v>454</v>
      </c>
      <c r="I21" s="31" t="s">
        <v>454</v>
      </c>
      <c r="J21" s="31" t="s">
        <v>454</v>
      </c>
      <c r="K21" s="31" t="s">
        <v>454</v>
      </c>
      <c r="L21" s="26" t="s">
        <v>16</v>
      </c>
      <c r="M21" s="95" t="s">
        <v>768</v>
      </c>
      <c r="N21" s="43">
        <f>VLOOKUP(A21,[1]AccessoryList!$A:$D,4,FALSE)</f>
        <v>50</v>
      </c>
      <c r="O21" s="43">
        <f>VLOOKUP(A21,[1]AccessoryList!$A:$E,5,FALSE)</f>
        <v>106.95</v>
      </c>
      <c r="P21" s="26">
        <v>0</v>
      </c>
      <c r="Q21" s="27">
        <f t="shared" si="0"/>
        <v>125</v>
      </c>
      <c r="R21" s="28">
        <f t="shared" si="3"/>
        <v>106.95</v>
      </c>
      <c r="T21" s="7" t="str">
        <f>VLOOKUP(A21,[1]AccessoryList!$A:$B,2,FALSE)</f>
        <v>z</v>
      </c>
      <c r="U21" s="2">
        <f>VLOOKUP(A21,[1]AccessoryList!$A:$F,6,FALSE)+VLOOKUP(A21,[1]AccessoryList!$A:$G,7,FALSE)</f>
        <v>0</v>
      </c>
    </row>
    <row r="22" spans="1:21">
      <c r="A22" s="29" t="s">
        <v>60</v>
      </c>
      <c r="B22" s="30" t="s">
        <v>61</v>
      </c>
      <c r="C22" s="30" t="s">
        <v>101</v>
      </c>
      <c r="D22" s="26"/>
      <c r="E22" s="31" t="s">
        <v>454</v>
      </c>
      <c r="F22" s="31" t="s">
        <v>454</v>
      </c>
      <c r="G22" s="31" t="s">
        <v>454</v>
      </c>
      <c r="H22" s="31" t="s">
        <v>454</v>
      </c>
      <c r="I22" s="31" t="s">
        <v>454</v>
      </c>
      <c r="J22" s="31" t="s">
        <v>454</v>
      </c>
      <c r="K22" s="31" t="s">
        <v>454</v>
      </c>
      <c r="L22" s="26" t="s">
        <v>16</v>
      </c>
      <c r="M22" s="65" t="s">
        <v>768</v>
      </c>
      <c r="N22" s="43">
        <f>VLOOKUP(A22,[1]AccessoryList!$A:$D,4,FALSE)</f>
        <v>98.85</v>
      </c>
      <c r="O22" s="43">
        <f>VLOOKUP(A22,[1]AccessoryList!$A:$E,5,FALSE)</f>
        <v>164.95</v>
      </c>
      <c r="P22" s="26">
        <v>0</v>
      </c>
      <c r="Q22" s="27">
        <f t="shared" si="0"/>
        <v>125</v>
      </c>
      <c r="R22" s="28">
        <f t="shared" si="3"/>
        <v>164.95</v>
      </c>
      <c r="T22" s="7" t="str">
        <f>VLOOKUP(A22,[1]AccessoryList!$A:$B,2,FALSE)</f>
        <v>U</v>
      </c>
      <c r="U22" s="2">
        <f>VLOOKUP(A22,[1]AccessoryList!$A:$F,6,FALSE)+VLOOKUP(A22,[1]AccessoryList!$A:$G,7,FALSE)</f>
        <v>0</v>
      </c>
    </row>
    <row r="23" spans="1:21">
      <c r="A23" s="29" t="s">
        <v>62</v>
      </c>
      <c r="B23" s="30" t="s">
        <v>922</v>
      </c>
      <c r="C23" s="30" t="s">
        <v>102</v>
      </c>
      <c r="D23" s="26"/>
      <c r="E23" s="31" t="s">
        <v>454</v>
      </c>
      <c r="F23" s="31" t="s">
        <v>454</v>
      </c>
      <c r="G23" s="31" t="s">
        <v>454</v>
      </c>
      <c r="H23" s="31" t="s">
        <v>454</v>
      </c>
      <c r="I23" s="31" t="s">
        <v>454</v>
      </c>
      <c r="J23" s="31" t="s">
        <v>454</v>
      </c>
      <c r="K23" s="31" t="s">
        <v>454</v>
      </c>
      <c r="L23" s="26" t="s">
        <v>16</v>
      </c>
      <c r="M23" s="65" t="s">
        <v>768</v>
      </c>
      <c r="N23" s="43">
        <f>VLOOKUP(A23,[1]AccessoryList!$A:$D,4,FALSE)</f>
        <v>39.61</v>
      </c>
      <c r="O23" s="43">
        <f>VLOOKUP(A23,[1]AccessoryList!$A:$E,5,FALSE)</f>
        <v>60.95</v>
      </c>
      <c r="P23" s="26">
        <v>0</v>
      </c>
      <c r="Q23" s="27">
        <f t="shared" si="0"/>
        <v>125</v>
      </c>
      <c r="R23" s="28">
        <f t="shared" si="3"/>
        <v>60.95</v>
      </c>
      <c r="T23" s="7" t="str">
        <f>VLOOKUP(A23,[1]AccessoryList!$A:$B,2,FALSE)</f>
        <v>C</v>
      </c>
      <c r="U23" s="2">
        <f>VLOOKUP(A23,[1]AccessoryList!$A:$F,6,FALSE)+VLOOKUP(A23,[1]AccessoryList!$A:$G,7,FALSE)</f>
        <v>1</v>
      </c>
    </row>
    <row r="24" spans="1:21">
      <c r="A24" s="29" t="s">
        <v>63</v>
      </c>
      <c r="B24" s="30" t="s">
        <v>923</v>
      </c>
      <c r="C24" s="30" t="s">
        <v>103</v>
      </c>
      <c r="D24" s="26"/>
      <c r="E24" s="31" t="s">
        <v>454</v>
      </c>
      <c r="F24" s="31" t="s">
        <v>454</v>
      </c>
      <c r="G24" s="31" t="s">
        <v>454</v>
      </c>
      <c r="H24" s="31" t="s">
        <v>454</v>
      </c>
      <c r="I24" s="31" t="s">
        <v>454</v>
      </c>
      <c r="J24" s="31" t="s">
        <v>454</v>
      </c>
      <c r="K24" s="31" t="s">
        <v>454</v>
      </c>
      <c r="L24" s="26" t="s">
        <v>16</v>
      </c>
      <c r="M24" s="65" t="s">
        <v>768</v>
      </c>
      <c r="N24" s="43">
        <f>VLOOKUP(A24,[1]AccessoryList!$A:$D,4,FALSE)</f>
        <v>34.42</v>
      </c>
      <c r="O24" s="43">
        <f>VLOOKUP(A24,[1]AccessoryList!$A:$E,5,FALSE)</f>
        <v>52.95</v>
      </c>
      <c r="P24" s="26">
        <v>0</v>
      </c>
      <c r="Q24" s="27">
        <f t="shared" si="0"/>
        <v>125</v>
      </c>
      <c r="R24" s="28">
        <f t="shared" si="3"/>
        <v>52.95</v>
      </c>
      <c r="T24" s="7" t="str">
        <f>VLOOKUP(A24,[1]AccessoryList!$A:$B,2,FALSE)</f>
        <v>D</v>
      </c>
      <c r="U24" s="2">
        <f>VLOOKUP(A24,[1]AccessoryList!$A:$F,6,FALSE)+VLOOKUP(A24,[1]AccessoryList!$A:$G,7,FALSE)</f>
        <v>5</v>
      </c>
    </row>
    <row r="25" spans="1:21">
      <c r="A25" s="29" t="s">
        <v>274</v>
      </c>
      <c r="B25" s="30" t="s">
        <v>275</v>
      </c>
      <c r="C25" s="30" t="s">
        <v>297</v>
      </c>
      <c r="D25" s="26"/>
      <c r="E25" s="31" t="s">
        <v>454</v>
      </c>
      <c r="F25" s="31" t="s">
        <v>454</v>
      </c>
      <c r="G25" s="31" t="s">
        <v>454</v>
      </c>
      <c r="H25" s="31" t="s">
        <v>454</v>
      </c>
      <c r="I25" s="31" t="s">
        <v>454</v>
      </c>
      <c r="J25" s="31" t="s">
        <v>454</v>
      </c>
      <c r="K25" s="31" t="s">
        <v>454</v>
      </c>
      <c r="L25" s="26" t="s">
        <v>10</v>
      </c>
      <c r="M25" s="65" t="s">
        <v>768</v>
      </c>
      <c r="N25" s="43">
        <f>VLOOKUP(A25,[1]AccessoryList!$A:$D,4,FALSE)</f>
        <v>212.37</v>
      </c>
      <c r="O25" s="43">
        <f>VLOOKUP(A25,[1]AccessoryList!$A:$E,5,FALSE)</f>
        <v>353.95</v>
      </c>
      <c r="P25" s="26">
        <v>0.6</v>
      </c>
      <c r="Q25" s="27">
        <f t="shared" si="0"/>
        <v>125</v>
      </c>
      <c r="R25" s="28">
        <f t="shared" si="3"/>
        <v>428.95</v>
      </c>
      <c r="T25" s="7" t="str">
        <f>VLOOKUP(A25,[1]AccessoryList!$A:$B,2,FALSE)</f>
        <v>D</v>
      </c>
      <c r="U25" s="2">
        <f>VLOOKUP(A25,[1]AccessoryList!$A:$F,6,FALSE)+VLOOKUP(A25,[1]AccessoryList!$A:$G,7,FALSE)</f>
        <v>2</v>
      </c>
    </row>
    <row r="26" spans="1:21">
      <c r="A26" s="29" t="s">
        <v>15</v>
      </c>
      <c r="B26" s="30" t="s">
        <v>32</v>
      </c>
      <c r="C26" s="30" t="s">
        <v>89</v>
      </c>
      <c r="D26" s="26"/>
      <c r="E26" s="31" t="s">
        <v>454</v>
      </c>
      <c r="F26" s="31" t="s">
        <v>454</v>
      </c>
      <c r="G26" s="31" t="s">
        <v>454</v>
      </c>
      <c r="H26" s="31" t="s">
        <v>454</v>
      </c>
      <c r="I26" s="31" t="s">
        <v>454</v>
      </c>
      <c r="J26" s="31" t="s">
        <v>454</v>
      </c>
      <c r="K26" s="31" t="s">
        <v>454</v>
      </c>
      <c r="L26" s="26" t="s">
        <v>0</v>
      </c>
      <c r="M26" s="65" t="s">
        <v>768</v>
      </c>
      <c r="N26" s="43">
        <f>VLOOKUP(A26,[1]AccessoryList!$A:$D,4,FALSE)</f>
        <v>32.97</v>
      </c>
      <c r="O26" s="43">
        <f>VLOOKUP(A26,[1]AccessoryList!$A:$E,5,FALSE)</f>
        <v>54.95</v>
      </c>
      <c r="P26" s="26">
        <v>0</v>
      </c>
      <c r="Q26" s="27">
        <f t="shared" si="0"/>
        <v>125</v>
      </c>
      <c r="R26" s="28">
        <f t="shared" si="3"/>
        <v>54.95</v>
      </c>
      <c r="T26" s="7" t="str">
        <f>VLOOKUP(A26,[1]AccessoryList!$A:$B,2,FALSE)</f>
        <v>Q</v>
      </c>
      <c r="U26" s="2">
        <f>VLOOKUP(A26,[1]AccessoryList!$A:$F,6,FALSE)+VLOOKUP(A26,[1]AccessoryList!$A:$G,7,FALSE)</f>
        <v>14</v>
      </c>
    </row>
    <row r="27" spans="1:21">
      <c r="A27" s="29" t="s">
        <v>303</v>
      </c>
      <c r="B27" s="30" t="s">
        <v>782</v>
      </c>
      <c r="C27" s="30" t="s">
        <v>305</v>
      </c>
      <c r="D27" s="26"/>
      <c r="E27" s="31" t="s">
        <v>454</v>
      </c>
      <c r="F27" s="31" t="s">
        <v>454</v>
      </c>
      <c r="G27" s="31" t="s">
        <v>454</v>
      </c>
      <c r="H27" s="31" t="s">
        <v>454</v>
      </c>
      <c r="I27" s="31" t="s">
        <v>454</v>
      </c>
      <c r="J27" s="31" t="s">
        <v>454</v>
      </c>
      <c r="K27" s="31" t="s">
        <v>454</v>
      </c>
      <c r="L27" s="26" t="s">
        <v>59</v>
      </c>
      <c r="M27" s="63" t="s">
        <v>768</v>
      </c>
      <c r="N27" s="43">
        <f>VLOOKUP(A27,[1]AccessoryList!$A:$D,4,FALSE)</f>
        <v>225</v>
      </c>
      <c r="O27" s="43">
        <f>VLOOKUP(A27,[1]AccessoryList!$A:$E,5,FALSE)</f>
        <v>319.95</v>
      </c>
      <c r="P27" s="26">
        <v>0.5</v>
      </c>
      <c r="Q27" s="27">
        <f t="shared" si="0"/>
        <v>125</v>
      </c>
      <c r="R27" s="28">
        <f t="shared" si="3"/>
        <v>382.45</v>
      </c>
      <c r="T27" s="7" t="str">
        <f>VLOOKUP(A27,[1]AccessoryList!$A:$B,2,FALSE)</f>
        <v>Z</v>
      </c>
      <c r="U27" s="2">
        <f>VLOOKUP(A27,[1]AccessoryList!$A:$F,6,FALSE)+VLOOKUP(A27,[1]AccessoryList!$A:$G,7,FALSE)</f>
        <v>0</v>
      </c>
    </row>
    <row r="28" spans="1:21">
      <c r="A28" s="29" t="s">
        <v>304</v>
      </c>
      <c r="B28" s="30" t="s">
        <v>783</v>
      </c>
      <c r="C28" s="30" t="s">
        <v>306</v>
      </c>
      <c r="D28" s="26"/>
      <c r="E28" s="31" t="s">
        <v>454</v>
      </c>
      <c r="F28" s="31" t="s">
        <v>454</v>
      </c>
      <c r="G28" s="31" t="s">
        <v>454</v>
      </c>
      <c r="H28" s="31" t="s">
        <v>454</v>
      </c>
      <c r="I28" s="31" t="s">
        <v>454</v>
      </c>
      <c r="J28" s="31" t="s">
        <v>454</v>
      </c>
      <c r="K28" s="31" t="s">
        <v>454</v>
      </c>
      <c r="L28" s="26" t="s">
        <v>59</v>
      </c>
      <c r="M28" s="62"/>
      <c r="N28" s="43">
        <f>VLOOKUP(A28,[1]AccessoryList!$A:$D,4,FALSE)</f>
        <v>50</v>
      </c>
      <c r="O28" s="43">
        <f>VLOOKUP(A28,[1]AccessoryList!$A:$E,5,FALSE)</f>
        <v>69.95</v>
      </c>
      <c r="P28" s="26">
        <v>0.5</v>
      </c>
      <c r="Q28" s="27">
        <f t="shared" si="0"/>
        <v>125</v>
      </c>
      <c r="R28" s="28">
        <f t="shared" si="3"/>
        <v>132.44999999999999</v>
      </c>
      <c r="T28" s="7" t="str">
        <f>VLOOKUP(A28,[1]AccessoryList!$A:$B,2,FALSE)</f>
        <v>S</v>
      </c>
      <c r="U28" s="2">
        <f>VLOOKUP(A28,[1]AccessoryList!$A:$F,6,FALSE)+VLOOKUP(A28,[1]AccessoryList!$A:$G,7,FALSE)</f>
        <v>0</v>
      </c>
    </row>
    <row r="29" spans="1:21">
      <c r="A29" s="29" t="s">
        <v>12</v>
      </c>
      <c r="B29" s="30" t="s">
        <v>132</v>
      </c>
      <c r="C29" s="30" t="s">
        <v>107</v>
      </c>
      <c r="D29" s="26" t="s">
        <v>137</v>
      </c>
      <c r="E29" s="31" t="s">
        <v>454</v>
      </c>
      <c r="F29" s="31" t="s">
        <v>454</v>
      </c>
      <c r="G29" s="31" t="s">
        <v>454</v>
      </c>
      <c r="H29" s="31" t="s">
        <v>454</v>
      </c>
      <c r="I29" s="31" t="s">
        <v>454</v>
      </c>
      <c r="J29" s="31" t="s">
        <v>454</v>
      </c>
      <c r="K29" s="31" t="s">
        <v>454</v>
      </c>
      <c r="L29" s="26" t="s">
        <v>10</v>
      </c>
      <c r="M29" s="65" t="s">
        <v>768</v>
      </c>
      <c r="N29" s="43">
        <f>VLOOKUP(A29,[1]AccessoryList!$A:$D,4,FALSE)</f>
        <v>194.97</v>
      </c>
      <c r="O29" s="43">
        <f>VLOOKUP(A29,[1]AccessoryList!$A:$E,5,FALSE)</f>
        <v>324.95</v>
      </c>
      <c r="P29" s="26">
        <v>0.5</v>
      </c>
      <c r="Q29" s="27">
        <f t="shared" si="0"/>
        <v>125</v>
      </c>
      <c r="R29" s="28">
        <f t="shared" si="3"/>
        <v>387.45</v>
      </c>
      <c r="T29" s="7" t="str">
        <f>VLOOKUP(A29,[1]AccessoryList!$A:$B,2,FALSE)</f>
        <v>D</v>
      </c>
      <c r="U29" s="2">
        <f>VLOOKUP(A29,[1]AccessoryList!$A:$F,6,FALSE)+VLOOKUP(A29,[1]AccessoryList!$A:$G,7,FALSE)</f>
        <v>6</v>
      </c>
    </row>
    <row r="30" spans="1:21">
      <c r="A30" s="29" t="s">
        <v>11</v>
      </c>
      <c r="B30" s="30" t="s">
        <v>138</v>
      </c>
      <c r="C30" s="30" t="s">
        <v>107</v>
      </c>
      <c r="D30" s="26" t="s">
        <v>204</v>
      </c>
      <c r="E30" s="31" t="s">
        <v>454</v>
      </c>
      <c r="F30" s="31" t="s">
        <v>454</v>
      </c>
      <c r="G30" s="31" t="s">
        <v>454</v>
      </c>
      <c r="H30" s="31" t="s">
        <v>454</v>
      </c>
      <c r="I30" s="31" t="s">
        <v>454</v>
      </c>
      <c r="J30" s="31" t="s">
        <v>454</v>
      </c>
      <c r="K30" s="31" t="s">
        <v>454</v>
      </c>
      <c r="L30" s="26" t="s">
        <v>10</v>
      </c>
      <c r="M30" s="65" t="s">
        <v>768</v>
      </c>
      <c r="N30" s="43">
        <f>VLOOKUP(A30,[1]AccessoryList!$A:$D,4,FALSE)</f>
        <v>194.97</v>
      </c>
      <c r="O30" s="43">
        <f>VLOOKUP(A30,[1]AccessoryList!$A:$E,5,FALSE)</f>
        <v>324.95</v>
      </c>
      <c r="P30" s="26">
        <v>0.2</v>
      </c>
      <c r="Q30" s="27">
        <f t="shared" si="0"/>
        <v>125</v>
      </c>
      <c r="R30" s="28">
        <f t="shared" si="3"/>
        <v>349.95</v>
      </c>
      <c r="T30" s="7" t="str">
        <f>VLOOKUP(A30,[1]AccessoryList!$A:$B,2,FALSE)</f>
        <v>Q</v>
      </c>
      <c r="U30" s="2">
        <f>VLOOKUP(A30,[1]AccessoryList!$A:$F,6,FALSE)+VLOOKUP(A30,[1]AccessoryList!$A:$G,7,FALSE)</f>
        <v>4</v>
      </c>
    </row>
    <row r="31" spans="1:21">
      <c r="A31" s="29" t="s">
        <v>21</v>
      </c>
      <c r="B31" s="30" t="s">
        <v>27</v>
      </c>
      <c r="C31" s="30" t="s">
        <v>105</v>
      </c>
      <c r="D31" s="26" t="s">
        <v>128</v>
      </c>
      <c r="E31" s="31" t="s">
        <v>454</v>
      </c>
      <c r="F31" s="31" t="s">
        <v>454</v>
      </c>
      <c r="G31" s="31" t="s">
        <v>454</v>
      </c>
      <c r="H31" s="31" t="s">
        <v>454</v>
      </c>
      <c r="I31" s="31" t="s">
        <v>454</v>
      </c>
      <c r="J31" s="31" t="s">
        <v>454</v>
      </c>
      <c r="K31" s="31" t="s">
        <v>454</v>
      </c>
      <c r="L31" s="26" t="s">
        <v>4</v>
      </c>
      <c r="M31" s="62"/>
      <c r="N31" s="43">
        <f>VLOOKUP(A31,[1]AccessoryList!$A:$D,4,FALSE)</f>
        <v>77</v>
      </c>
      <c r="O31" s="43">
        <f>VLOOKUP(A31,[1]AccessoryList!$A:$E,5,FALSE)</f>
        <v>128.94999999999999</v>
      </c>
      <c r="P31" s="26">
        <v>0.5</v>
      </c>
      <c r="Q31" s="27">
        <f t="shared" si="0"/>
        <v>125</v>
      </c>
      <c r="R31" s="28">
        <f t="shared" si="3"/>
        <v>191.45</v>
      </c>
      <c r="T31" s="7" t="str">
        <f>VLOOKUP(A31,[1]AccessoryList!$A:$B,2,FALSE)</f>
        <v>A</v>
      </c>
      <c r="U31" s="2">
        <f>VLOOKUP(A31,[1]AccessoryList!$A:$F,6,FALSE)+VLOOKUP(A31,[1]AccessoryList!$A:$G,7,FALSE)</f>
        <v>838</v>
      </c>
    </row>
    <row r="32" spans="1:21">
      <c r="A32" s="29" t="s">
        <v>64</v>
      </c>
      <c r="B32" s="30" t="s">
        <v>150</v>
      </c>
      <c r="C32" s="30" t="s">
        <v>95</v>
      </c>
      <c r="D32" s="26"/>
      <c r="E32" s="31" t="s">
        <v>454</v>
      </c>
      <c r="F32" s="31" t="s">
        <v>454</v>
      </c>
      <c r="G32" s="31" t="s">
        <v>454</v>
      </c>
      <c r="H32" s="31" t="s">
        <v>454</v>
      </c>
      <c r="I32" s="31" t="s">
        <v>454</v>
      </c>
      <c r="J32" s="31" t="s">
        <v>454</v>
      </c>
      <c r="K32" s="31" t="s">
        <v>454</v>
      </c>
      <c r="L32" s="26" t="s">
        <v>0</v>
      </c>
      <c r="M32" s="62"/>
      <c r="N32" s="43">
        <f>VLOOKUP(A32,[1]AccessoryList!$A:$D,4,FALSE)</f>
        <v>64.17</v>
      </c>
      <c r="O32" s="43">
        <f>VLOOKUP(A32,[1]AccessoryList!$A:$E,5,FALSE)</f>
        <v>106.95</v>
      </c>
      <c r="P32" s="26">
        <v>0.5</v>
      </c>
      <c r="Q32" s="27">
        <f t="shared" si="0"/>
        <v>125</v>
      </c>
      <c r="R32" s="28">
        <f t="shared" si="3"/>
        <v>169.45</v>
      </c>
      <c r="T32" s="7" t="str">
        <f>VLOOKUP(A32,[1]AccessoryList!$A:$B,2,FALSE)</f>
        <v>U</v>
      </c>
      <c r="U32" s="2">
        <f>VLOOKUP(A32,[1]AccessoryList!$A:$F,6,FALSE)+VLOOKUP(A32,[1]AccessoryList!$A:$G,7,FALSE)</f>
        <v>0</v>
      </c>
    </row>
    <row r="33" spans="1:57" s="13" customFormat="1">
      <c r="A33" s="29" t="s">
        <v>175</v>
      </c>
      <c r="B33" s="30" t="s">
        <v>646</v>
      </c>
      <c r="C33" s="21" t="s">
        <v>878</v>
      </c>
      <c r="D33" s="26"/>
      <c r="E33" s="31" t="s">
        <v>454</v>
      </c>
      <c r="F33" s="31" t="s">
        <v>454</v>
      </c>
      <c r="G33" s="31" t="s">
        <v>454</v>
      </c>
      <c r="H33" s="31" t="s">
        <v>454</v>
      </c>
      <c r="I33" s="31" t="s">
        <v>454</v>
      </c>
      <c r="J33" s="31" t="s">
        <v>454</v>
      </c>
      <c r="K33" s="31" t="s">
        <v>454</v>
      </c>
      <c r="L33" s="26" t="s">
        <v>16</v>
      </c>
      <c r="M33" s="61" t="s">
        <v>768</v>
      </c>
      <c r="N33" s="43">
        <f>VLOOKUP(A33,[1]AccessoryList!$A:$D,4,FALSE)</f>
        <v>70</v>
      </c>
      <c r="O33" s="43">
        <f>VLOOKUP(A33,[1]AccessoryList!$A:$E,5,FALSE)</f>
        <v>99.95</v>
      </c>
      <c r="P33" s="26">
        <v>0</v>
      </c>
      <c r="Q33" s="27">
        <f t="shared" si="0"/>
        <v>125</v>
      </c>
      <c r="R33" s="28">
        <f t="shared" si="3"/>
        <v>99.95</v>
      </c>
      <c r="S33" s="2"/>
      <c r="T33" s="7" t="str">
        <f>VLOOKUP(A33,[1]AccessoryList!$A:$B,2,FALSE)</f>
        <v>S</v>
      </c>
      <c r="U33" s="2">
        <f>VLOOKUP(A33,[1]AccessoryList!$A:$F,6,FALSE)+VLOOKUP(A33,[1]AccessoryList!$A:$G,7,FALSE)</f>
        <v>27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7" s="13" customFormat="1">
      <c r="A34" s="29" t="s">
        <v>176</v>
      </c>
      <c r="B34" s="30" t="s">
        <v>647</v>
      </c>
      <c r="C34" s="21" t="s">
        <v>879</v>
      </c>
      <c r="D34" s="26"/>
      <c r="E34" s="31" t="s">
        <v>454</v>
      </c>
      <c r="F34" s="31" t="s">
        <v>454</v>
      </c>
      <c r="G34" s="31" t="s">
        <v>454</v>
      </c>
      <c r="H34" s="31" t="s">
        <v>454</v>
      </c>
      <c r="I34" s="31" t="s">
        <v>454</v>
      </c>
      <c r="J34" s="31" t="s">
        <v>454</v>
      </c>
      <c r="K34" s="31" t="s">
        <v>454</v>
      </c>
      <c r="L34" s="26" t="s">
        <v>16</v>
      </c>
      <c r="M34" s="61" t="s">
        <v>768</v>
      </c>
      <c r="N34" s="43">
        <f>VLOOKUP(A34,[1]AccessoryList!$A:$D,4,FALSE)</f>
        <v>70</v>
      </c>
      <c r="O34" s="43">
        <f>VLOOKUP(A34,[1]AccessoryList!$A:$E,5,FALSE)</f>
        <v>99.95</v>
      </c>
      <c r="P34" s="26">
        <v>0</v>
      </c>
      <c r="Q34" s="27">
        <f t="shared" si="0"/>
        <v>125</v>
      </c>
      <c r="R34" s="28">
        <f t="shared" si="3"/>
        <v>99.95</v>
      </c>
      <c r="S34" s="2"/>
      <c r="T34" s="7" t="str">
        <f>VLOOKUP(A34,[1]AccessoryList!$A:$B,2,FALSE)</f>
        <v>S</v>
      </c>
      <c r="U34" s="2">
        <f>VLOOKUP(A34,[1]AccessoryList!$A:$F,6,FALSE)+VLOOKUP(A34,[1]AccessoryList!$A:$G,7,FALSE)</f>
        <v>32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spans="1:57" s="13" customFormat="1">
      <c r="A35" s="29" t="s">
        <v>177</v>
      </c>
      <c r="B35" s="30" t="s">
        <v>648</v>
      </c>
      <c r="C35" s="21" t="s">
        <v>880</v>
      </c>
      <c r="D35" s="26"/>
      <c r="E35" s="31" t="s">
        <v>454</v>
      </c>
      <c r="F35" s="31" t="s">
        <v>454</v>
      </c>
      <c r="G35" s="31" t="s">
        <v>454</v>
      </c>
      <c r="H35" s="31" t="s">
        <v>454</v>
      </c>
      <c r="I35" s="31" t="s">
        <v>454</v>
      </c>
      <c r="J35" s="31" t="s">
        <v>454</v>
      </c>
      <c r="K35" s="31" t="s">
        <v>454</v>
      </c>
      <c r="L35" s="26" t="s">
        <v>16</v>
      </c>
      <c r="M35" s="61" t="s">
        <v>768</v>
      </c>
      <c r="N35" s="43">
        <f>VLOOKUP(A35,[1]AccessoryList!$A:$D,4,FALSE)</f>
        <v>49</v>
      </c>
      <c r="O35" s="43">
        <f>VLOOKUP(A35,[1]AccessoryList!$A:$E,5,FALSE)</f>
        <v>69.95</v>
      </c>
      <c r="P35" s="26">
        <v>0</v>
      </c>
      <c r="Q35" s="27">
        <f t="shared" si="0"/>
        <v>125</v>
      </c>
      <c r="R35" s="28">
        <f t="shared" si="3"/>
        <v>69.95</v>
      </c>
      <c r="S35" s="2"/>
      <c r="T35" s="7" t="str">
        <f>VLOOKUP(A35,[1]AccessoryList!$A:$B,2,FALSE)</f>
        <v>S</v>
      </c>
      <c r="U35" s="2">
        <f>VLOOKUP(A35,[1]AccessoryList!$A:$F,6,FALSE)+VLOOKUP(A35,[1]AccessoryList!$A:$G,7,FALSE)</f>
        <v>20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 s="13" customFormat="1">
      <c r="A36" s="29" t="s">
        <v>221</v>
      </c>
      <c r="B36" s="30" t="s">
        <v>29</v>
      </c>
      <c r="C36" s="30" t="s">
        <v>88</v>
      </c>
      <c r="D36" s="26"/>
      <c r="E36" s="31" t="s">
        <v>454</v>
      </c>
      <c r="F36" s="31" t="s">
        <v>454</v>
      </c>
      <c r="G36" s="31" t="s">
        <v>454</v>
      </c>
      <c r="H36" s="31" t="s">
        <v>454</v>
      </c>
      <c r="I36" s="31" t="s">
        <v>454</v>
      </c>
      <c r="J36" s="31" t="s">
        <v>454</v>
      </c>
      <c r="K36" s="31" t="s">
        <v>454</v>
      </c>
      <c r="L36" s="26" t="s">
        <v>10</v>
      </c>
      <c r="M36" s="65" t="s">
        <v>768</v>
      </c>
      <c r="N36" s="43">
        <f>VLOOKUP(A36,[1]AccessoryList!$A:$D,4,FALSE)</f>
        <v>160.77000000000001</v>
      </c>
      <c r="O36" s="43">
        <f>VLOOKUP(A36,[1]AccessoryList!$A:$E,5,FALSE)</f>
        <v>267.95</v>
      </c>
      <c r="P36" s="26">
        <v>0.5</v>
      </c>
      <c r="Q36" s="27">
        <f t="shared" si="0"/>
        <v>125</v>
      </c>
      <c r="R36" s="28">
        <f t="shared" si="3"/>
        <v>330.45</v>
      </c>
      <c r="S36" s="2"/>
      <c r="T36" s="7" t="str">
        <f>VLOOKUP(A36,[1]AccessoryList!$A:$B,2,FALSE)</f>
        <v>B</v>
      </c>
      <c r="U36" s="2">
        <f>VLOOKUP(A36,[1]AccessoryList!$A:$F,6,FALSE)+VLOOKUP(A36,[1]AccessoryList!$A:$G,7,FALSE)</f>
        <v>41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>
      <c r="A37" s="22" t="s">
        <v>561</v>
      </c>
      <c r="B37" s="23" t="s">
        <v>563</v>
      </c>
      <c r="C37" s="23" t="s">
        <v>566</v>
      </c>
      <c r="D37" s="24" t="s">
        <v>569</v>
      </c>
      <c r="E37" s="25" t="s">
        <v>454</v>
      </c>
      <c r="F37" s="25" t="s">
        <v>454</v>
      </c>
      <c r="G37" s="25" t="s">
        <v>454</v>
      </c>
      <c r="H37" s="25" t="s">
        <v>454</v>
      </c>
      <c r="I37" s="25" t="s">
        <v>454</v>
      </c>
      <c r="J37" s="25" t="s">
        <v>454</v>
      </c>
      <c r="K37" s="25" t="s">
        <v>454</v>
      </c>
      <c r="L37" s="44" t="s">
        <v>10</v>
      </c>
      <c r="M37" s="61" t="s">
        <v>768</v>
      </c>
      <c r="N37" s="43">
        <f>VLOOKUP(A37,[1]AccessoryList!$A:$D,4,FALSE)</f>
        <v>14.77</v>
      </c>
      <c r="O37" s="43">
        <f>VLOOKUP(A37,[1]AccessoryList!$A:$E,5,FALSE)</f>
        <v>39.950000000000003</v>
      </c>
      <c r="P37" s="26">
        <v>0</v>
      </c>
      <c r="Q37" s="27">
        <f t="shared" si="0"/>
        <v>125</v>
      </c>
      <c r="R37" s="28">
        <v>49.95</v>
      </c>
      <c r="T37" s="7" t="str">
        <f>VLOOKUP(A37,[1]AccessoryList!$A:$B,2,FALSE)</f>
        <v>B</v>
      </c>
      <c r="U37" s="2">
        <f>VLOOKUP(A37,[1]AccessoryList!$A:$F,6,FALSE)+VLOOKUP(A37,[1]AccessoryList!$A:$G,7,FALSE)</f>
        <v>912</v>
      </c>
    </row>
    <row r="38" spans="1:57">
      <c r="A38" s="33" t="s">
        <v>562</v>
      </c>
      <c r="B38" s="23" t="s">
        <v>565</v>
      </c>
      <c r="C38" s="23" t="s">
        <v>568</v>
      </c>
      <c r="D38" s="34" t="s">
        <v>569</v>
      </c>
      <c r="E38" s="25" t="s">
        <v>454</v>
      </c>
      <c r="F38" s="25" t="s">
        <v>454</v>
      </c>
      <c r="G38" s="25" t="s">
        <v>454</v>
      </c>
      <c r="H38" s="25" t="s">
        <v>454</v>
      </c>
      <c r="I38" s="25" t="s">
        <v>454</v>
      </c>
      <c r="J38" s="25" t="s">
        <v>454</v>
      </c>
      <c r="K38" s="25" t="s">
        <v>454</v>
      </c>
      <c r="L38" s="44" t="s">
        <v>10</v>
      </c>
      <c r="M38" s="61" t="s">
        <v>768</v>
      </c>
      <c r="N38" s="43">
        <f>VLOOKUP(A38,[1]AccessoryList!$A:$D,4,FALSE)</f>
        <v>18.09</v>
      </c>
      <c r="O38" s="43">
        <v>0</v>
      </c>
      <c r="P38" s="32">
        <v>0</v>
      </c>
      <c r="Q38" s="27">
        <f t="shared" si="0"/>
        <v>125</v>
      </c>
      <c r="R38" s="28">
        <f t="shared" si="3"/>
        <v>0</v>
      </c>
      <c r="T38" s="7" t="str">
        <f>VLOOKUP(A38,[1]AccessoryList!$A:$B,2,FALSE)</f>
        <v>D</v>
      </c>
      <c r="U38" s="2">
        <f>VLOOKUP(A38,[1]AccessoryList!$A:$F,6,FALSE)+VLOOKUP(A38,[1]AccessoryList!$A:$G,7,FALSE)</f>
        <v>100</v>
      </c>
    </row>
    <row r="39" spans="1:57">
      <c r="A39" s="22" t="s">
        <v>560</v>
      </c>
      <c r="B39" s="36" t="s">
        <v>885</v>
      </c>
      <c r="C39" s="36" t="s">
        <v>905</v>
      </c>
      <c r="D39" s="24" t="s">
        <v>569</v>
      </c>
      <c r="E39" s="25" t="s">
        <v>454</v>
      </c>
      <c r="F39" s="25" t="s">
        <v>454</v>
      </c>
      <c r="G39" s="25" t="s">
        <v>454</v>
      </c>
      <c r="H39" s="25" t="s">
        <v>454</v>
      </c>
      <c r="I39" s="25" t="s">
        <v>454</v>
      </c>
      <c r="J39" s="25" t="s">
        <v>454</v>
      </c>
      <c r="K39" s="25" t="s">
        <v>454</v>
      </c>
      <c r="L39" s="44" t="s">
        <v>10</v>
      </c>
      <c r="M39" s="71" t="s">
        <v>768</v>
      </c>
      <c r="N39" s="43">
        <f>VLOOKUP(A39,[1]AccessoryList!$A:$D,4,FALSE)</f>
        <v>16.45</v>
      </c>
      <c r="O39" s="43">
        <f>VLOOKUP(A39,[1]AccessoryList!$A:$E,5,FALSE)</f>
        <v>39.950000000000003</v>
      </c>
      <c r="P39" s="26">
        <v>0</v>
      </c>
      <c r="Q39" s="27">
        <f t="shared" si="0"/>
        <v>125</v>
      </c>
      <c r="R39" s="28">
        <v>49.95</v>
      </c>
      <c r="T39" s="7" t="str">
        <f>VLOOKUP(A39,[1]AccessoryList!$A:$B,2,FALSE)</f>
        <v>D</v>
      </c>
      <c r="U39" s="2">
        <f>VLOOKUP(A39,[1]AccessoryList!$A:$F,6,FALSE)+VLOOKUP(A39,[1]AccessoryList!$A:$G,7,FALSE)</f>
        <v>76</v>
      </c>
    </row>
    <row r="40" spans="1:57" s="13" customFormat="1">
      <c r="A40" s="22" t="s">
        <v>570</v>
      </c>
      <c r="B40" s="23" t="s">
        <v>564</v>
      </c>
      <c r="C40" s="23" t="s">
        <v>567</v>
      </c>
      <c r="D40" s="24" t="s">
        <v>569</v>
      </c>
      <c r="E40" s="25" t="s">
        <v>454</v>
      </c>
      <c r="F40" s="25" t="s">
        <v>454</v>
      </c>
      <c r="G40" s="25" t="s">
        <v>454</v>
      </c>
      <c r="H40" s="25" t="s">
        <v>454</v>
      </c>
      <c r="I40" s="25" t="s">
        <v>454</v>
      </c>
      <c r="J40" s="25" t="s">
        <v>454</v>
      </c>
      <c r="K40" s="25" t="s">
        <v>454</v>
      </c>
      <c r="L40" s="44" t="s">
        <v>10</v>
      </c>
      <c r="M40" s="61" t="s">
        <v>768</v>
      </c>
      <c r="N40" s="43">
        <f>VLOOKUP(A40,[1]AccessoryList!$A:$D,4,FALSE)</f>
        <v>99.95</v>
      </c>
      <c r="O40" s="43">
        <f>VLOOKUP(A40,[1]AccessoryList!$A:$E,5,FALSE)</f>
        <v>39.950000000000003</v>
      </c>
      <c r="P40" s="26">
        <v>0</v>
      </c>
      <c r="Q40" s="27">
        <f t="shared" si="0"/>
        <v>125</v>
      </c>
      <c r="R40" s="28">
        <v>49.95</v>
      </c>
      <c r="S40" s="2"/>
      <c r="T40" s="7" t="str">
        <f>VLOOKUP(A40,[1]AccessoryList!$A:$B,2,FALSE)</f>
        <v>D</v>
      </c>
      <c r="U40" s="2">
        <f>VLOOKUP(A40,[1]AccessoryList!$A:$F,6,FALSE)+VLOOKUP(A40,[1]AccessoryList!$A:$G,7,FALSE)</f>
        <v>213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spans="1:57" s="13" customFormat="1" ht="15">
      <c r="A41" s="76" t="s">
        <v>1046</v>
      </c>
      <c r="B41" s="49" t="s">
        <v>1047</v>
      </c>
      <c r="C41" s="49" t="s">
        <v>1050</v>
      </c>
      <c r="D41" s="77" t="s">
        <v>569</v>
      </c>
      <c r="E41" s="80" t="s">
        <v>454</v>
      </c>
      <c r="F41" s="80" t="s">
        <v>454</v>
      </c>
      <c r="G41" s="80" t="s">
        <v>454</v>
      </c>
      <c r="H41" s="80" t="s">
        <v>454</v>
      </c>
      <c r="I41" s="80" t="s">
        <v>454</v>
      </c>
      <c r="J41" s="80" t="s">
        <v>454</v>
      </c>
      <c r="K41" s="80" t="s">
        <v>454</v>
      </c>
      <c r="L41" s="85" t="s">
        <v>10</v>
      </c>
      <c r="M41" s="79" t="s">
        <v>768</v>
      </c>
      <c r="N41" s="81">
        <f>VLOOKUP(A41,[1]AccessoryList!$A:$D,4,FALSE)</f>
        <v>18.5</v>
      </c>
      <c r="O41" s="81">
        <f>VLOOKUP(A41,[1]AccessoryList!$A:$E,5,FALSE)</f>
        <v>0</v>
      </c>
      <c r="P41" s="82">
        <v>0</v>
      </c>
      <c r="Q41" s="83">
        <f t="shared" si="0"/>
        <v>125</v>
      </c>
      <c r="R41" s="84">
        <f t="shared" ref="R41:R42" si="4">P41*Q41+O41</f>
        <v>0</v>
      </c>
      <c r="S41" s="2"/>
      <c r="T41" s="7" t="str">
        <f>VLOOKUP(A41,[1]AccessoryList!$A:$B,2,FALSE)</f>
        <v>C</v>
      </c>
      <c r="U41" s="2">
        <f>VLOOKUP(A41,[1]AccessoryList!$A:$F,6,FALSE)+VLOOKUP(A41,[1]AccessoryList!$A:$G,7,FALSE)</f>
        <v>84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spans="1:57" s="13" customFormat="1" ht="15">
      <c r="A42" s="76" t="s">
        <v>1048</v>
      </c>
      <c r="B42" s="49" t="s">
        <v>1049</v>
      </c>
      <c r="C42" s="49" t="s">
        <v>1051</v>
      </c>
      <c r="D42" s="77" t="s">
        <v>569</v>
      </c>
      <c r="E42" s="80" t="s">
        <v>454</v>
      </c>
      <c r="F42" s="80" t="s">
        <v>454</v>
      </c>
      <c r="G42" s="80" t="s">
        <v>454</v>
      </c>
      <c r="H42" s="80" t="s">
        <v>454</v>
      </c>
      <c r="I42" s="80" t="s">
        <v>454</v>
      </c>
      <c r="J42" s="80" t="s">
        <v>454</v>
      </c>
      <c r="K42" s="80" t="s">
        <v>454</v>
      </c>
      <c r="L42" s="85" t="s">
        <v>10</v>
      </c>
      <c r="M42" s="79" t="s">
        <v>768</v>
      </c>
      <c r="N42" s="81">
        <f>VLOOKUP(A42,[1]AccessoryList!$A:$D,4,FALSE)</f>
        <v>14.25</v>
      </c>
      <c r="O42" s="81">
        <f>VLOOKUP(A42,[1]AccessoryList!$A:$E,5,FALSE)</f>
        <v>0</v>
      </c>
      <c r="P42" s="82">
        <v>0</v>
      </c>
      <c r="Q42" s="83">
        <f t="shared" si="0"/>
        <v>125</v>
      </c>
      <c r="R42" s="84">
        <f t="shared" si="4"/>
        <v>0</v>
      </c>
      <c r="S42" s="2"/>
      <c r="T42" s="7" t="str">
        <f>VLOOKUP(A42,[1]AccessoryList!$A:$B,2,FALSE)</f>
        <v>D</v>
      </c>
      <c r="U42" s="2">
        <f>VLOOKUP(A42,[1]AccessoryList!$A:$F,6,FALSE)+VLOOKUP(A42,[1]AccessoryList!$A:$G,7,FALSE)</f>
        <v>88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spans="1:57" s="13" customFormat="1">
      <c r="A43" s="29" t="s">
        <v>75</v>
      </c>
      <c r="B43" s="30" t="s">
        <v>198</v>
      </c>
      <c r="C43" s="30" t="s">
        <v>90</v>
      </c>
      <c r="D43" s="26"/>
      <c r="E43" s="31" t="s">
        <v>454</v>
      </c>
      <c r="F43" s="31" t="s">
        <v>454</v>
      </c>
      <c r="G43" s="31" t="s">
        <v>454</v>
      </c>
      <c r="H43" s="31" t="s">
        <v>454</v>
      </c>
      <c r="I43" s="31" t="s">
        <v>454</v>
      </c>
      <c r="J43" s="31" t="s">
        <v>454</v>
      </c>
      <c r="K43" s="31" t="s">
        <v>454</v>
      </c>
      <c r="L43" s="26" t="s">
        <v>59</v>
      </c>
      <c r="M43" s="65" t="s">
        <v>768</v>
      </c>
      <c r="N43" s="43">
        <f>VLOOKUP(A43,[1]AccessoryList!$A:$D,4,FALSE)</f>
        <v>116.97</v>
      </c>
      <c r="O43" s="43">
        <f>VLOOKUP(A43,[1]AccessoryList!$A:$E,5,FALSE)</f>
        <v>194.95</v>
      </c>
      <c r="P43" s="26">
        <v>1.5</v>
      </c>
      <c r="Q43" s="27">
        <f t="shared" si="0"/>
        <v>125</v>
      </c>
      <c r="R43" s="28">
        <f t="shared" si="3"/>
        <v>382.45</v>
      </c>
      <c r="S43" s="2"/>
      <c r="T43" s="7" t="str">
        <f>VLOOKUP(A43,[1]AccessoryList!$A:$B,2,FALSE)</f>
        <v>C</v>
      </c>
      <c r="U43" s="2">
        <f>VLOOKUP(A43,[1]AccessoryList!$A:$F,6,FALSE)+VLOOKUP(A43,[1]AccessoryList!$A:$G,7,FALSE)</f>
        <v>5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spans="1:57" s="13" customFormat="1">
      <c r="A44" s="29" t="s">
        <v>19</v>
      </c>
      <c r="B44" s="30" t="s">
        <v>133</v>
      </c>
      <c r="C44" s="30" t="s">
        <v>108</v>
      </c>
      <c r="D44" s="26"/>
      <c r="E44" s="31" t="s">
        <v>454</v>
      </c>
      <c r="F44" s="31" t="s">
        <v>454</v>
      </c>
      <c r="G44" s="31" t="s">
        <v>454</v>
      </c>
      <c r="H44" s="31" t="s">
        <v>454</v>
      </c>
      <c r="I44" s="31" t="s">
        <v>454</v>
      </c>
      <c r="J44" s="31" t="s">
        <v>454</v>
      </c>
      <c r="K44" s="31" t="s">
        <v>454</v>
      </c>
      <c r="L44" s="26" t="s">
        <v>59</v>
      </c>
      <c r="M44" s="62"/>
      <c r="N44" s="43">
        <f>VLOOKUP(A44,[1]AccessoryList!$A:$D,4,FALSE)</f>
        <v>64.17</v>
      </c>
      <c r="O44" s="43">
        <f>VLOOKUP(A44,[1]AccessoryList!$A:$E,5,FALSE)</f>
        <v>106.95</v>
      </c>
      <c r="P44" s="26">
        <v>0.7</v>
      </c>
      <c r="Q44" s="27">
        <f t="shared" si="0"/>
        <v>125</v>
      </c>
      <c r="R44" s="28">
        <f t="shared" si="3"/>
        <v>194.45</v>
      </c>
      <c r="S44" s="2"/>
      <c r="T44" s="7" t="str">
        <f>VLOOKUP(A44,[1]AccessoryList!$A:$B,2,FALSE)</f>
        <v>Q</v>
      </c>
      <c r="U44" s="2">
        <f>VLOOKUP(A44,[1]AccessoryList!$A:$F,6,FALSE)+VLOOKUP(A44,[1]AccessoryList!$A:$G,7,FALSE)</f>
        <v>27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spans="1:57" s="13" customFormat="1">
      <c r="A45" s="29" t="s">
        <v>76</v>
      </c>
      <c r="B45" s="30" t="s">
        <v>199</v>
      </c>
      <c r="C45" s="30" t="s">
        <v>109</v>
      </c>
      <c r="D45" s="26"/>
      <c r="E45" s="31" t="s">
        <v>454</v>
      </c>
      <c r="F45" s="31" t="s">
        <v>454</v>
      </c>
      <c r="G45" s="31" t="s">
        <v>454</v>
      </c>
      <c r="H45" s="31" t="s">
        <v>454</v>
      </c>
      <c r="I45" s="31" t="s">
        <v>454</v>
      </c>
      <c r="J45" s="31" t="s">
        <v>454</v>
      </c>
      <c r="K45" s="31" t="s">
        <v>454</v>
      </c>
      <c r="L45" s="26" t="s">
        <v>59</v>
      </c>
      <c r="M45" s="65" t="s">
        <v>768</v>
      </c>
      <c r="N45" s="43">
        <f>VLOOKUP(A45,[1]AccessoryList!$A:$D,4,FALSE)</f>
        <v>77.37</v>
      </c>
      <c r="O45" s="43">
        <f>VLOOKUP(A45,[1]AccessoryList!$A:$E,5,FALSE)</f>
        <v>128.94999999999999</v>
      </c>
      <c r="P45" s="26">
        <v>0.7</v>
      </c>
      <c r="Q45" s="27">
        <f t="shared" si="0"/>
        <v>125</v>
      </c>
      <c r="R45" s="28">
        <f t="shared" si="3"/>
        <v>216.45</v>
      </c>
      <c r="S45" s="2"/>
      <c r="T45" s="7" t="str">
        <f>VLOOKUP(A45,[1]AccessoryList!$A:$B,2,FALSE)</f>
        <v>D</v>
      </c>
      <c r="U45" s="2">
        <f>VLOOKUP(A45,[1]AccessoryList!$A:$F,6,FALSE)+VLOOKUP(A45,[1]AccessoryList!$A:$G,7,FALSE)</f>
        <v>3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spans="1:57" s="13" customFormat="1">
      <c r="A46" s="29" t="s">
        <v>726</v>
      </c>
      <c r="B46" s="30" t="s">
        <v>886</v>
      </c>
      <c r="C46" s="30" t="s">
        <v>110</v>
      </c>
      <c r="D46" s="26" t="s">
        <v>128</v>
      </c>
      <c r="E46" s="31" t="s">
        <v>454</v>
      </c>
      <c r="F46" s="31" t="s">
        <v>454</v>
      </c>
      <c r="G46" s="31" t="s">
        <v>454</v>
      </c>
      <c r="H46" s="31" t="s">
        <v>454</v>
      </c>
      <c r="I46" s="31" t="s">
        <v>454</v>
      </c>
      <c r="J46" s="31" t="s">
        <v>454</v>
      </c>
      <c r="K46" s="31" t="s">
        <v>454</v>
      </c>
      <c r="L46" s="26" t="s">
        <v>16</v>
      </c>
      <c r="M46" s="61" t="s">
        <v>768</v>
      </c>
      <c r="N46" s="43">
        <f>VLOOKUP(A46,[1]AccessoryList!$A:$D,4,FALSE)</f>
        <v>54.21</v>
      </c>
      <c r="O46" s="43">
        <f>VLOOKUP(A46,[1]AccessoryList!$A:$E,5,FALSE)</f>
        <v>99.95</v>
      </c>
      <c r="P46" s="26">
        <v>0.1</v>
      </c>
      <c r="Q46" s="27">
        <f t="shared" si="0"/>
        <v>125</v>
      </c>
      <c r="R46" s="28">
        <f t="shared" si="3"/>
        <v>112.45</v>
      </c>
      <c r="S46" s="2"/>
      <c r="T46" s="7" t="str">
        <f>VLOOKUP(A46,[1]AccessoryList!$A:$B,2,FALSE)</f>
        <v>C</v>
      </c>
      <c r="U46" s="2">
        <f>VLOOKUP(A46,[1]AccessoryList!$A:$F,6,FALSE)+VLOOKUP(A46,[1]AccessoryList!$A:$G,7,FALSE)</f>
        <v>4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spans="1:57" s="13" customFormat="1">
      <c r="A47" s="29" t="s">
        <v>114</v>
      </c>
      <c r="B47" s="30" t="s">
        <v>915</v>
      </c>
      <c r="C47" s="30" t="s">
        <v>917</v>
      </c>
      <c r="D47" s="26"/>
      <c r="E47" s="31" t="s">
        <v>454</v>
      </c>
      <c r="F47" s="31" t="s">
        <v>454</v>
      </c>
      <c r="G47" s="31" t="s">
        <v>454</v>
      </c>
      <c r="H47" s="31" t="s">
        <v>454</v>
      </c>
      <c r="I47" s="31" t="s">
        <v>454</v>
      </c>
      <c r="J47" s="31" t="s">
        <v>454</v>
      </c>
      <c r="K47" s="31" t="s">
        <v>454</v>
      </c>
      <c r="L47" s="26" t="s">
        <v>10</v>
      </c>
      <c r="M47" s="65" t="s">
        <v>768</v>
      </c>
      <c r="N47" s="43">
        <f>VLOOKUP(A47,[1]AccessoryList!$A:$D,4,FALSE)</f>
        <v>52.77</v>
      </c>
      <c r="O47" s="43">
        <f>VLOOKUP(A47,[1]AccessoryList!$A:$E,5,FALSE)</f>
        <v>87.95</v>
      </c>
      <c r="P47" s="26">
        <v>0.4</v>
      </c>
      <c r="Q47" s="27">
        <f t="shared" si="0"/>
        <v>125</v>
      </c>
      <c r="R47" s="28">
        <f t="shared" si="3"/>
        <v>137.94999999999999</v>
      </c>
      <c r="S47" s="2"/>
      <c r="T47" s="7" t="str">
        <f>VLOOKUP(A47,[1]AccessoryList!$A:$B,2,FALSE)</f>
        <v>A</v>
      </c>
      <c r="U47" s="2">
        <f>VLOOKUP(A47,[1]AccessoryList!$A:$F,6,FALSE)+VLOOKUP(A47,[1]AccessoryList!$A:$G,7,FALSE)</f>
        <v>2695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spans="1:57" s="13" customFormat="1">
      <c r="A48" s="29" t="s">
        <v>226</v>
      </c>
      <c r="B48" s="30" t="s">
        <v>916</v>
      </c>
      <c r="C48" s="30" t="s">
        <v>918</v>
      </c>
      <c r="D48" s="26"/>
      <c r="E48" s="31" t="s">
        <v>454</v>
      </c>
      <c r="F48" s="31" t="s">
        <v>454</v>
      </c>
      <c r="G48" s="31" t="s">
        <v>454</v>
      </c>
      <c r="H48" s="31" t="s">
        <v>454</v>
      </c>
      <c r="I48" s="31" t="s">
        <v>454</v>
      </c>
      <c r="J48" s="31" t="s">
        <v>454</v>
      </c>
      <c r="K48" s="31" t="s">
        <v>454</v>
      </c>
      <c r="L48" s="26" t="s">
        <v>10</v>
      </c>
      <c r="M48" s="65" t="s">
        <v>768</v>
      </c>
      <c r="N48" s="43">
        <f>VLOOKUP(A48,[1]AccessoryList!$A:$D,4,FALSE)</f>
        <v>65.37</v>
      </c>
      <c r="O48" s="43">
        <f>VLOOKUP(A48,[1]AccessoryList!$A:$E,5,FALSE)</f>
        <v>108.95</v>
      </c>
      <c r="P48" s="26">
        <v>0.4</v>
      </c>
      <c r="Q48" s="27">
        <f t="shared" si="0"/>
        <v>125</v>
      </c>
      <c r="R48" s="28">
        <f t="shared" si="3"/>
        <v>158.94999999999999</v>
      </c>
      <c r="S48" s="2"/>
      <c r="T48" s="7" t="str">
        <f>VLOOKUP(A48,[1]AccessoryList!$A:$B,2,FALSE)</f>
        <v>A</v>
      </c>
      <c r="U48" s="2">
        <f>VLOOKUP(A48,[1]AccessoryList!$A:$F,6,FALSE)+VLOOKUP(A48,[1]AccessoryList!$A:$G,7,FALSE)</f>
        <v>2505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s="13" customFormat="1">
      <c r="A49" s="29" t="s">
        <v>234</v>
      </c>
      <c r="B49" s="30" t="s">
        <v>251</v>
      </c>
      <c r="C49" s="30" t="s">
        <v>356</v>
      </c>
      <c r="D49" s="26" t="s">
        <v>386</v>
      </c>
      <c r="E49" s="31" t="s">
        <v>454</v>
      </c>
      <c r="F49" s="31" t="s">
        <v>454</v>
      </c>
      <c r="G49" s="31" t="s">
        <v>454</v>
      </c>
      <c r="H49" s="31" t="s">
        <v>454</v>
      </c>
      <c r="I49" s="31" t="s">
        <v>454</v>
      </c>
      <c r="J49" s="31" t="s">
        <v>454</v>
      </c>
      <c r="K49" s="31" t="s">
        <v>454</v>
      </c>
      <c r="L49" s="26" t="s">
        <v>59</v>
      </c>
      <c r="M49" s="65" t="s">
        <v>768</v>
      </c>
      <c r="N49" s="43">
        <f>VLOOKUP(A49,[1]AccessoryList!$A:$D,4,FALSE)</f>
        <v>303.39</v>
      </c>
      <c r="O49" s="43">
        <f>VLOOKUP(A49,[1]AccessoryList!$A:$E,5,FALSE)</f>
        <v>505.95</v>
      </c>
      <c r="P49" s="56">
        <v>1</v>
      </c>
      <c r="Q49" s="27">
        <f t="shared" si="0"/>
        <v>125</v>
      </c>
      <c r="R49" s="28">
        <f t="shared" si="3"/>
        <v>630.95000000000005</v>
      </c>
      <c r="S49" s="2"/>
      <c r="T49" s="7" t="str">
        <f>VLOOKUP(A49,[1]AccessoryList!$A:$B,2,FALSE)</f>
        <v>S</v>
      </c>
      <c r="U49" s="2">
        <f>VLOOKUP(A49,[1]AccessoryList!$A:$F,6,FALSE)+VLOOKUP(A49,[1]AccessoryList!$A:$G,7,FALSE)</f>
        <v>0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>
      <c r="A50" s="29" t="s">
        <v>239</v>
      </c>
      <c r="B50" s="30" t="s">
        <v>255</v>
      </c>
      <c r="C50" s="30" t="s">
        <v>360</v>
      </c>
      <c r="D50" s="26" t="s">
        <v>398</v>
      </c>
      <c r="E50" s="31" t="s">
        <v>454</v>
      </c>
      <c r="F50" s="31" t="s">
        <v>454</v>
      </c>
      <c r="G50" s="31" t="s">
        <v>454</v>
      </c>
      <c r="H50" s="31" t="s">
        <v>454</v>
      </c>
      <c r="I50" s="31" t="s">
        <v>454</v>
      </c>
      <c r="J50" s="31" t="s">
        <v>454</v>
      </c>
      <c r="K50" s="31" t="s">
        <v>454</v>
      </c>
      <c r="L50" s="26" t="s">
        <v>59</v>
      </c>
      <c r="M50" s="65" t="s">
        <v>768</v>
      </c>
      <c r="N50" s="43">
        <f>VLOOKUP(A50,[1]AccessoryList!$A:$D,4,FALSE)</f>
        <v>321.60000000000002</v>
      </c>
      <c r="O50" s="43">
        <f>VLOOKUP(A50,[1]AccessoryList!$A:$E,5,FALSE)</f>
        <v>536.95000000000005</v>
      </c>
      <c r="P50" s="56">
        <v>1</v>
      </c>
      <c r="Q50" s="27">
        <f t="shared" si="0"/>
        <v>125</v>
      </c>
      <c r="R50" s="28">
        <f t="shared" si="3"/>
        <v>661.95</v>
      </c>
      <c r="T50" s="7" t="str">
        <f>VLOOKUP(A50,[1]AccessoryList!$A:$B,2,FALSE)</f>
        <v>S</v>
      </c>
      <c r="U50" s="2">
        <f>VLOOKUP(A50,[1]AccessoryList!$A:$F,6,FALSE)+VLOOKUP(A50,[1]AccessoryList!$A:$G,7,FALSE)</f>
        <v>0</v>
      </c>
    </row>
    <row r="51" spans="1:57">
      <c r="A51" s="29" t="s">
        <v>236</v>
      </c>
      <c r="B51" s="30" t="s">
        <v>253</v>
      </c>
      <c r="C51" s="30" t="s">
        <v>358</v>
      </c>
      <c r="D51" s="26" t="s">
        <v>405</v>
      </c>
      <c r="E51" s="31" t="s">
        <v>454</v>
      </c>
      <c r="F51" s="31" t="s">
        <v>454</v>
      </c>
      <c r="G51" s="31" t="s">
        <v>454</v>
      </c>
      <c r="H51" s="31" t="s">
        <v>454</v>
      </c>
      <c r="I51" s="31" t="s">
        <v>454</v>
      </c>
      <c r="J51" s="31" t="s">
        <v>454</v>
      </c>
      <c r="K51" s="31" t="s">
        <v>454</v>
      </c>
      <c r="L51" s="26" t="s">
        <v>59</v>
      </c>
      <c r="M51" s="65" t="s">
        <v>768</v>
      </c>
      <c r="N51" s="43">
        <f>VLOOKUP(A51,[1]AccessoryList!$A:$D,4,FALSE)</f>
        <v>303.39999999999998</v>
      </c>
      <c r="O51" s="43">
        <f>VLOOKUP(A51,[1]AccessoryList!$A:$E,5,FALSE)</f>
        <v>505.67</v>
      </c>
      <c r="P51" s="56">
        <v>1</v>
      </c>
      <c r="Q51" s="27">
        <f t="shared" si="0"/>
        <v>125</v>
      </c>
      <c r="R51" s="28">
        <f t="shared" si="3"/>
        <v>630.67000000000007</v>
      </c>
      <c r="T51" s="7" t="str">
        <f>VLOOKUP(A51,[1]AccessoryList!$A:$B,2,FALSE)</f>
        <v>F</v>
      </c>
      <c r="U51" s="2">
        <f>VLOOKUP(A51,[1]AccessoryList!$A:$F,6,FALSE)+VLOOKUP(A51,[1]AccessoryList!$A:$G,7,FALSE)</f>
        <v>0</v>
      </c>
    </row>
    <row r="52" spans="1:57">
      <c r="A52" s="29" t="s">
        <v>232</v>
      </c>
      <c r="B52" s="30" t="s">
        <v>249</v>
      </c>
      <c r="C52" s="30" t="s">
        <v>851</v>
      </c>
      <c r="D52" s="26" t="s">
        <v>8</v>
      </c>
      <c r="E52" s="31" t="s">
        <v>454</v>
      </c>
      <c r="F52" s="31" t="s">
        <v>454</v>
      </c>
      <c r="G52" s="31" t="s">
        <v>454</v>
      </c>
      <c r="H52" s="31" t="s">
        <v>454</v>
      </c>
      <c r="I52" s="31" t="s">
        <v>454</v>
      </c>
      <c r="J52" s="31" t="s">
        <v>454</v>
      </c>
      <c r="K52" s="31" t="s">
        <v>454</v>
      </c>
      <c r="L52" s="26" t="s">
        <v>59</v>
      </c>
      <c r="M52" s="65" t="s">
        <v>768</v>
      </c>
      <c r="N52" s="43">
        <f>VLOOKUP(A52,[1]AccessoryList!$A:$D,4,FALSE)</f>
        <v>303.39999999999998</v>
      </c>
      <c r="O52" s="43">
        <f>VLOOKUP(A52,[1]AccessoryList!$A:$E,5,FALSE)</f>
        <v>505.95</v>
      </c>
      <c r="P52" s="56">
        <v>1</v>
      </c>
      <c r="Q52" s="27">
        <f t="shared" si="0"/>
        <v>125</v>
      </c>
      <c r="R52" s="28">
        <f t="shared" si="3"/>
        <v>630.95000000000005</v>
      </c>
      <c r="T52" s="7" t="str">
        <f>VLOOKUP(A52,[1]AccessoryList!$A:$B,2,FALSE)</f>
        <v>Q</v>
      </c>
      <c r="U52" s="2">
        <f>VLOOKUP(A52,[1]AccessoryList!$A:$F,6,FALSE)+VLOOKUP(A52,[1]AccessoryList!$A:$G,7,FALSE)</f>
        <v>1</v>
      </c>
    </row>
    <row r="53" spans="1:57">
      <c r="A53" s="29" t="s">
        <v>237</v>
      </c>
      <c r="B53" s="30" t="s">
        <v>254</v>
      </c>
      <c r="C53" s="30" t="s">
        <v>838</v>
      </c>
      <c r="D53" s="26" t="s">
        <v>393</v>
      </c>
      <c r="E53" s="31" t="s">
        <v>454</v>
      </c>
      <c r="F53" s="31" t="s">
        <v>454</v>
      </c>
      <c r="G53" s="31" t="s">
        <v>454</v>
      </c>
      <c r="H53" s="31" t="s">
        <v>454</v>
      </c>
      <c r="I53" s="31" t="s">
        <v>454</v>
      </c>
      <c r="J53" s="31" t="s">
        <v>454</v>
      </c>
      <c r="K53" s="31" t="s">
        <v>454</v>
      </c>
      <c r="L53" s="26" t="s">
        <v>59</v>
      </c>
      <c r="M53" s="65" t="s">
        <v>768</v>
      </c>
      <c r="N53" s="43">
        <f>VLOOKUP(A53,[1]AccessoryList!$A:$D,4,FALSE)</f>
        <v>303.39999999999998</v>
      </c>
      <c r="O53" s="43">
        <f>VLOOKUP(A53,[1]AccessoryList!$A:$E,5,FALSE)</f>
        <v>505.67</v>
      </c>
      <c r="P53" s="56">
        <v>1</v>
      </c>
      <c r="Q53" s="27">
        <f t="shared" si="0"/>
        <v>125</v>
      </c>
      <c r="R53" s="28">
        <f t="shared" si="3"/>
        <v>630.67000000000007</v>
      </c>
      <c r="T53" s="7" t="str">
        <f>VLOOKUP(A53,[1]AccessoryList!$A:$B,2,FALSE)</f>
        <v>F</v>
      </c>
      <c r="U53" s="2">
        <f>VLOOKUP(A53,[1]AccessoryList!$A:$F,6,FALSE)+VLOOKUP(A53,[1]AccessoryList!$A:$G,7,FALSE)</f>
        <v>0</v>
      </c>
    </row>
    <row r="54" spans="1:57">
      <c r="A54" s="29" t="s">
        <v>233</v>
      </c>
      <c r="B54" s="30" t="s">
        <v>250</v>
      </c>
      <c r="C54" s="30" t="s">
        <v>355</v>
      </c>
      <c r="D54" s="26" t="s">
        <v>323</v>
      </c>
      <c r="E54" s="31" t="s">
        <v>454</v>
      </c>
      <c r="F54" s="31" t="s">
        <v>454</v>
      </c>
      <c r="G54" s="31" t="s">
        <v>454</v>
      </c>
      <c r="H54" s="31" t="s">
        <v>454</v>
      </c>
      <c r="I54" s="31" t="s">
        <v>454</v>
      </c>
      <c r="J54" s="31" t="s">
        <v>454</v>
      </c>
      <c r="K54" s="31" t="s">
        <v>454</v>
      </c>
      <c r="L54" s="26" t="s">
        <v>59</v>
      </c>
      <c r="M54" s="65" t="s">
        <v>768</v>
      </c>
      <c r="N54" s="43">
        <f>VLOOKUP(A54,[1]AccessoryList!$A:$D,4,FALSE)</f>
        <v>321.60000000000002</v>
      </c>
      <c r="O54" s="43">
        <f>VLOOKUP(A54,[1]AccessoryList!$A:$E,5,FALSE)</f>
        <v>536.95000000000005</v>
      </c>
      <c r="P54" s="56">
        <v>1</v>
      </c>
      <c r="Q54" s="27">
        <f t="shared" si="0"/>
        <v>125</v>
      </c>
      <c r="R54" s="28">
        <f t="shared" si="3"/>
        <v>661.95</v>
      </c>
      <c r="T54" s="7" t="str">
        <f>VLOOKUP(A54,[1]AccessoryList!$A:$B,2,FALSE)</f>
        <v>S</v>
      </c>
      <c r="U54" s="2">
        <f>VLOOKUP(A54,[1]AccessoryList!$A:$F,6,FALSE)+VLOOKUP(A54,[1]AccessoryList!$A:$G,7,FALSE)</f>
        <v>0</v>
      </c>
    </row>
    <row r="55" spans="1:57">
      <c r="A55" s="29" t="s">
        <v>238</v>
      </c>
      <c r="B55" s="30" t="s">
        <v>256</v>
      </c>
      <c r="C55" s="30" t="s">
        <v>359</v>
      </c>
      <c r="D55" s="26" t="s">
        <v>406</v>
      </c>
      <c r="E55" s="31" t="s">
        <v>454</v>
      </c>
      <c r="F55" s="31" t="s">
        <v>454</v>
      </c>
      <c r="G55" s="31" t="s">
        <v>454</v>
      </c>
      <c r="H55" s="31" t="s">
        <v>454</v>
      </c>
      <c r="I55" s="31" t="s">
        <v>454</v>
      </c>
      <c r="J55" s="31" t="s">
        <v>454</v>
      </c>
      <c r="K55" s="31" t="s">
        <v>454</v>
      </c>
      <c r="L55" s="26" t="s">
        <v>59</v>
      </c>
      <c r="M55" s="65" t="s">
        <v>768</v>
      </c>
      <c r="N55" s="43">
        <f>VLOOKUP(A55,[1]AccessoryList!$A:$D,4,FALSE)</f>
        <v>321.60000000000002</v>
      </c>
      <c r="O55" s="43">
        <f>VLOOKUP(A55,[1]AccessoryList!$A:$E,5,FALSE)</f>
        <v>536.95000000000005</v>
      </c>
      <c r="P55" s="56">
        <v>1</v>
      </c>
      <c r="Q55" s="27">
        <f t="shared" si="0"/>
        <v>125</v>
      </c>
      <c r="R55" s="28">
        <f t="shared" si="3"/>
        <v>661.95</v>
      </c>
      <c r="T55" s="7" t="str">
        <f>VLOOKUP(A55,[1]AccessoryList!$A:$B,2,FALSE)</f>
        <v>S</v>
      </c>
      <c r="U55" s="2">
        <f>VLOOKUP(A55,[1]AccessoryList!$A:$F,6,FALSE)+VLOOKUP(A55,[1]AccessoryList!$A:$G,7,FALSE)</f>
        <v>0</v>
      </c>
    </row>
    <row r="56" spans="1:57">
      <c r="A56" s="29" t="s">
        <v>235</v>
      </c>
      <c r="B56" s="30" t="s">
        <v>252</v>
      </c>
      <c r="C56" s="30" t="s">
        <v>357</v>
      </c>
      <c r="D56" s="26" t="s">
        <v>392</v>
      </c>
      <c r="E56" s="31" t="s">
        <v>454</v>
      </c>
      <c r="F56" s="31" t="s">
        <v>454</v>
      </c>
      <c r="G56" s="31" t="s">
        <v>454</v>
      </c>
      <c r="H56" s="31" t="s">
        <v>454</v>
      </c>
      <c r="I56" s="31" t="s">
        <v>454</v>
      </c>
      <c r="J56" s="31" t="s">
        <v>454</v>
      </c>
      <c r="K56" s="31" t="s">
        <v>454</v>
      </c>
      <c r="L56" s="26" t="s">
        <v>59</v>
      </c>
      <c r="M56" s="65" t="s">
        <v>768</v>
      </c>
      <c r="N56" s="43">
        <f>VLOOKUP(A56,[1]AccessoryList!$A:$D,4,FALSE)</f>
        <v>321.60000000000002</v>
      </c>
      <c r="O56" s="43">
        <f>VLOOKUP(A56,[1]AccessoryList!$A:$E,5,FALSE)</f>
        <v>536.95000000000005</v>
      </c>
      <c r="P56" s="56">
        <v>1</v>
      </c>
      <c r="Q56" s="27">
        <f t="shared" si="0"/>
        <v>125</v>
      </c>
      <c r="R56" s="28">
        <f t="shared" si="3"/>
        <v>661.95</v>
      </c>
      <c r="T56" s="7" t="str">
        <f>VLOOKUP(A56,[1]AccessoryList!$A:$B,2,FALSE)</f>
        <v>S</v>
      </c>
      <c r="U56" s="2">
        <f>VLOOKUP(A56,[1]AccessoryList!$A:$F,6,FALSE)+VLOOKUP(A56,[1]AccessoryList!$A:$G,7,FALSE)</f>
        <v>0</v>
      </c>
    </row>
    <row r="57" spans="1:57">
      <c r="A57" s="29" t="s">
        <v>241</v>
      </c>
      <c r="B57" s="30" t="s">
        <v>30</v>
      </c>
      <c r="C57" s="30" t="s">
        <v>336</v>
      </c>
      <c r="D57" s="26"/>
      <c r="E57" s="31" t="s">
        <v>454</v>
      </c>
      <c r="F57" s="31" t="s">
        <v>454</v>
      </c>
      <c r="G57" s="31" t="s">
        <v>454</v>
      </c>
      <c r="H57" s="31" t="s">
        <v>454</v>
      </c>
      <c r="I57" s="31" t="s">
        <v>454</v>
      </c>
      <c r="J57" s="31" t="s">
        <v>454</v>
      </c>
      <c r="K57" s="31" t="s">
        <v>454</v>
      </c>
      <c r="L57" s="26" t="s">
        <v>10</v>
      </c>
      <c r="M57" s="65" t="s">
        <v>768</v>
      </c>
      <c r="N57" s="43">
        <f>VLOOKUP(A57,[1]AccessoryList!$A:$D,4,FALSE)</f>
        <v>112.77</v>
      </c>
      <c r="O57" s="43">
        <f>VLOOKUP(A57,[1]AccessoryList!$A:$E,5,FALSE)</f>
        <v>187.95</v>
      </c>
      <c r="P57" s="26">
        <v>0.4</v>
      </c>
      <c r="Q57" s="27">
        <f t="shared" si="0"/>
        <v>125</v>
      </c>
      <c r="R57" s="28">
        <f t="shared" si="3"/>
        <v>237.95</v>
      </c>
      <c r="T57" s="7" t="str">
        <f>VLOOKUP(A57,[1]AccessoryList!$A:$B,2,FALSE)</f>
        <v>B</v>
      </c>
      <c r="U57" s="2">
        <f>VLOOKUP(A57,[1]AccessoryList!$A:$F,6,FALSE)+VLOOKUP(A57,[1]AccessoryList!$A:$G,7,FALSE)</f>
        <v>62</v>
      </c>
    </row>
    <row r="58" spans="1:57">
      <c r="A58" s="29" t="s">
        <v>20</v>
      </c>
      <c r="B58" s="30" t="s">
        <v>820</v>
      </c>
      <c r="C58" s="30" t="s">
        <v>91</v>
      </c>
      <c r="D58" s="26"/>
      <c r="E58" s="31" t="s">
        <v>454</v>
      </c>
      <c r="F58" s="31" t="s">
        <v>454</v>
      </c>
      <c r="G58" s="31" t="s">
        <v>454</v>
      </c>
      <c r="H58" s="31" t="s">
        <v>454</v>
      </c>
      <c r="I58" s="31" t="s">
        <v>454</v>
      </c>
      <c r="J58" s="31" t="s">
        <v>454</v>
      </c>
      <c r="K58" s="31" t="s">
        <v>454</v>
      </c>
      <c r="L58" s="26" t="s">
        <v>59</v>
      </c>
      <c r="M58" s="71" t="s">
        <v>768</v>
      </c>
      <c r="N58" s="43">
        <f>VLOOKUP(A58,[1]AccessoryList!$A:$D,4,FALSE)</f>
        <v>583.35</v>
      </c>
      <c r="O58" s="43">
        <f>VLOOKUP(A58,[1]AccessoryList!$A:$E,5,FALSE)</f>
        <v>758.95</v>
      </c>
      <c r="P58" s="26">
        <v>0.2</v>
      </c>
      <c r="Q58" s="27">
        <f t="shared" si="0"/>
        <v>125</v>
      </c>
      <c r="R58" s="28">
        <f t="shared" si="3"/>
        <v>783.95</v>
      </c>
      <c r="T58" s="7" t="str">
        <f>VLOOKUP(A58,[1]AccessoryList!$A:$B,2,FALSE)</f>
        <v>Q</v>
      </c>
      <c r="U58" s="2">
        <f>VLOOKUP(A58,[1]AccessoryList!$A:$F,6,FALSE)+VLOOKUP(A58,[1]AccessoryList!$A:$G,7,FALSE)</f>
        <v>49</v>
      </c>
    </row>
    <row r="59" spans="1:57">
      <c r="A59" s="29" t="s">
        <v>111</v>
      </c>
      <c r="B59" s="30" t="s">
        <v>821</v>
      </c>
      <c r="C59" s="30" t="s">
        <v>361</v>
      </c>
      <c r="D59" s="26"/>
      <c r="E59" s="31" t="s">
        <v>454</v>
      </c>
      <c r="F59" s="31" t="s">
        <v>454</v>
      </c>
      <c r="G59" s="31" t="s">
        <v>454</v>
      </c>
      <c r="H59" s="31" t="s">
        <v>454</v>
      </c>
      <c r="I59" s="31" t="s">
        <v>454</v>
      </c>
      <c r="J59" s="31" t="s">
        <v>454</v>
      </c>
      <c r="K59" s="31" t="s">
        <v>454</v>
      </c>
      <c r="L59" s="26" t="s">
        <v>59</v>
      </c>
      <c r="M59" s="65" t="s">
        <v>768</v>
      </c>
      <c r="N59" s="43">
        <f>VLOOKUP(A59,[1]AccessoryList!$A:$D,4,FALSE)</f>
        <v>287.27</v>
      </c>
      <c r="O59" s="43">
        <f>VLOOKUP(A59,[1]AccessoryList!$A:$E,5,FALSE)</f>
        <v>441.95</v>
      </c>
      <c r="P59" s="26">
        <v>1</v>
      </c>
      <c r="Q59" s="27">
        <f t="shared" si="0"/>
        <v>125</v>
      </c>
      <c r="R59" s="28">
        <f t="shared" si="3"/>
        <v>566.95000000000005</v>
      </c>
      <c r="T59" s="7" t="str">
        <f>VLOOKUP(A59,[1]AccessoryList!$A:$B,2,FALSE)</f>
        <v>E</v>
      </c>
      <c r="U59" s="2">
        <f>VLOOKUP(A59,[1]AccessoryList!$A:$F,6,FALSE)+VLOOKUP(A59,[1]AccessoryList!$A:$G,7,FALSE)</f>
        <v>1</v>
      </c>
    </row>
    <row r="60" spans="1:57">
      <c r="A60" s="22" t="s">
        <v>469</v>
      </c>
      <c r="B60" s="23" t="s">
        <v>779</v>
      </c>
      <c r="C60" s="23" t="s">
        <v>559</v>
      </c>
      <c r="D60" s="24"/>
      <c r="E60" s="25" t="s">
        <v>454</v>
      </c>
      <c r="F60" s="25" t="s">
        <v>454</v>
      </c>
      <c r="G60" s="25" t="s">
        <v>454</v>
      </c>
      <c r="H60" s="25" t="s">
        <v>454</v>
      </c>
      <c r="I60" s="25" t="s">
        <v>454</v>
      </c>
      <c r="J60" s="25" t="s">
        <v>454</v>
      </c>
      <c r="K60" s="25" t="s">
        <v>454</v>
      </c>
      <c r="L60" s="24" t="s">
        <v>59</v>
      </c>
      <c r="M60" s="61" t="s">
        <v>768</v>
      </c>
      <c r="N60" s="43">
        <f>VLOOKUP(A60,[1]AccessoryList!$A:$D,4,FALSE)</f>
        <v>60</v>
      </c>
      <c r="O60" s="43">
        <f>VLOOKUP(A60,[1]AccessoryList!$A:$E,5,FALSE)</f>
        <v>84.95</v>
      </c>
      <c r="P60" s="26">
        <v>0.8</v>
      </c>
      <c r="Q60" s="27">
        <f t="shared" si="0"/>
        <v>125</v>
      </c>
      <c r="R60" s="28">
        <f t="shared" si="3"/>
        <v>184.95</v>
      </c>
      <c r="T60" s="7" t="str">
        <f>VLOOKUP(A60,[1]AccessoryList!$A:$B,2,FALSE)</f>
        <v>D</v>
      </c>
      <c r="U60" s="2">
        <f>VLOOKUP(A60,[1]AccessoryList!$A:$F,6,FALSE)+VLOOKUP(A60,[1]AccessoryList!$A:$G,7,FALSE)</f>
        <v>15</v>
      </c>
    </row>
    <row r="61" spans="1:57" ht="15">
      <c r="A61" s="86" t="s">
        <v>1052</v>
      </c>
      <c r="B61" s="86" t="s">
        <v>281</v>
      </c>
      <c r="C61" s="86" t="s">
        <v>290</v>
      </c>
      <c r="D61" s="88" t="s">
        <v>282</v>
      </c>
      <c r="E61" s="87" t="s">
        <v>454</v>
      </c>
      <c r="F61" s="87" t="s">
        <v>454</v>
      </c>
      <c r="G61" s="87" t="s">
        <v>454</v>
      </c>
      <c r="H61" s="87" t="s">
        <v>454</v>
      </c>
      <c r="I61" s="87" t="s">
        <v>454</v>
      </c>
      <c r="J61" s="87" t="s">
        <v>454</v>
      </c>
      <c r="K61" s="87" t="s">
        <v>454</v>
      </c>
      <c r="L61" s="88" t="s">
        <v>59</v>
      </c>
      <c r="M61" s="79" t="s">
        <v>768</v>
      </c>
      <c r="N61" s="93">
        <f>VLOOKUP(A61,[1]AccessoryList!$A:$D,4,FALSE)</f>
        <v>150</v>
      </c>
      <c r="O61" s="93">
        <f>VLOOKUP(A61,[1]AccessoryList!$A:$E,5,FALSE)</f>
        <v>214.95</v>
      </c>
      <c r="P61" s="88">
        <v>0.8</v>
      </c>
      <c r="Q61" s="89">
        <f t="shared" si="0"/>
        <v>125</v>
      </c>
      <c r="R61" s="89">
        <f t="shared" si="3"/>
        <v>314.95</v>
      </c>
      <c r="S61" s="75"/>
      <c r="T61" s="75" t="str">
        <f>VLOOKUP(A61,[1]AccessoryList!$A:$B,2,FALSE)</f>
        <v>A</v>
      </c>
      <c r="U61" s="75">
        <f>VLOOKUP(A61,[1]AccessoryList!$A:$F,6,FALSE)+VLOOKUP(A61,[1]AccessoryList!$A:$G,7,FALSE)</f>
        <v>44</v>
      </c>
    </row>
    <row r="62" spans="1:57" s="13" customFormat="1">
      <c r="A62" s="22" t="s">
        <v>468</v>
      </c>
      <c r="B62" s="23" t="s">
        <v>780</v>
      </c>
      <c r="C62" s="23" t="s">
        <v>301</v>
      </c>
      <c r="D62" s="24"/>
      <c r="E62" s="25" t="s">
        <v>454</v>
      </c>
      <c r="F62" s="25" t="s">
        <v>454</v>
      </c>
      <c r="G62" s="25" t="s">
        <v>454</v>
      </c>
      <c r="H62" s="25" t="s">
        <v>454</v>
      </c>
      <c r="I62" s="25" t="s">
        <v>454</v>
      </c>
      <c r="J62" s="25" t="s">
        <v>454</v>
      </c>
      <c r="K62" s="25" t="s">
        <v>454</v>
      </c>
      <c r="L62" s="24" t="s">
        <v>59</v>
      </c>
      <c r="M62" s="61" t="s">
        <v>768</v>
      </c>
      <c r="N62" s="43">
        <f>VLOOKUP(A62,[1]AccessoryList!$A:$D,4,FALSE)</f>
        <v>88.5</v>
      </c>
      <c r="O62" s="43">
        <f>VLOOKUP(A62,[1]AccessoryList!$A:$E,5,FALSE)</f>
        <v>124.95</v>
      </c>
      <c r="P62" s="26">
        <v>0.8</v>
      </c>
      <c r="Q62" s="27">
        <f t="shared" si="0"/>
        <v>125</v>
      </c>
      <c r="R62" s="28">
        <f t="shared" si="3"/>
        <v>224.95</v>
      </c>
      <c r="S62" s="2"/>
      <c r="T62" s="7" t="str">
        <f>VLOOKUP(A62,[1]AccessoryList!$A:$B,2,FALSE)</f>
        <v>D</v>
      </c>
      <c r="U62" s="2">
        <f>VLOOKUP(A62,[1]AccessoryList!$A:$F,6,FALSE)+VLOOKUP(A62,[1]AccessoryList!$A:$G,7,FALSE)</f>
        <v>1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s="13" customFormat="1">
      <c r="A63" s="22" t="s">
        <v>558</v>
      </c>
      <c r="B63" s="23" t="s">
        <v>781</v>
      </c>
      <c r="C63" s="23" t="s">
        <v>557</v>
      </c>
      <c r="D63" s="24"/>
      <c r="E63" s="25" t="s">
        <v>454</v>
      </c>
      <c r="F63" s="25" t="s">
        <v>454</v>
      </c>
      <c r="G63" s="25" t="s">
        <v>454</v>
      </c>
      <c r="H63" s="25" t="s">
        <v>454</v>
      </c>
      <c r="I63" s="25" t="s">
        <v>454</v>
      </c>
      <c r="J63" s="25" t="s">
        <v>454</v>
      </c>
      <c r="K63" s="25" t="s">
        <v>454</v>
      </c>
      <c r="L63" s="24" t="s">
        <v>59</v>
      </c>
      <c r="M63" s="61" t="s">
        <v>768</v>
      </c>
      <c r="N63" s="43">
        <f>VLOOKUP(A63,[1]AccessoryList!$A:$D,4,FALSE)</f>
        <v>150</v>
      </c>
      <c r="O63" s="43">
        <f>VLOOKUP(A63,[1]AccessoryList!$A:$E,5,FALSE)</f>
        <v>214.95</v>
      </c>
      <c r="P63" s="26">
        <v>0.8</v>
      </c>
      <c r="Q63" s="27">
        <f t="shared" si="0"/>
        <v>125</v>
      </c>
      <c r="R63" s="28">
        <f t="shared" si="3"/>
        <v>314.95</v>
      </c>
      <c r="S63" s="2"/>
      <c r="T63" s="7" t="str">
        <f>VLOOKUP(A63,[1]AccessoryList!$A:$B,2,FALSE)</f>
        <v>B</v>
      </c>
      <c r="U63" s="2">
        <f>VLOOKUP(A63,[1]AccessoryList!$A:$F,6,FALSE)+VLOOKUP(A63,[1]AccessoryList!$A:$G,7,FALSE)</f>
        <v>48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 s="13" customFormat="1">
      <c r="A64" s="22" t="s">
        <v>464</v>
      </c>
      <c r="B64" s="23" t="s">
        <v>279</v>
      </c>
      <c r="C64" s="23" t="s">
        <v>289</v>
      </c>
      <c r="D64" s="24" t="s">
        <v>280</v>
      </c>
      <c r="E64" s="25" t="s">
        <v>454</v>
      </c>
      <c r="F64" s="25" t="s">
        <v>454</v>
      </c>
      <c r="G64" s="25" t="s">
        <v>454</v>
      </c>
      <c r="H64" s="25" t="s">
        <v>454</v>
      </c>
      <c r="I64" s="25" t="s">
        <v>454</v>
      </c>
      <c r="J64" s="25" t="s">
        <v>454</v>
      </c>
      <c r="K64" s="25" t="s">
        <v>454</v>
      </c>
      <c r="L64" s="24" t="s">
        <v>59</v>
      </c>
      <c r="M64" s="61" t="s">
        <v>768</v>
      </c>
      <c r="N64" s="43">
        <f>VLOOKUP(A64,[1]AccessoryList!$A:$D,4,FALSE)</f>
        <v>306</v>
      </c>
      <c r="O64" s="43">
        <f>VLOOKUP(A64,[1]AccessoryList!$A:$E,5,FALSE)</f>
        <v>434.95</v>
      </c>
      <c r="P64" s="26">
        <v>0.8</v>
      </c>
      <c r="Q64" s="27">
        <f t="shared" si="0"/>
        <v>125</v>
      </c>
      <c r="R64" s="28">
        <f t="shared" si="3"/>
        <v>534.95000000000005</v>
      </c>
      <c r="S64" s="2"/>
      <c r="T64" s="7" t="str">
        <f>VLOOKUP(A64,[1]AccessoryList!$A:$B,2,FALSE)</f>
        <v>Z</v>
      </c>
      <c r="U64" s="2">
        <f>VLOOKUP(A64,[1]AccessoryList!$A:$F,6,FALSE)+VLOOKUP(A64,[1]AccessoryList!$A:$G,7,FALSE)</f>
        <v>59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s="13" customFormat="1">
      <c r="A65" s="22" t="s">
        <v>286</v>
      </c>
      <c r="B65" s="23" t="s">
        <v>287</v>
      </c>
      <c r="C65" s="23" t="s">
        <v>292</v>
      </c>
      <c r="D65" s="24" t="s">
        <v>288</v>
      </c>
      <c r="E65" s="25" t="s">
        <v>454</v>
      </c>
      <c r="F65" s="25" t="s">
        <v>454</v>
      </c>
      <c r="G65" s="25" t="s">
        <v>454</v>
      </c>
      <c r="H65" s="25" t="s">
        <v>454</v>
      </c>
      <c r="I65" s="25" t="s">
        <v>454</v>
      </c>
      <c r="J65" s="25" t="s">
        <v>454</v>
      </c>
      <c r="K65" s="25" t="s">
        <v>454</v>
      </c>
      <c r="L65" s="24" t="s">
        <v>59</v>
      </c>
      <c r="M65" s="61" t="s">
        <v>768</v>
      </c>
      <c r="N65" s="43">
        <f>VLOOKUP(A65,[1]AccessoryList!$A:$D,4,FALSE)</f>
        <v>230</v>
      </c>
      <c r="O65" s="43">
        <f>VLOOKUP(A65,[1]AccessoryList!$A:$E,5,FALSE)</f>
        <v>329.95</v>
      </c>
      <c r="P65" s="26">
        <v>0.8</v>
      </c>
      <c r="Q65" s="27">
        <f t="shared" si="0"/>
        <v>125</v>
      </c>
      <c r="R65" s="28">
        <f t="shared" si="3"/>
        <v>429.95</v>
      </c>
      <c r="S65" s="2"/>
      <c r="T65" s="7" t="str">
        <f>VLOOKUP(A65,[1]AccessoryList!$A:$B,2,FALSE)</f>
        <v>L</v>
      </c>
      <c r="U65" s="2">
        <f>VLOOKUP(A65,[1]AccessoryList!$A:$F,6,FALSE)+VLOOKUP(A65,[1]AccessoryList!$A:$G,7,FALSE)</f>
        <v>4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s="13" customFormat="1">
      <c r="A66" s="22" t="s">
        <v>283</v>
      </c>
      <c r="B66" s="23" t="s">
        <v>284</v>
      </c>
      <c r="C66" s="23" t="s">
        <v>291</v>
      </c>
      <c r="D66" s="24" t="s">
        <v>285</v>
      </c>
      <c r="E66" s="25" t="s">
        <v>454</v>
      </c>
      <c r="F66" s="25" t="s">
        <v>454</v>
      </c>
      <c r="G66" s="25" t="s">
        <v>454</v>
      </c>
      <c r="H66" s="25" t="s">
        <v>454</v>
      </c>
      <c r="I66" s="25" t="s">
        <v>454</v>
      </c>
      <c r="J66" s="25" t="s">
        <v>454</v>
      </c>
      <c r="K66" s="25" t="s">
        <v>454</v>
      </c>
      <c r="L66" s="24" t="s">
        <v>59</v>
      </c>
      <c r="M66" s="64" t="s">
        <v>768</v>
      </c>
      <c r="N66" s="43">
        <f>VLOOKUP(A66,[1]AccessoryList!$A:$D,4,FALSE)</f>
        <v>150</v>
      </c>
      <c r="O66" s="43">
        <f>VLOOKUP(A66,[1]AccessoryList!$A:$E,5,FALSE)</f>
        <v>214.95</v>
      </c>
      <c r="P66" s="26">
        <v>0.8</v>
      </c>
      <c r="Q66" s="27">
        <f t="shared" si="0"/>
        <v>125</v>
      </c>
      <c r="R66" s="28">
        <f t="shared" si="3"/>
        <v>314.95</v>
      </c>
      <c r="S66" s="2"/>
      <c r="T66" s="7" t="str">
        <f>VLOOKUP(A66,[1]AccessoryList!$A:$B,2,FALSE)</f>
        <v>U</v>
      </c>
      <c r="U66" s="2">
        <f>VLOOKUP(A66,[1]AccessoryList!$A:$F,6,FALSE)+VLOOKUP(A66,[1]AccessoryList!$A:$G,7,FALSE)</f>
        <v>3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s="13" customFormat="1">
      <c r="A67" s="22" t="s">
        <v>299</v>
      </c>
      <c r="B67" s="23" t="s">
        <v>300</v>
      </c>
      <c r="C67" s="23" t="s">
        <v>301</v>
      </c>
      <c r="D67" s="24" t="s">
        <v>302</v>
      </c>
      <c r="E67" s="25" t="s">
        <v>454</v>
      </c>
      <c r="F67" s="25" t="s">
        <v>454</v>
      </c>
      <c r="G67" s="25" t="s">
        <v>454</v>
      </c>
      <c r="H67" s="25" t="s">
        <v>454</v>
      </c>
      <c r="I67" s="25" t="s">
        <v>454</v>
      </c>
      <c r="J67" s="25" t="s">
        <v>454</v>
      </c>
      <c r="K67" s="25" t="s">
        <v>454</v>
      </c>
      <c r="L67" s="24" t="s">
        <v>59</v>
      </c>
      <c r="M67" s="64" t="s">
        <v>768</v>
      </c>
      <c r="N67" s="43">
        <f>VLOOKUP(A67,[1]AccessoryList!$A:$D,4,FALSE)</f>
        <v>60</v>
      </c>
      <c r="O67" s="43">
        <f>VLOOKUP(A67,[1]AccessoryList!$A:$E,5,FALSE)</f>
        <v>79.95</v>
      </c>
      <c r="P67" s="26">
        <v>0.8</v>
      </c>
      <c r="Q67" s="27">
        <f t="shared" si="0"/>
        <v>125</v>
      </c>
      <c r="R67" s="28">
        <f t="shared" si="3"/>
        <v>179.95</v>
      </c>
      <c r="S67" s="2"/>
      <c r="T67" s="7" t="str">
        <f>VLOOKUP(A67,[1]AccessoryList!$A:$B,2,FALSE)</f>
        <v>D</v>
      </c>
      <c r="U67" s="2">
        <f>VLOOKUP(A67,[1]AccessoryList!$A:$F,6,FALSE)+VLOOKUP(A67,[1]AccessoryList!$A:$G,7,FALSE)</f>
        <v>7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s="13" customFormat="1">
      <c r="A68" s="90" t="s">
        <v>865</v>
      </c>
      <c r="B68" s="91" t="s">
        <v>860</v>
      </c>
      <c r="C68" s="91" t="s">
        <v>866</v>
      </c>
      <c r="D68" s="82"/>
      <c r="E68" s="80" t="s">
        <v>454</v>
      </c>
      <c r="F68" s="80" t="s">
        <v>454</v>
      </c>
      <c r="G68" s="80" t="s">
        <v>454</v>
      </c>
      <c r="H68" s="80" t="s">
        <v>454</v>
      </c>
      <c r="I68" s="80" t="s">
        <v>454</v>
      </c>
      <c r="J68" s="80" t="s">
        <v>454</v>
      </c>
      <c r="K68" s="80" t="s">
        <v>454</v>
      </c>
      <c r="L68" s="82" t="s">
        <v>10</v>
      </c>
      <c r="M68" s="78"/>
      <c r="N68" s="81">
        <f>VLOOKUP(A68,[1]AccessoryList!$A:$D,4,FALSE)</f>
        <v>392.67</v>
      </c>
      <c r="O68" s="81">
        <f>VLOOKUP(A68,[1]AccessoryList!$A:$E,5,FALSE)</f>
        <v>560.95000000000005</v>
      </c>
      <c r="P68" s="50">
        <v>1.5</v>
      </c>
      <c r="Q68" s="83">
        <f t="shared" si="0"/>
        <v>125</v>
      </c>
      <c r="R68" s="84">
        <f t="shared" ref="R68:R70" si="5">P68*Q68+O68</f>
        <v>748.45</v>
      </c>
      <c r="S68" s="2"/>
      <c r="T68" s="7" t="str">
        <f>VLOOKUP(A68,[1]AccessoryList!$A:$B,2,FALSE)</f>
        <v>C</v>
      </c>
      <c r="U68" s="2">
        <f>VLOOKUP(A68,[1]AccessoryList!$A:$F,6,FALSE)+VLOOKUP(A68,[1]AccessoryList!$A:$G,7,FALSE)</f>
        <v>34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s="13" customFormat="1">
      <c r="A69" s="90" t="s">
        <v>862</v>
      </c>
      <c r="B69" s="91" t="s">
        <v>864</v>
      </c>
      <c r="C69" s="91" t="s">
        <v>867</v>
      </c>
      <c r="D69" s="82"/>
      <c r="E69" s="80" t="s">
        <v>454</v>
      </c>
      <c r="F69" s="80" t="s">
        <v>454</v>
      </c>
      <c r="G69" s="80" t="s">
        <v>454</v>
      </c>
      <c r="H69" s="80" t="s">
        <v>454</v>
      </c>
      <c r="I69" s="80" t="s">
        <v>454</v>
      </c>
      <c r="J69" s="80" t="s">
        <v>454</v>
      </c>
      <c r="K69" s="80" t="s">
        <v>454</v>
      </c>
      <c r="L69" s="82" t="s">
        <v>10</v>
      </c>
      <c r="M69" s="78" t="s">
        <v>768</v>
      </c>
      <c r="N69" s="81">
        <f>VLOOKUP(A69,[1]AccessoryList!$A:$D,4,FALSE)</f>
        <v>476.43</v>
      </c>
      <c r="O69" s="81">
        <f>VLOOKUP(A69,[1]AccessoryList!$A:$E,5,FALSE)</f>
        <v>669.95</v>
      </c>
      <c r="P69" s="50">
        <v>0</v>
      </c>
      <c r="Q69" s="83">
        <f t="shared" si="0"/>
        <v>125</v>
      </c>
      <c r="R69" s="84">
        <f t="shared" si="5"/>
        <v>669.95</v>
      </c>
      <c r="S69" s="2"/>
      <c r="T69" s="7" t="str">
        <f>VLOOKUP(A69,[1]AccessoryList!$A:$B,2,FALSE)</f>
        <v>C</v>
      </c>
      <c r="U69" s="2">
        <f>VLOOKUP(A69,[1]AccessoryList!$A:$F,6,FALSE)+VLOOKUP(A69,[1]AccessoryList!$A:$G,7,FALSE)</f>
        <v>32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s="13" customFormat="1">
      <c r="A70" s="90" t="s">
        <v>861</v>
      </c>
      <c r="B70" s="91" t="s">
        <v>863</v>
      </c>
      <c r="C70" s="91" t="s">
        <v>868</v>
      </c>
      <c r="D70" s="82"/>
      <c r="E70" s="80" t="s">
        <v>454</v>
      </c>
      <c r="F70" s="80" t="s">
        <v>454</v>
      </c>
      <c r="G70" s="80" t="s">
        <v>454</v>
      </c>
      <c r="H70" s="80" t="s">
        <v>454</v>
      </c>
      <c r="I70" s="80" t="s">
        <v>454</v>
      </c>
      <c r="J70" s="80" t="s">
        <v>454</v>
      </c>
      <c r="K70" s="80" t="s">
        <v>454</v>
      </c>
      <c r="L70" s="82" t="s">
        <v>10</v>
      </c>
      <c r="M70" s="78" t="s">
        <v>768</v>
      </c>
      <c r="N70" s="81">
        <f>VLOOKUP(A70,[1]AccessoryList!$A:$D,4,FALSE)</f>
        <v>769.97</v>
      </c>
      <c r="O70" s="81">
        <f>VLOOKUP(A70,[1]AccessoryList!$A:$E,5,FALSE)</f>
        <v>1099.95</v>
      </c>
      <c r="P70" s="50">
        <v>0</v>
      </c>
      <c r="Q70" s="83">
        <f t="shared" si="0"/>
        <v>125</v>
      </c>
      <c r="R70" s="84">
        <f t="shared" si="5"/>
        <v>1099.95</v>
      </c>
      <c r="S70" s="2"/>
      <c r="T70" s="7" t="str">
        <f>VLOOKUP(A70,[1]AccessoryList!$A:$B,2,FALSE)</f>
        <v>C</v>
      </c>
      <c r="U70" s="2">
        <f>VLOOKUP(A70,[1]AccessoryList!$A:$F,6,FALSE)+VLOOKUP(A70,[1]AccessoryList!$A:$G,7,FALSE)</f>
        <v>37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s="13" customFormat="1">
      <c r="A71" s="29" t="s">
        <v>65</v>
      </c>
      <c r="B71" s="30" t="s">
        <v>26</v>
      </c>
      <c r="C71" s="30" t="s">
        <v>326</v>
      </c>
      <c r="D71" s="26" t="s">
        <v>81</v>
      </c>
      <c r="E71" s="31" t="s">
        <v>454</v>
      </c>
      <c r="F71" s="31" t="s">
        <v>454</v>
      </c>
      <c r="G71" s="31" t="s">
        <v>454</v>
      </c>
      <c r="H71" s="31" t="s">
        <v>454</v>
      </c>
      <c r="I71" s="31" t="s">
        <v>454</v>
      </c>
      <c r="J71" s="31" t="s">
        <v>454</v>
      </c>
      <c r="K71" s="31" t="s">
        <v>454</v>
      </c>
      <c r="L71" s="26" t="s">
        <v>0</v>
      </c>
      <c r="M71" s="62"/>
      <c r="N71" s="43">
        <f>VLOOKUP(A71,[1]AccessoryList!$A:$D,4,FALSE)</f>
        <v>137.97</v>
      </c>
      <c r="O71" s="43">
        <f>VLOOKUP(A71,[1]AccessoryList!$A:$E,5,FALSE)</f>
        <v>229.95</v>
      </c>
      <c r="P71" s="26">
        <v>0.5</v>
      </c>
      <c r="Q71" s="27">
        <f t="shared" si="0"/>
        <v>125</v>
      </c>
      <c r="R71" s="28">
        <f t="shared" si="3"/>
        <v>292.45</v>
      </c>
      <c r="S71" s="2"/>
      <c r="T71" s="7" t="str">
        <f>VLOOKUP(A71,[1]AccessoryList!$A:$B,2,FALSE)</f>
        <v>C</v>
      </c>
      <c r="U71" s="2">
        <f>VLOOKUP(A71,[1]AccessoryList!$A:$F,6,FALSE)+VLOOKUP(A71,[1]AccessoryList!$A:$G,7,FALSE)</f>
        <v>90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>
      <c r="A72" s="29" t="s">
        <v>2</v>
      </c>
      <c r="B72" s="30" t="s">
        <v>130</v>
      </c>
      <c r="C72" s="30" t="s">
        <v>86</v>
      </c>
      <c r="D72" s="26"/>
      <c r="E72" s="31" t="s">
        <v>454</v>
      </c>
      <c r="F72" s="31" t="s">
        <v>454</v>
      </c>
      <c r="G72" s="31" t="s">
        <v>454</v>
      </c>
      <c r="H72" s="31" t="s">
        <v>454</v>
      </c>
      <c r="I72" s="31" t="s">
        <v>454</v>
      </c>
      <c r="J72" s="31" t="s">
        <v>454</v>
      </c>
      <c r="K72" s="31" t="s">
        <v>454</v>
      </c>
      <c r="L72" s="26" t="s">
        <v>0</v>
      </c>
      <c r="M72" s="65" t="s">
        <v>768</v>
      </c>
      <c r="N72" s="43">
        <f>VLOOKUP(A72,[1]AccessoryList!$A:$D,4,FALSE)</f>
        <v>61.17</v>
      </c>
      <c r="O72" s="43">
        <f>VLOOKUP(A72,[1]AccessoryList!$A:$E,5,FALSE)</f>
        <v>101.95</v>
      </c>
      <c r="P72" s="26">
        <v>1</v>
      </c>
      <c r="Q72" s="27">
        <f t="shared" si="0"/>
        <v>125</v>
      </c>
      <c r="R72" s="28">
        <f t="shared" si="3"/>
        <v>226.95</v>
      </c>
      <c r="T72" s="7" t="str">
        <f>VLOOKUP(A72,[1]AccessoryList!$A:$B,2,FALSE)</f>
        <v>Q</v>
      </c>
      <c r="U72" s="2">
        <f>VLOOKUP(A72,[1]AccessoryList!$A:$F,6,FALSE)+VLOOKUP(A72,[1]AccessoryList!$A:$G,7,FALSE)</f>
        <v>3</v>
      </c>
    </row>
    <row r="73" spans="1:57">
      <c r="A73" s="29" t="s">
        <v>13</v>
      </c>
      <c r="B73" s="30" t="s">
        <v>200</v>
      </c>
      <c r="C73" s="30" t="s">
        <v>337</v>
      </c>
      <c r="D73" s="26" t="s">
        <v>308</v>
      </c>
      <c r="E73" s="31" t="s">
        <v>410</v>
      </c>
      <c r="F73" s="31" t="s">
        <v>454</v>
      </c>
      <c r="G73" s="31" t="s">
        <v>454</v>
      </c>
      <c r="H73" s="31" t="s">
        <v>454</v>
      </c>
      <c r="I73" s="31" t="s">
        <v>454</v>
      </c>
      <c r="J73" s="31" t="s">
        <v>454</v>
      </c>
      <c r="K73" s="31" t="s">
        <v>454</v>
      </c>
      <c r="L73" s="26" t="s">
        <v>10</v>
      </c>
      <c r="M73" s="74" t="s">
        <v>768</v>
      </c>
      <c r="N73" s="43">
        <f>VLOOKUP(A73,[1]AccessoryList!$A:$D,4,FALSE)</f>
        <v>164.37</v>
      </c>
      <c r="O73" s="43">
        <f>VLOOKUP(A73,[1]AccessoryList!$A:$E,5,FALSE)</f>
        <v>273.95</v>
      </c>
      <c r="P73" s="26">
        <v>0</v>
      </c>
      <c r="Q73" s="27">
        <f t="shared" si="0"/>
        <v>125</v>
      </c>
      <c r="R73" s="28">
        <f t="shared" si="3"/>
        <v>273.95</v>
      </c>
      <c r="T73" s="7" t="str">
        <f>VLOOKUP(A73,[1]AccessoryList!$A:$B,2,FALSE)</f>
        <v>Q</v>
      </c>
      <c r="U73" s="2">
        <f>VLOOKUP(A73,[1]AccessoryList!$A:$F,6,FALSE)+VLOOKUP(A73,[1]AccessoryList!$A:$G,7,FALSE)</f>
        <v>16</v>
      </c>
    </row>
    <row r="74" spans="1:57" s="8" customFormat="1">
      <c r="A74" s="29" t="s">
        <v>307</v>
      </c>
      <c r="B74" s="30" t="s">
        <v>200</v>
      </c>
      <c r="C74" s="30" t="s">
        <v>338</v>
      </c>
      <c r="D74" s="26" t="s">
        <v>309</v>
      </c>
      <c r="E74" s="31" t="s">
        <v>454</v>
      </c>
      <c r="F74" s="32"/>
      <c r="G74" s="32"/>
      <c r="H74" s="32"/>
      <c r="I74" s="32"/>
      <c r="J74" s="32"/>
      <c r="K74" s="32"/>
      <c r="L74" s="26" t="s">
        <v>10</v>
      </c>
      <c r="M74" s="74" t="s">
        <v>768</v>
      </c>
      <c r="N74" s="43">
        <f>VLOOKUP(A74,[1]AccessoryList!$A:$D,4,FALSE)</f>
        <v>80.97</v>
      </c>
      <c r="O74" s="43">
        <f>VLOOKUP(A74,[1]AccessoryList!$A:$E,5,FALSE)</f>
        <v>134.94999999999999</v>
      </c>
      <c r="P74" s="26">
        <v>0.7</v>
      </c>
      <c r="Q74" s="27">
        <f t="shared" si="0"/>
        <v>125</v>
      </c>
      <c r="R74" s="28">
        <f t="shared" ref="R74:R121" si="6">P74*Q74+O74</f>
        <v>222.45</v>
      </c>
      <c r="S74" s="2"/>
      <c r="T74" s="7" t="str">
        <f>VLOOKUP(A74,[1]AccessoryList!$A:$B,2,FALSE)</f>
        <v>Q</v>
      </c>
      <c r="U74" s="2">
        <f>VLOOKUP(A74,[1]AccessoryList!$A:$F,6,FALSE)+VLOOKUP(A74,[1]AccessoryList!$A:$G,7,FALSE)</f>
        <v>11</v>
      </c>
    </row>
    <row r="75" spans="1:57" s="8" customFormat="1">
      <c r="A75" s="29" t="s">
        <v>70</v>
      </c>
      <c r="B75" s="30" t="s">
        <v>201</v>
      </c>
      <c r="C75" s="30" t="s">
        <v>339</v>
      </c>
      <c r="D75" s="26"/>
      <c r="E75" s="31" t="s">
        <v>454</v>
      </c>
      <c r="F75" s="31" t="s">
        <v>454</v>
      </c>
      <c r="G75" s="31" t="s">
        <v>454</v>
      </c>
      <c r="H75" s="31" t="s">
        <v>454</v>
      </c>
      <c r="I75" s="31" t="s">
        <v>454</v>
      </c>
      <c r="J75" s="31" t="s">
        <v>454</v>
      </c>
      <c r="K75" s="31" t="s">
        <v>454</v>
      </c>
      <c r="L75" s="26" t="s">
        <v>10</v>
      </c>
      <c r="M75" s="74" t="s">
        <v>768</v>
      </c>
      <c r="N75" s="43">
        <f>VLOOKUP(A75,[1]AccessoryList!$A:$D,4,FALSE)</f>
        <v>115.77</v>
      </c>
      <c r="O75" s="43">
        <f>VLOOKUP(A75,[1]AccessoryList!$A:$E,5,FALSE)</f>
        <v>192.95</v>
      </c>
      <c r="P75" s="26">
        <v>0.5</v>
      </c>
      <c r="Q75" s="27">
        <f t="shared" si="0"/>
        <v>125</v>
      </c>
      <c r="R75" s="28">
        <f t="shared" si="6"/>
        <v>255.45</v>
      </c>
      <c r="S75" s="2"/>
      <c r="T75" s="7" t="str">
        <f>VLOOKUP(A75,[1]AccessoryList!$A:$B,2,FALSE)</f>
        <v>A</v>
      </c>
      <c r="U75" s="2">
        <f>VLOOKUP(A75,[1]AccessoryList!$A:$F,6,FALSE)+VLOOKUP(A75,[1]AccessoryList!$A:$G,7,FALSE)</f>
        <v>399</v>
      </c>
    </row>
    <row r="76" spans="1:57" s="19" customFormat="1">
      <c r="A76" s="29" t="s">
        <v>230</v>
      </c>
      <c r="B76" s="30" t="s">
        <v>818</v>
      </c>
      <c r="C76" s="30" t="s">
        <v>334</v>
      </c>
      <c r="D76" s="26" t="s">
        <v>262</v>
      </c>
      <c r="E76" s="31" t="s">
        <v>454</v>
      </c>
      <c r="F76" s="31" t="s">
        <v>454</v>
      </c>
      <c r="G76" s="31" t="s">
        <v>454</v>
      </c>
      <c r="H76" s="31" t="s">
        <v>454</v>
      </c>
      <c r="I76" s="31" t="s">
        <v>454</v>
      </c>
      <c r="J76" s="31" t="s">
        <v>454</v>
      </c>
      <c r="K76" s="31" t="s">
        <v>454</v>
      </c>
      <c r="L76" s="26" t="s">
        <v>10</v>
      </c>
      <c r="M76" s="65" t="s">
        <v>768</v>
      </c>
      <c r="N76" s="43">
        <f>VLOOKUP(A76,[1]AccessoryList!$A:$D,4,FALSE)</f>
        <v>360.57</v>
      </c>
      <c r="O76" s="43">
        <f>VLOOKUP(A76,[1]AccessoryList!$A:$E,5,FALSE)</f>
        <v>600.95000000000005</v>
      </c>
      <c r="P76" s="24">
        <v>0.8</v>
      </c>
      <c r="Q76" s="27">
        <f t="shared" si="0"/>
        <v>125</v>
      </c>
      <c r="R76" s="28">
        <f t="shared" si="6"/>
        <v>700.95</v>
      </c>
      <c r="S76" s="2"/>
      <c r="T76" s="7" t="str">
        <f>VLOOKUP(A76,[1]AccessoryList!$A:$B,2,FALSE)</f>
        <v>O</v>
      </c>
      <c r="U76" s="2">
        <f>VLOOKUP(A76,[1]AccessoryList!$A:$F,6,FALSE)+VLOOKUP(A76,[1]AccessoryList!$A:$G,7,FALSE)</f>
        <v>7</v>
      </c>
    </row>
    <row r="77" spans="1:57" s="19" customFormat="1">
      <c r="A77" s="35" t="s">
        <v>231</v>
      </c>
      <c r="B77" s="8" t="s">
        <v>819</v>
      </c>
      <c r="C77" s="36" t="s">
        <v>335</v>
      </c>
      <c r="D77" s="32" t="s">
        <v>262</v>
      </c>
      <c r="E77" s="31" t="s">
        <v>454</v>
      </c>
      <c r="F77" s="31" t="s">
        <v>454</v>
      </c>
      <c r="G77" s="31" t="s">
        <v>454</v>
      </c>
      <c r="H77" s="31" t="s">
        <v>454</v>
      </c>
      <c r="I77" s="31" t="s">
        <v>454</v>
      </c>
      <c r="J77" s="31" t="s">
        <v>454</v>
      </c>
      <c r="K77" s="31" t="s">
        <v>454</v>
      </c>
      <c r="L77" s="26" t="s">
        <v>10</v>
      </c>
      <c r="M77" s="65" t="s">
        <v>768</v>
      </c>
      <c r="N77" s="43">
        <f>VLOOKUP(A77,[1]AccessoryList!$A:$D,4,FALSE)</f>
        <v>402.57</v>
      </c>
      <c r="O77" s="43">
        <f>VLOOKUP(A77,[1]AccessoryList!$A:$E,5,FALSE)</f>
        <v>670.95</v>
      </c>
      <c r="P77" s="24">
        <v>0.8</v>
      </c>
      <c r="Q77" s="27">
        <f t="shared" si="0"/>
        <v>125</v>
      </c>
      <c r="R77" s="28">
        <f t="shared" si="6"/>
        <v>770.95</v>
      </c>
      <c r="S77" s="2"/>
      <c r="T77" s="7" t="str">
        <f>VLOOKUP(A77,[1]AccessoryList!$A:$B,2,FALSE)</f>
        <v>O</v>
      </c>
      <c r="U77" s="2">
        <f>VLOOKUP(A77,[1]AccessoryList!$A:$F,6,FALSE)+VLOOKUP(A77,[1]AccessoryList!$A:$G,7,FALSE)</f>
        <v>16</v>
      </c>
    </row>
    <row r="78" spans="1:57" s="19" customFormat="1">
      <c r="A78" s="29" t="s">
        <v>71</v>
      </c>
      <c r="B78" s="30" t="s">
        <v>28</v>
      </c>
      <c r="C78" s="30" t="s">
        <v>14</v>
      </c>
      <c r="D78" s="26"/>
      <c r="E78" s="31" t="s">
        <v>454</v>
      </c>
      <c r="F78" s="31" t="s">
        <v>454</v>
      </c>
      <c r="G78" s="31" t="s">
        <v>454</v>
      </c>
      <c r="H78" s="31" t="s">
        <v>454</v>
      </c>
      <c r="I78" s="31" t="s">
        <v>454</v>
      </c>
      <c r="J78" s="31" t="s">
        <v>454</v>
      </c>
      <c r="K78" s="31" t="s">
        <v>454</v>
      </c>
      <c r="L78" s="26" t="s">
        <v>10</v>
      </c>
      <c r="M78" s="74" t="s">
        <v>768</v>
      </c>
      <c r="N78" s="43">
        <f>VLOOKUP(A78,[1]AccessoryList!$A:$D,4,FALSE)</f>
        <v>80.97</v>
      </c>
      <c r="O78" s="43">
        <f>VLOOKUP(A78,[1]AccessoryList!$A:$E,5,FALSE)</f>
        <v>134.94999999999999</v>
      </c>
      <c r="P78" s="24">
        <v>0.2</v>
      </c>
      <c r="Q78" s="27">
        <f t="shared" si="0"/>
        <v>125</v>
      </c>
      <c r="R78" s="28">
        <f t="shared" si="6"/>
        <v>159.94999999999999</v>
      </c>
      <c r="S78" s="2"/>
      <c r="T78" s="7" t="str">
        <f>VLOOKUP(A78,[1]AccessoryList!$A:$B,2,FALSE)</f>
        <v>C</v>
      </c>
      <c r="U78" s="2">
        <f>VLOOKUP(A78,[1]AccessoryList!$A:$F,6,FALSE)+VLOOKUP(A78,[1]AccessoryList!$A:$G,7,FALSE)</f>
        <v>20</v>
      </c>
    </row>
    <row r="79" spans="1:57" s="19" customFormat="1">
      <c r="A79" s="29" t="s">
        <v>72</v>
      </c>
      <c r="B79" s="30" t="s">
        <v>243</v>
      </c>
      <c r="C79" s="30" t="s">
        <v>340</v>
      </c>
      <c r="D79" s="26" t="s">
        <v>404</v>
      </c>
      <c r="E79" s="31" t="s">
        <v>454</v>
      </c>
      <c r="F79" s="31" t="s">
        <v>454</v>
      </c>
      <c r="G79" s="31" t="s">
        <v>454</v>
      </c>
      <c r="H79" s="31" t="s">
        <v>454</v>
      </c>
      <c r="I79" s="31" t="s">
        <v>454</v>
      </c>
      <c r="J79" s="31" t="s">
        <v>454</v>
      </c>
      <c r="K79" s="31" t="s">
        <v>454</v>
      </c>
      <c r="L79" s="26" t="s">
        <v>10</v>
      </c>
      <c r="M79" s="74" t="s">
        <v>768</v>
      </c>
      <c r="N79" s="43">
        <f>VLOOKUP(A79,[1]AccessoryList!$A:$D,4,FALSE)</f>
        <v>317.97000000000003</v>
      </c>
      <c r="O79" s="43">
        <f>VLOOKUP(A79,[1]AccessoryList!$A:$E,5,FALSE)</f>
        <v>529.95000000000005</v>
      </c>
      <c r="P79" s="24">
        <v>0</v>
      </c>
      <c r="Q79" s="27">
        <f t="shared" si="0"/>
        <v>125</v>
      </c>
      <c r="R79" s="28">
        <f t="shared" si="6"/>
        <v>529.95000000000005</v>
      </c>
      <c r="S79" s="2"/>
      <c r="T79" s="7" t="str">
        <f>VLOOKUP(A79,[1]AccessoryList!$A:$B,2,FALSE)</f>
        <v>O</v>
      </c>
      <c r="U79" s="2">
        <f>VLOOKUP(A79,[1]AccessoryList!$A:$F,6,FALSE)+VLOOKUP(A79,[1]AccessoryList!$A:$G,7,FALSE)</f>
        <v>23</v>
      </c>
    </row>
    <row r="80" spans="1:57" s="19" customFormat="1">
      <c r="A80" s="29" t="s">
        <v>229</v>
      </c>
      <c r="B80" s="30" t="s">
        <v>242</v>
      </c>
      <c r="C80" s="30" t="s">
        <v>342</v>
      </c>
      <c r="D80" s="26" t="s">
        <v>398</v>
      </c>
      <c r="E80" s="31" t="s">
        <v>454</v>
      </c>
      <c r="F80" s="31" t="s">
        <v>454</v>
      </c>
      <c r="G80" s="31" t="s">
        <v>454</v>
      </c>
      <c r="H80" s="31" t="s">
        <v>454</v>
      </c>
      <c r="I80" s="31" t="s">
        <v>454</v>
      </c>
      <c r="J80" s="31" t="s">
        <v>454</v>
      </c>
      <c r="K80" s="31" t="s">
        <v>454</v>
      </c>
      <c r="L80" s="26" t="s">
        <v>10</v>
      </c>
      <c r="M80" s="74" t="s">
        <v>768</v>
      </c>
      <c r="N80" s="43">
        <f>VLOOKUP(A80,[1]AccessoryList!$A:$D,4,FALSE)</f>
        <v>439.66</v>
      </c>
      <c r="O80" s="43">
        <f>VLOOKUP(A80,[1]AccessoryList!$A:$E,5,FALSE)</f>
        <v>732.95</v>
      </c>
      <c r="P80" s="24">
        <v>0</v>
      </c>
      <c r="Q80" s="27">
        <f t="shared" si="0"/>
        <v>125</v>
      </c>
      <c r="R80" s="28">
        <f t="shared" si="6"/>
        <v>732.95</v>
      </c>
      <c r="S80" s="2"/>
      <c r="T80" s="7" t="str">
        <f>VLOOKUP(A80,[1]AccessoryList!$A:$B,2,FALSE)</f>
        <v>S</v>
      </c>
      <c r="U80" s="2">
        <f>VLOOKUP(A80,[1]AccessoryList!$A:$F,6,FALSE)+VLOOKUP(A80,[1]AccessoryList!$A:$G,7,FALSE)</f>
        <v>1</v>
      </c>
    </row>
    <row r="81" spans="1:21" s="19" customFormat="1">
      <c r="A81" s="29" t="s">
        <v>73</v>
      </c>
      <c r="B81" s="30" t="s">
        <v>244</v>
      </c>
      <c r="C81" s="30" t="s">
        <v>341</v>
      </c>
      <c r="D81" s="26" t="s">
        <v>405</v>
      </c>
      <c r="E81" s="31" t="s">
        <v>454</v>
      </c>
      <c r="F81" s="31" t="s">
        <v>454</v>
      </c>
      <c r="G81" s="31" t="s">
        <v>454</v>
      </c>
      <c r="H81" s="31" t="s">
        <v>454</v>
      </c>
      <c r="I81" s="31" t="s">
        <v>454</v>
      </c>
      <c r="J81" s="31" t="s">
        <v>454</v>
      </c>
      <c r="K81" s="31" t="s">
        <v>454</v>
      </c>
      <c r="L81" s="26" t="s">
        <v>10</v>
      </c>
      <c r="M81" s="74" t="s">
        <v>768</v>
      </c>
      <c r="N81" s="43">
        <f>VLOOKUP(A81,[1]AccessoryList!$A:$D,4,FALSE)</f>
        <v>361.77</v>
      </c>
      <c r="O81" s="43">
        <f>VLOOKUP(A81,[1]AccessoryList!$A:$E,5,FALSE)</f>
        <v>602.95000000000005</v>
      </c>
      <c r="P81" s="24">
        <v>0</v>
      </c>
      <c r="Q81" s="27">
        <f t="shared" si="0"/>
        <v>125</v>
      </c>
      <c r="R81" s="28">
        <f t="shared" si="6"/>
        <v>602.95000000000005</v>
      </c>
      <c r="S81" s="2"/>
      <c r="T81" s="7" t="str">
        <f>VLOOKUP(A81,[1]AccessoryList!$A:$B,2,FALSE)</f>
        <v>O</v>
      </c>
      <c r="U81" s="2">
        <f>VLOOKUP(A81,[1]AccessoryList!$A:$F,6,FALSE)+VLOOKUP(A81,[1]AccessoryList!$A:$G,7,FALSE)</f>
        <v>1</v>
      </c>
    </row>
    <row r="82" spans="1:21" s="19" customFormat="1">
      <c r="A82" s="29" t="s">
        <v>227</v>
      </c>
      <c r="B82" s="30" t="s">
        <v>353</v>
      </c>
      <c r="C82" s="30" t="s">
        <v>354</v>
      </c>
      <c r="D82" s="26" t="s">
        <v>406</v>
      </c>
      <c r="E82" s="31" t="s">
        <v>454</v>
      </c>
      <c r="F82" s="31" t="s">
        <v>454</v>
      </c>
      <c r="G82" s="31" t="s">
        <v>454</v>
      </c>
      <c r="H82" s="31" t="s">
        <v>454</v>
      </c>
      <c r="I82" s="31" t="s">
        <v>454</v>
      </c>
      <c r="J82" s="31" t="s">
        <v>454</v>
      </c>
      <c r="K82" s="31" t="s">
        <v>454</v>
      </c>
      <c r="L82" s="26" t="s">
        <v>10</v>
      </c>
      <c r="M82" s="74" t="s">
        <v>768</v>
      </c>
      <c r="N82" s="43">
        <f>VLOOKUP(A82,[1]AccessoryList!$A:$D,4,FALSE)</f>
        <v>463.17</v>
      </c>
      <c r="O82" s="43">
        <f>VLOOKUP(A82,[1]AccessoryList!$A:$E,5,FALSE)</f>
        <v>771.95</v>
      </c>
      <c r="P82" s="24">
        <v>0</v>
      </c>
      <c r="Q82" s="27">
        <f t="shared" si="0"/>
        <v>125</v>
      </c>
      <c r="R82" s="28">
        <f t="shared" si="6"/>
        <v>771.95</v>
      </c>
      <c r="S82" s="2"/>
      <c r="T82" s="7" t="str">
        <f>VLOOKUP(A82,[1]AccessoryList!$A:$B,2,FALSE)</f>
        <v>F</v>
      </c>
      <c r="U82" s="2">
        <f>VLOOKUP(A82,[1]AccessoryList!$A:$F,6,FALSE)+VLOOKUP(A82,[1]AccessoryList!$A:$G,7,FALSE)</f>
        <v>2</v>
      </c>
    </row>
    <row r="83" spans="1:21" s="19" customFormat="1">
      <c r="A83" s="29" t="s">
        <v>123</v>
      </c>
      <c r="B83" s="30" t="s">
        <v>248</v>
      </c>
      <c r="C83" s="30" t="s">
        <v>345</v>
      </c>
      <c r="D83" s="26" t="s">
        <v>407</v>
      </c>
      <c r="E83" s="31" t="s">
        <v>454</v>
      </c>
      <c r="F83" s="31" t="s">
        <v>454</v>
      </c>
      <c r="G83" s="31" t="s">
        <v>454</v>
      </c>
      <c r="H83" s="31" t="s">
        <v>454</v>
      </c>
      <c r="I83" s="31" t="s">
        <v>454</v>
      </c>
      <c r="J83" s="31" t="s">
        <v>454</v>
      </c>
      <c r="K83" s="31" t="s">
        <v>454</v>
      </c>
      <c r="L83" s="26" t="s">
        <v>10</v>
      </c>
      <c r="M83" s="74" t="s">
        <v>768</v>
      </c>
      <c r="N83" s="43">
        <f>VLOOKUP(A83,[1]AccessoryList!$A:$D,4,FALSE)</f>
        <v>299.97000000000003</v>
      </c>
      <c r="O83" s="43">
        <f>VLOOKUP(A83,[1]AccessoryList!$A:$E,5,FALSE)</f>
        <v>499.95</v>
      </c>
      <c r="P83" s="24">
        <v>0</v>
      </c>
      <c r="Q83" s="27">
        <f t="shared" si="0"/>
        <v>125</v>
      </c>
      <c r="R83" s="28">
        <f t="shared" si="6"/>
        <v>499.95</v>
      </c>
      <c r="S83" s="2"/>
      <c r="T83" s="7" t="str">
        <f>VLOOKUP(A83,[1]AccessoryList!$A:$B,2,FALSE)</f>
        <v>S</v>
      </c>
      <c r="U83" s="2">
        <f>VLOOKUP(A83,[1]AccessoryList!$A:$F,6,FALSE)+VLOOKUP(A83,[1]AccessoryList!$A:$G,7,FALSE)</f>
        <v>3</v>
      </c>
    </row>
    <row r="84" spans="1:21" s="19" customFormat="1">
      <c r="A84" s="29" t="s">
        <v>228</v>
      </c>
      <c r="B84" s="30" t="s">
        <v>246</v>
      </c>
      <c r="C84" s="30" t="s">
        <v>839</v>
      </c>
      <c r="D84" s="26" t="s">
        <v>393</v>
      </c>
      <c r="E84" s="31" t="s">
        <v>454</v>
      </c>
      <c r="F84" s="31" t="s">
        <v>454</v>
      </c>
      <c r="G84" s="31" t="s">
        <v>454</v>
      </c>
      <c r="H84" s="31" t="s">
        <v>454</v>
      </c>
      <c r="I84" s="31" t="s">
        <v>454</v>
      </c>
      <c r="J84" s="31" t="s">
        <v>454</v>
      </c>
      <c r="K84" s="31" t="s">
        <v>454</v>
      </c>
      <c r="L84" s="26" t="s">
        <v>10</v>
      </c>
      <c r="M84" s="74" t="s">
        <v>768</v>
      </c>
      <c r="N84" s="43">
        <f>VLOOKUP(A84,[1]AccessoryList!$A:$D,4,FALSE)</f>
        <v>436.77</v>
      </c>
      <c r="O84" s="43">
        <f>VLOOKUP(A84,[1]AccessoryList!$A:$E,5,FALSE)</f>
        <v>727.95</v>
      </c>
      <c r="P84" s="24">
        <v>0</v>
      </c>
      <c r="Q84" s="27">
        <f t="shared" si="0"/>
        <v>125</v>
      </c>
      <c r="R84" s="28">
        <f t="shared" si="6"/>
        <v>727.95</v>
      </c>
      <c r="S84" s="2"/>
      <c r="T84" s="7" t="str">
        <f>VLOOKUP(A84,[1]AccessoryList!$A:$B,2,FALSE)</f>
        <v>D</v>
      </c>
      <c r="U84" s="2">
        <f>VLOOKUP(A84,[1]AccessoryList!$A:$F,6,FALSE)+VLOOKUP(A84,[1]AccessoryList!$A:$G,7,FALSE)</f>
        <v>12</v>
      </c>
    </row>
    <row r="85" spans="1:21" s="19" customFormat="1">
      <c r="A85" s="29" t="s">
        <v>195</v>
      </c>
      <c r="B85" s="30" t="s">
        <v>247</v>
      </c>
      <c r="C85" s="30" t="s">
        <v>344</v>
      </c>
      <c r="D85" s="26" t="s">
        <v>323</v>
      </c>
      <c r="E85" s="31" t="s">
        <v>454</v>
      </c>
      <c r="F85" s="31" t="s">
        <v>454</v>
      </c>
      <c r="G85" s="31" t="s">
        <v>454</v>
      </c>
      <c r="H85" s="31" t="s">
        <v>454</v>
      </c>
      <c r="I85" s="31" t="s">
        <v>454</v>
      </c>
      <c r="J85" s="31" t="s">
        <v>454</v>
      </c>
      <c r="K85" s="31" t="s">
        <v>454</v>
      </c>
      <c r="L85" s="32" t="s">
        <v>10</v>
      </c>
      <c r="M85" s="74" t="s">
        <v>768</v>
      </c>
      <c r="N85" s="43">
        <f>VLOOKUP(A85,[1]AccessoryList!$A:$D,4,FALSE)</f>
        <v>317.97000000000003</v>
      </c>
      <c r="O85" s="43">
        <f>VLOOKUP(A85,[1]AccessoryList!$A:$E,5,FALSE)</f>
        <v>529.95000000000005</v>
      </c>
      <c r="P85" s="24">
        <v>0</v>
      </c>
      <c r="Q85" s="27">
        <f t="shared" si="0"/>
        <v>125</v>
      </c>
      <c r="R85" s="28">
        <f t="shared" si="6"/>
        <v>529.95000000000005</v>
      </c>
      <c r="S85" s="2"/>
      <c r="T85" s="7" t="str">
        <f>VLOOKUP(A85,[1]AccessoryList!$A:$B,2,FALSE)</f>
        <v>S</v>
      </c>
      <c r="U85" s="2">
        <f>VLOOKUP(A85,[1]AccessoryList!$A:$F,6,FALSE)+VLOOKUP(A85,[1]AccessoryList!$A:$G,7,FALSE)</f>
        <v>0</v>
      </c>
    </row>
    <row r="86" spans="1:21" s="19" customFormat="1">
      <c r="A86" s="29" t="s">
        <v>74</v>
      </c>
      <c r="B86" s="30" t="s">
        <v>245</v>
      </c>
      <c r="C86" s="30" t="s">
        <v>343</v>
      </c>
      <c r="D86" s="26" t="s">
        <v>392</v>
      </c>
      <c r="E86" s="31" t="s">
        <v>454</v>
      </c>
      <c r="F86" s="31" t="s">
        <v>454</v>
      </c>
      <c r="G86" s="31" t="s">
        <v>454</v>
      </c>
      <c r="H86" s="31" t="s">
        <v>454</v>
      </c>
      <c r="I86" s="31" t="s">
        <v>454</v>
      </c>
      <c r="J86" s="31" t="s">
        <v>454</v>
      </c>
      <c r="K86" s="31" t="s">
        <v>454</v>
      </c>
      <c r="L86" s="32" t="s">
        <v>10</v>
      </c>
      <c r="M86" s="74" t="s">
        <v>768</v>
      </c>
      <c r="N86" s="43">
        <f>VLOOKUP(A86,[1]AccessoryList!$A:$D,4,FALSE)</f>
        <v>317.97000000000003</v>
      </c>
      <c r="O86" s="43">
        <f>VLOOKUP(A86,[1]AccessoryList!$A:$E,5,FALSE)</f>
        <v>529.95000000000005</v>
      </c>
      <c r="P86" s="24">
        <v>0</v>
      </c>
      <c r="Q86" s="27">
        <f t="shared" si="0"/>
        <v>125</v>
      </c>
      <c r="R86" s="28">
        <f t="shared" si="6"/>
        <v>529.95000000000005</v>
      </c>
      <c r="S86" s="2"/>
      <c r="T86" s="7" t="str">
        <f>VLOOKUP(A86,[1]AccessoryList!$A:$B,2,FALSE)</f>
        <v>O</v>
      </c>
      <c r="U86" s="2">
        <f>VLOOKUP(A86,[1]AccessoryList!$A:$F,6,FALSE)+VLOOKUP(A86,[1]AccessoryList!$A:$G,7,FALSE)</f>
        <v>19</v>
      </c>
    </row>
    <row r="87" spans="1:21" s="19" customFormat="1">
      <c r="A87" s="29" t="s">
        <v>121</v>
      </c>
      <c r="B87" s="30" t="s">
        <v>640</v>
      </c>
      <c r="C87" s="30" t="s">
        <v>126</v>
      </c>
      <c r="D87" s="26" t="s">
        <v>447</v>
      </c>
      <c r="E87" s="31" t="s">
        <v>454</v>
      </c>
      <c r="F87" s="31" t="s">
        <v>454</v>
      </c>
      <c r="G87" s="31" t="s">
        <v>454</v>
      </c>
      <c r="H87" s="31" t="s">
        <v>454</v>
      </c>
      <c r="I87" s="31" t="s">
        <v>454</v>
      </c>
      <c r="J87" s="31" t="s">
        <v>454</v>
      </c>
      <c r="K87" s="31" t="s">
        <v>454</v>
      </c>
      <c r="L87" s="32" t="s">
        <v>16</v>
      </c>
      <c r="M87" s="61" t="s">
        <v>768</v>
      </c>
      <c r="N87" s="43">
        <f>VLOOKUP(A87,[1]AccessoryList!$A:$D,4,FALSE)</f>
        <v>62.25</v>
      </c>
      <c r="O87" s="43">
        <f>VLOOKUP(A87,[1]AccessoryList!$A:$E,5,FALSE)</f>
        <v>69.95</v>
      </c>
      <c r="P87" s="24">
        <v>0.2</v>
      </c>
      <c r="Q87" s="27">
        <f t="shared" si="0"/>
        <v>125</v>
      </c>
      <c r="R87" s="28">
        <f t="shared" si="6"/>
        <v>94.95</v>
      </c>
      <c r="S87" s="2"/>
      <c r="T87" s="7" t="str">
        <f>VLOOKUP(A87,[1]AccessoryList!$A:$B,2,FALSE)</f>
        <v>S</v>
      </c>
      <c r="U87" s="2">
        <f>VLOOKUP(A87,[1]AccessoryList!$A:$F,6,FALSE)+VLOOKUP(A87,[1]AccessoryList!$A:$G,7,FALSE)</f>
        <v>0</v>
      </c>
    </row>
    <row r="88" spans="1:21" s="19" customFormat="1">
      <c r="A88" s="29" t="s">
        <v>427</v>
      </c>
      <c r="B88" s="30" t="s">
        <v>895</v>
      </c>
      <c r="C88" s="30" t="s">
        <v>428</v>
      </c>
      <c r="D88" s="26" t="s">
        <v>429</v>
      </c>
      <c r="E88" s="31" t="s">
        <v>454</v>
      </c>
      <c r="F88" s="31" t="s">
        <v>454</v>
      </c>
      <c r="G88" s="31" t="s">
        <v>454</v>
      </c>
      <c r="H88" s="31" t="s">
        <v>454</v>
      </c>
      <c r="I88" s="31" t="s">
        <v>454</v>
      </c>
      <c r="J88" s="31" t="s">
        <v>454</v>
      </c>
      <c r="K88" s="31" t="s">
        <v>454</v>
      </c>
      <c r="L88" s="32" t="s">
        <v>16</v>
      </c>
      <c r="M88" s="74" t="s">
        <v>768</v>
      </c>
      <c r="N88" s="43">
        <f>VLOOKUP(A88,[1]AccessoryList!$A:$D,4,FALSE)</f>
        <v>45.12</v>
      </c>
      <c r="O88" s="43">
        <f>VLOOKUP(A88,[1]AccessoryList!$A:$E,5,FALSE)</f>
        <v>59.95</v>
      </c>
      <c r="P88" s="24">
        <v>0</v>
      </c>
      <c r="Q88" s="27">
        <f t="shared" si="0"/>
        <v>125</v>
      </c>
      <c r="R88" s="28">
        <f t="shared" si="6"/>
        <v>59.95</v>
      </c>
      <c r="S88" s="2"/>
      <c r="T88" s="7" t="str">
        <f>VLOOKUP(A88,[1]AccessoryList!$A:$B,2,FALSE)</f>
        <v>D</v>
      </c>
      <c r="U88" s="2">
        <f>VLOOKUP(A88,[1]AccessoryList!$A:$F,6,FALSE)+VLOOKUP(A88,[1]AccessoryList!$A:$G,7,FALSE)</f>
        <v>8</v>
      </c>
    </row>
    <row r="89" spans="1:21">
      <c r="A89" s="35" t="s">
        <v>424</v>
      </c>
      <c r="B89" s="36" t="s">
        <v>772</v>
      </c>
      <c r="C89" s="36" t="s">
        <v>425</v>
      </c>
      <c r="D89" s="32"/>
      <c r="E89" s="31" t="s">
        <v>454</v>
      </c>
      <c r="F89" s="31" t="s">
        <v>454</v>
      </c>
      <c r="G89" s="31" t="s">
        <v>454</v>
      </c>
      <c r="H89" s="31" t="s">
        <v>454</v>
      </c>
      <c r="I89" s="31" t="s">
        <v>454</v>
      </c>
      <c r="J89" s="31" t="s">
        <v>454</v>
      </c>
      <c r="K89" s="31" t="s">
        <v>454</v>
      </c>
      <c r="L89" s="26" t="s">
        <v>16</v>
      </c>
      <c r="M89" s="61" t="s">
        <v>768</v>
      </c>
      <c r="N89" s="27">
        <f>VLOOKUP(A89,[1]AccessoryList!$A:$D,4,FALSE)</f>
        <v>349.95</v>
      </c>
      <c r="O89" s="27">
        <f>VLOOKUP(A89,[1]AccessoryList!$A:$E,5,FALSE)</f>
        <v>449.95</v>
      </c>
      <c r="P89" s="32">
        <v>0.8</v>
      </c>
      <c r="Q89" s="27">
        <f t="shared" si="0"/>
        <v>125</v>
      </c>
      <c r="R89" s="28">
        <f t="shared" si="6"/>
        <v>549.95000000000005</v>
      </c>
      <c r="T89" s="7" t="str">
        <f>VLOOKUP(A89,[1]AccessoryList!$A:$B,2,FALSE)</f>
        <v>L</v>
      </c>
      <c r="U89" s="2">
        <f>VLOOKUP(A89,[1]AccessoryList!$A:$F,6,FALSE)+VLOOKUP(A89,[1]AccessoryList!$A:$G,7,FALSE)</f>
        <v>3</v>
      </c>
    </row>
    <row r="90" spans="1:21">
      <c r="A90" s="35" t="s">
        <v>422</v>
      </c>
      <c r="B90" s="36" t="s">
        <v>773</v>
      </c>
      <c r="C90" s="36" t="s">
        <v>423</v>
      </c>
      <c r="D90" s="32"/>
      <c r="E90" s="31" t="s">
        <v>454</v>
      </c>
      <c r="F90" s="31" t="s">
        <v>454</v>
      </c>
      <c r="G90" s="31" t="s">
        <v>454</v>
      </c>
      <c r="H90" s="31" t="s">
        <v>454</v>
      </c>
      <c r="I90" s="31" t="s">
        <v>454</v>
      </c>
      <c r="J90" s="31" t="s">
        <v>454</v>
      </c>
      <c r="K90" s="31" t="s">
        <v>454</v>
      </c>
      <c r="L90" s="26" t="s">
        <v>16</v>
      </c>
      <c r="M90" s="65" t="s">
        <v>768</v>
      </c>
      <c r="N90" s="27">
        <f>VLOOKUP(A90,[1]AccessoryList!$A:$D,4,FALSE)</f>
        <v>404.95</v>
      </c>
      <c r="O90" s="27">
        <f>VLOOKUP(A90,[1]AccessoryList!$A:$E,5,FALSE)</f>
        <v>499.95</v>
      </c>
      <c r="P90" s="32">
        <v>0.8</v>
      </c>
      <c r="Q90" s="27">
        <f t="shared" si="0"/>
        <v>125</v>
      </c>
      <c r="R90" s="28">
        <f t="shared" si="6"/>
        <v>599.95000000000005</v>
      </c>
      <c r="T90" s="7" t="str">
        <f>VLOOKUP(A90,[1]AccessoryList!$A:$B,2,FALSE)</f>
        <v>Z</v>
      </c>
      <c r="U90" s="2">
        <f>VLOOKUP(A90,[1]AccessoryList!$A:$F,6,FALSE)+VLOOKUP(A90,[1]AccessoryList!$A:$G,7,FALSE)</f>
        <v>0</v>
      </c>
    </row>
    <row r="91" spans="1:21">
      <c r="A91" s="29" t="s">
        <v>212</v>
      </c>
      <c r="B91" s="30" t="s">
        <v>774</v>
      </c>
      <c r="C91" s="30" t="s">
        <v>931</v>
      </c>
      <c r="D91" s="26" t="s">
        <v>440</v>
      </c>
      <c r="E91" s="31" t="s">
        <v>454</v>
      </c>
      <c r="F91" s="31" t="s">
        <v>454</v>
      </c>
      <c r="G91" s="31" t="s">
        <v>454</v>
      </c>
      <c r="H91" s="31" t="s">
        <v>454</v>
      </c>
      <c r="I91" s="31" t="s">
        <v>454</v>
      </c>
      <c r="J91" s="31" t="s">
        <v>454</v>
      </c>
      <c r="K91" s="31" t="s">
        <v>454</v>
      </c>
      <c r="L91" s="26" t="s">
        <v>16</v>
      </c>
      <c r="M91" s="65" t="s">
        <v>768</v>
      </c>
      <c r="N91" s="43">
        <f>VLOOKUP(A91,[1]AccessoryList!$A:$D,4,FALSE)</f>
        <v>442.48</v>
      </c>
      <c r="O91" s="43">
        <f>VLOOKUP(A91,[1]AccessoryList!$A:$E,5,FALSE)</f>
        <v>599.95000000000005</v>
      </c>
      <c r="P91" s="26">
        <v>0.8</v>
      </c>
      <c r="Q91" s="27">
        <f t="shared" si="0"/>
        <v>125</v>
      </c>
      <c r="R91" s="28">
        <f t="shared" si="6"/>
        <v>699.95</v>
      </c>
      <c r="T91" s="7" t="str">
        <f>VLOOKUP(A91,[1]AccessoryList!$A:$B,2,FALSE)</f>
        <v>C</v>
      </c>
      <c r="U91" s="2">
        <f>VLOOKUP(A91,[1]AccessoryList!$A:$F,6,FALSE)+VLOOKUP(A91,[1]AccessoryList!$A:$G,7,FALSE)</f>
        <v>12</v>
      </c>
    </row>
    <row r="92" spans="1:21">
      <c r="A92" s="29" t="s">
        <v>420</v>
      </c>
      <c r="B92" s="30" t="s">
        <v>421</v>
      </c>
      <c r="C92" s="30" t="s">
        <v>912</v>
      </c>
      <c r="D92" s="26" t="s">
        <v>436</v>
      </c>
      <c r="E92" s="31" t="s">
        <v>454</v>
      </c>
      <c r="F92" s="31" t="s">
        <v>454</v>
      </c>
      <c r="G92" s="31" t="s">
        <v>454</v>
      </c>
      <c r="H92" s="31" t="s">
        <v>454</v>
      </c>
      <c r="I92" s="31" t="s">
        <v>454</v>
      </c>
      <c r="J92" s="31" t="s">
        <v>454</v>
      </c>
      <c r="K92" s="31" t="s">
        <v>454</v>
      </c>
      <c r="L92" s="26" t="s">
        <v>16</v>
      </c>
      <c r="M92" s="65" t="s">
        <v>768</v>
      </c>
      <c r="N92" s="43">
        <f>VLOOKUP(A92,[1]AccessoryList!$A:$D,4,FALSE)</f>
        <v>381.6</v>
      </c>
      <c r="O92" s="43">
        <f>VLOOKUP(A92,[1]AccessoryList!$A:$E,5,FALSE)</f>
        <v>479.95</v>
      </c>
      <c r="P92" s="26">
        <v>0.7</v>
      </c>
      <c r="Q92" s="27">
        <f t="shared" si="0"/>
        <v>125</v>
      </c>
      <c r="R92" s="28">
        <f t="shared" si="6"/>
        <v>567.45000000000005</v>
      </c>
      <c r="T92" s="7" t="str">
        <f>VLOOKUP(A92,[1]AccessoryList!$A:$B,2,FALSE)</f>
        <v>D</v>
      </c>
      <c r="U92" s="2">
        <f>VLOOKUP(A92,[1]AccessoryList!$A:$F,6,FALSE)+VLOOKUP(A92,[1]AccessoryList!$A:$G,7,FALSE)</f>
        <v>6</v>
      </c>
    </row>
    <row r="93" spans="1:21">
      <c r="A93" s="29" t="s">
        <v>416</v>
      </c>
      <c r="B93" s="30" t="s">
        <v>911</v>
      </c>
      <c r="C93" s="30" t="s">
        <v>914</v>
      </c>
      <c r="D93" s="26" t="s">
        <v>449</v>
      </c>
      <c r="E93" s="31" t="s">
        <v>454</v>
      </c>
      <c r="F93" s="31" t="s">
        <v>454</v>
      </c>
      <c r="G93" s="31" t="s">
        <v>454</v>
      </c>
      <c r="H93" s="31" t="s">
        <v>454</v>
      </c>
      <c r="I93" s="31" t="s">
        <v>454</v>
      </c>
      <c r="J93" s="31" t="s">
        <v>454</v>
      </c>
      <c r="K93" s="31" t="s">
        <v>454</v>
      </c>
      <c r="L93" s="26" t="s">
        <v>16</v>
      </c>
      <c r="M93" s="65" t="s">
        <v>768</v>
      </c>
      <c r="N93" s="43">
        <f>VLOOKUP(A93,[1]AccessoryList!$A:$D,4,FALSE)</f>
        <v>264.18</v>
      </c>
      <c r="O93" s="43">
        <f>VLOOKUP(A93,[1]AccessoryList!$A:$E,5,FALSE)</f>
        <v>349.95</v>
      </c>
      <c r="P93" s="26">
        <v>0.8</v>
      </c>
      <c r="Q93" s="27">
        <f t="shared" si="0"/>
        <v>125</v>
      </c>
      <c r="R93" s="28">
        <f t="shared" si="6"/>
        <v>449.95</v>
      </c>
      <c r="T93" s="7" t="str">
        <f>VLOOKUP(A93,[1]AccessoryList!$A:$B,2,FALSE)</f>
        <v>D</v>
      </c>
      <c r="U93" s="2">
        <f>VLOOKUP(A93,[1]AccessoryList!$A:$F,6,FALSE)+VLOOKUP(A93,[1]AccessoryList!$A:$G,7,FALSE)</f>
        <v>2</v>
      </c>
    </row>
    <row r="94" spans="1:21">
      <c r="A94" s="29" t="s">
        <v>415</v>
      </c>
      <c r="B94" s="30" t="s">
        <v>775</v>
      </c>
      <c r="C94" s="30" t="s">
        <v>932</v>
      </c>
      <c r="D94" s="26" t="s">
        <v>433</v>
      </c>
      <c r="E94" s="31" t="s">
        <v>454</v>
      </c>
      <c r="F94" s="31" t="s">
        <v>454</v>
      </c>
      <c r="G94" s="31" t="s">
        <v>454</v>
      </c>
      <c r="H94" s="31" t="s">
        <v>454</v>
      </c>
      <c r="I94" s="31" t="s">
        <v>454</v>
      </c>
      <c r="J94" s="31" t="s">
        <v>454</v>
      </c>
      <c r="K94" s="31" t="s">
        <v>454</v>
      </c>
      <c r="L94" s="26" t="s">
        <v>16</v>
      </c>
      <c r="M94" s="65" t="s">
        <v>768</v>
      </c>
      <c r="N94" s="43">
        <f>VLOOKUP(A94,[1]AccessoryList!$A:$D,4,FALSE)</f>
        <v>776.98</v>
      </c>
      <c r="O94" s="43">
        <f>VLOOKUP(A94,[1]AccessoryList!$A:$E,5,FALSE)</f>
        <v>1049.95</v>
      </c>
      <c r="P94" s="26">
        <v>0.3</v>
      </c>
      <c r="Q94" s="27">
        <f t="shared" si="0"/>
        <v>125</v>
      </c>
      <c r="R94" s="28">
        <f t="shared" si="6"/>
        <v>1087.45</v>
      </c>
      <c r="T94" s="7" t="str">
        <f>VLOOKUP(A94,[1]AccessoryList!$A:$B,2,FALSE)</f>
        <v>C</v>
      </c>
      <c r="U94" s="2">
        <f>VLOOKUP(A94,[1]AccessoryList!$A:$F,6,FALSE)+VLOOKUP(A94,[1]AccessoryList!$A:$G,7,FALSE)</f>
        <v>5</v>
      </c>
    </row>
    <row r="95" spans="1:21">
      <c r="A95" s="29" t="s">
        <v>414</v>
      </c>
      <c r="B95" s="30" t="s">
        <v>776</v>
      </c>
      <c r="C95" s="30" t="s">
        <v>933</v>
      </c>
      <c r="D95" s="26" t="s">
        <v>434</v>
      </c>
      <c r="E95" s="31" t="s">
        <v>454</v>
      </c>
      <c r="F95" s="31" t="s">
        <v>454</v>
      </c>
      <c r="G95" s="31" t="s">
        <v>454</v>
      </c>
      <c r="H95" s="31" t="s">
        <v>454</v>
      </c>
      <c r="I95" s="31" t="s">
        <v>454</v>
      </c>
      <c r="J95" s="31" t="s">
        <v>454</v>
      </c>
      <c r="K95" s="31" t="s">
        <v>454</v>
      </c>
      <c r="L95" s="26" t="s">
        <v>16</v>
      </c>
      <c r="M95" s="65" t="s">
        <v>768</v>
      </c>
      <c r="N95" s="43">
        <f>VLOOKUP(A95,[1]AccessoryList!$A:$D,4,FALSE)</f>
        <v>737.59</v>
      </c>
      <c r="O95" s="43">
        <f>VLOOKUP(A95,[1]AccessoryList!$A:$E,5,FALSE)</f>
        <v>979.95</v>
      </c>
      <c r="P95" s="26">
        <v>0.3</v>
      </c>
      <c r="Q95" s="27">
        <f t="shared" si="0"/>
        <v>125</v>
      </c>
      <c r="R95" s="28">
        <f t="shared" si="6"/>
        <v>1017.45</v>
      </c>
      <c r="T95" s="7" t="str">
        <f>VLOOKUP(A95,[1]AccessoryList!$A:$B,2,FALSE)</f>
        <v>C</v>
      </c>
      <c r="U95" s="2">
        <f>VLOOKUP(A95,[1]AccessoryList!$A:$F,6,FALSE)+VLOOKUP(A95,[1]AccessoryList!$A:$G,7,FALSE)</f>
        <v>10</v>
      </c>
    </row>
    <row r="96" spans="1:21">
      <c r="A96" s="29" t="s">
        <v>119</v>
      </c>
      <c r="B96" s="30" t="s">
        <v>430</v>
      </c>
      <c r="C96" s="30" t="s">
        <v>125</v>
      </c>
      <c r="D96" s="26" t="s">
        <v>128</v>
      </c>
      <c r="E96" s="31" t="s">
        <v>454</v>
      </c>
      <c r="F96" s="31" t="s">
        <v>454</v>
      </c>
      <c r="G96" s="31" t="s">
        <v>454</v>
      </c>
      <c r="H96" s="31" t="s">
        <v>454</v>
      </c>
      <c r="I96" s="31" t="s">
        <v>454</v>
      </c>
      <c r="J96" s="31" t="s">
        <v>454</v>
      </c>
      <c r="K96" s="31" t="s">
        <v>454</v>
      </c>
      <c r="L96" s="26" t="s">
        <v>16</v>
      </c>
      <c r="M96" s="65" t="s">
        <v>768</v>
      </c>
      <c r="N96" s="43">
        <f>VLOOKUP(A96,[1]AccessoryList!$A:$D,4,FALSE)</f>
        <v>170.46</v>
      </c>
      <c r="O96" s="43">
        <f>VLOOKUP(A96,[1]AccessoryList!$A:$E,5,FALSE)</f>
        <v>219.95</v>
      </c>
      <c r="P96" s="26">
        <v>0.3</v>
      </c>
      <c r="Q96" s="27">
        <f t="shared" ref="Q96:Q121" si="7">$L$1</f>
        <v>125</v>
      </c>
      <c r="R96" s="28">
        <f t="shared" si="6"/>
        <v>257.45</v>
      </c>
      <c r="T96" s="7" t="str">
        <f>VLOOKUP(A96,[1]AccessoryList!$A:$B,2,FALSE)</f>
        <v>L</v>
      </c>
      <c r="U96" s="2">
        <f>VLOOKUP(A96,[1]AccessoryList!$A:$F,6,FALSE)+VLOOKUP(A96,[1]AccessoryList!$A:$G,7,FALSE)</f>
        <v>1</v>
      </c>
    </row>
    <row r="97" spans="1:57" s="8" customFormat="1">
      <c r="A97" s="29" t="s">
        <v>411</v>
      </c>
      <c r="B97" s="30" t="s">
        <v>641</v>
      </c>
      <c r="C97" s="30" t="s">
        <v>412</v>
      </c>
      <c r="D97" s="26" t="s">
        <v>446</v>
      </c>
      <c r="E97" s="31" t="s">
        <v>454</v>
      </c>
      <c r="F97" s="31" t="s">
        <v>454</v>
      </c>
      <c r="G97" s="31" t="s">
        <v>454</v>
      </c>
      <c r="H97" s="31" t="s">
        <v>454</v>
      </c>
      <c r="I97" s="31" t="s">
        <v>454</v>
      </c>
      <c r="J97" s="31" t="s">
        <v>454</v>
      </c>
      <c r="K97" s="31" t="s">
        <v>454</v>
      </c>
      <c r="L97" s="26" t="s">
        <v>16</v>
      </c>
      <c r="M97" s="61" t="s">
        <v>768</v>
      </c>
      <c r="N97" s="43">
        <f>VLOOKUP(A97,[1]AccessoryList!$A:$D,4,FALSE)</f>
        <v>297.82</v>
      </c>
      <c r="O97" s="43">
        <f>VLOOKUP(A97,[1]AccessoryList!$A:$E,5,FALSE)</f>
        <v>379.95</v>
      </c>
      <c r="P97" s="26">
        <v>0.3</v>
      </c>
      <c r="Q97" s="27">
        <f t="shared" si="7"/>
        <v>125</v>
      </c>
      <c r="R97" s="28">
        <f t="shared" si="6"/>
        <v>417.45</v>
      </c>
      <c r="S97" s="2"/>
      <c r="T97" s="7" t="str">
        <f>VLOOKUP(A97,[1]AccessoryList!$A:$B,2,FALSE)</f>
        <v>C</v>
      </c>
      <c r="U97" s="2">
        <f>VLOOKUP(A97,[1]AccessoryList!$A:$F,6,FALSE)+VLOOKUP(A97,[1]AccessoryList!$A:$G,7,FALSE)</f>
        <v>8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s="8" customFormat="1">
      <c r="A98" s="29" t="s">
        <v>413</v>
      </c>
      <c r="B98" s="30" t="s">
        <v>777</v>
      </c>
      <c r="C98" s="30" t="s">
        <v>934</v>
      </c>
      <c r="D98" s="26" t="s">
        <v>435</v>
      </c>
      <c r="E98" s="31" t="s">
        <v>454</v>
      </c>
      <c r="F98" s="31" t="s">
        <v>454</v>
      </c>
      <c r="G98" s="31" t="s">
        <v>454</v>
      </c>
      <c r="H98" s="31" t="s">
        <v>454</v>
      </c>
      <c r="I98" s="31" t="s">
        <v>454</v>
      </c>
      <c r="J98" s="31" t="s">
        <v>454</v>
      </c>
      <c r="K98" s="31" t="s">
        <v>454</v>
      </c>
      <c r="L98" s="26" t="s">
        <v>16</v>
      </c>
      <c r="M98" s="65" t="s">
        <v>768</v>
      </c>
      <c r="N98" s="43">
        <f>VLOOKUP(A98,[1]AccessoryList!$A:$D,4,FALSE)</f>
        <v>540.45000000000005</v>
      </c>
      <c r="O98" s="43">
        <f>VLOOKUP(A98,[1]AccessoryList!$A:$E,5,FALSE)</f>
        <v>699.95</v>
      </c>
      <c r="P98" s="26">
        <v>0.3</v>
      </c>
      <c r="Q98" s="27">
        <f t="shared" si="7"/>
        <v>125</v>
      </c>
      <c r="R98" s="28">
        <f t="shared" si="6"/>
        <v>737.45</v>
      </c>
      <c r="S98" s="2"/>
      <c r="T98" s="7" t="str">
        <f>VLOOKUP(A98,[1]AccessoryList!$A:$B,2,FALSE)</f>
        <v>Z</v>
      </c>
      <c r="U98" s="2">
        <f>VLOOKUP(A98,[1]AccessoryList!$A:$F,6,FALSE)+VLOOKUP(A98,[1]AccessoryList!$A:$G,7,FALSE)</f>
        <v>0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s="8" customFormat="1">
      <c r="A99" s="37" t="s">
        <v>77</v>
      </c>
      <c r="B99" s="38" t="s">
        <v>791</v>
      </c>
      <c r="C99" s="38" t="s">
        <v>397</v>
      </c>
      <c r="D99" s="39" t="s">
        <v>82</v>
      </c>
      <c r="E99" s="40" t="s">
        <v>454</v>
      </c>
      <c r="F99" s="40" t="s">
        <v>454</v>
      </c>
      <c r="G99" s="40" t="s">
        <v>454</v>
      </c>
      <c r="H99" s="41" t="s">
        <v>454</v>
      </c>
      <c r="I99" s="41"/>
      <c r="J99" s="41"/>
      <c r="K99" s="41"/>
      <c r="L99" s="26" t="s">
        <v>16</v>
      </c>
      <c r="M99" s="62"/>
      <c r="N99" s="43">
        <f>VLOOKUP(A99,[1]AccessoryList!$A:$D,4,FALSE)</f>
        <v>109.95</v>
      </c>
      <c r="O99" s="43">
        <f>VLOOKUP(A99,[1]AccessoryList!$A:$E,5,FALSE)</f>
        <v>184.95</v>
      </c>
      <c r="P99" s="26">
        <v>0.8</v>
      </c>
      <c r="Q99" s="27">
        <f t="shared" si="7"/>
        <v>125</v>
      </c>
      <c r="R99" s="28">
        <f t="shared" si="6"/>
        <v>284.95</v>
      </c>
      <c r="S99" s="2"/>
      <c r="T99" s="7" t="str">
        <f>VLOOKUP(A99,[1]AccessoryList!$A:$B,2,FALSE)</f>
        <v>L</v>
      </c>
      <c r="U99" s="2">
        <f>VLOOKUP(A99,[1]AccessoryList!$A:$F,6,FALSE)+VLOOKUP(A99,[1]AccessoryList!$A:$G,7,FALSE)</f>
        <v>8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>
      <c r="A100" s="29" t="s">
        <v>78</v>
      </c>
      <c r="B100" s="30" t="s">
        <v>789</v>
      </c>
      <c r="C100" s="30" t="s">
        <v>394</v>
      </c>
      <c r="D100" s="26" t="s">
        <v>83</v>
      </c>
      <c r="E100" s="32"/>
      <c r="F100" s="32"/>
      <c r="G100" s="32"/>
      <c r="H100" s="32"/>
      <c r="I100" s="31" t="s">
        <v>454</v>
      </c>
      <c r="J100" s="31" t="s">
        <v>454</v>
      </c>
      <c r="K100" s="31" t="s">
        <v>454</v>
      </c>
      <c r="L100" s="26" t="s">
        <v>16</v>
      </c>
      <c r="M100" s="62"/>
      <c r="N100" s="43">
        <f>VLOOKUP(A100,[1]AccessoryList!$A:$D,4,FALSE)</f>
        <v>556.79999999999995</v>
      </c>
      <c r="O100" s="43">
        <f>VLOOKUP(A100,[1]AccessoryList!$A:$E,5,FALSE)</f>
        <v>969.8</v>
      </c>
      <c r="P100" s="26">
        <v>0.8</v>
      </c>
      <c r="Q100" s="27">
        <f t="shared" si="7"/>
        <v>125</v>
      </c>
      <c r="R100" s="28">
        <f t="shared" si="6"/>
        <v>1069.8</v>
      </c>
      <c r="T100" s="7" t="str">
        <f>VLOOKUP(A100,[1]AccessoryList!$A:$B,2,FALSE)</f>
        <v>B</v>
      </c>
      <c r="U100" s="2">
        <f>VLOOKUP(A100,[1]AccessoryList!$A:$F,6,FALSE)+VLOOKUP(A100,[1]AccessoryList!$A:$G,7,FALSE)</f>
        <v>8</v>
      </c>
    </row>
    <row r="101" spans="1:57">
      <c r="A101" s="29" t="s">
        <v>79</v>
      </c>
      <c r="B101" s="30" t="s">
        <v>789</v>
      </c>
      <c r="C101" s="30" t="s">
        <v>395</v>
      </c>
      <c r="D101" s="26" t="s">
        <v>84</v>
      </c>
      <c r="E101" s="31" t="s">
        <v>454</v>
      </c>
      <c r="F101" s="31" t="s">
        <v>454</v>
      </c>
      <c r="G101" s="31" t="s">
        <v>454</v>
      </c>
      <c r="H101" s="31" t="s">
        <v>454</v>
      </c>
      <c r="I101" s="31"/>
      <c r="J101" s="31"/>
      <c r="K101" s="31"/>
      <c r="L101" s="26" t="s">
        <v>16</v>
      </c>
      <c r="M101" s="62"/>
      <c r="N101" s="43">
        <f>VLOOKUP(A101,[1]AccessoryList!$A:$D,4,FALSE)</f>
        <v>556.79999999999995</v>
      </c>
      <c r="O101" s="43">
        <f>VLOOKUP(A101,[1]AccessoryList!$A:$E,5,FALSE)</f>
        <v>969.8</v>
      </c>
      <c r="P101" s="26">
        <v>0.8</v>
      </c>
      <c r="Q101" s="27">
        <f t="shared" si="7"/>
        <v>125</v>
      </c>
      <c r="R101" s="28">
        <f t="shared" si="6"/>
        <v>1069.8</v>
      </c>
      <c r="T101" s="7" t="str">
        <f>VLOOKUP(A101,[1]AccessoryList!$A:$B,2,FALSE)</f>
        <v>C</v>
      </c>
      <c r="U101" s="2">
        <f>VLOOKUP(A101,[1]AccessoryList!$A:$F,6,FALSE)+VLOOKUP(A101,[1]AccessoryList!$A:$G,7,FALSE)</f>
        <v>11</v>
      </c>
    </row>
    <row r="102" spans="1:57">
      <c r="A102" s="29" t="s">
        <v>298</v>
      </c>
      <c r="B102" s="30" t="s">
        <v>790</v>
      </c>
      <c r="C102" s="30" t="s">
        <v>395</v>
      </c>
      <c r="D102" s="26" t="s">
        <v>84</v>
      </c>
      <c r="E102" s="31" t="s">
        <v>454</v>
      </c>
      <c r="F102" s="31" t="s">
        <v>454</v>
      </c>
      <c r="G102" s="31" t="s">
        <v>454</v>
      </c>
      <c r="H102" s="31" t="s">
        <v>454</v>
      </c>
      <c r="I102" s="31"/>
      <c r="J102" s="31"/>
      <c r="K102" s="31"/>
      <c r="L102" s="26" t="s">
        <v>16</v>
      </c>
      <c r="M102" s="62"/>
      <c r="N102" s="43">
        <f>VLOOKUP(A102,[1]AccessoryList!$A:$D,4,FALSE)</f>
        <v>578.41999999999996</v>
      </c>
      <c r="O102" s="43">
        <f>VLOOKUP(A102,[1]AccessoryList!$A:$E,5,FALSE)</f>
        <v>969.8</v>
      </c>
      <c r="P102" s="26">
        <v>0.8</v>
      </c>
      <c r="Q102" s="27">
        <f t="shared" si="7"/>
        <v>125</v>
      </c>
      <c r="R102" s="28">
        <f t="shared" si="6"/>
        <v>1069.8</v>
      </c>
      <c r="T102" s="7" t="str">
        <f>VLOOKUP(A102,[1]AccessoryList!$A:$B,2,FALSE)</f>
        <v>D</v>
      </c>
      <c r="U102" s="2">
        <f>VLOOKUP(A102,[1]AccessoryList!$A:$F,6,FALSE)+VLOOKUP(A102,[1]AccessoryList!$A:$G,7,FALSE)</f>
        <v>11</v>
      </c>
    </row>
    <row r="103" spans="1:57">
      <c r="A103" s="29" t="s">
        <v>266</v>
      </c>
      <c r="B103" s="30" t="s">
        <v>790</v>
      </c>
      <c r="C103" s="30" t="s">
        <v>396</v>
      </c>
      <c r="D103" s="26" t="s">
        <v>270</v>
      </c>
      <c r="E103" s="31"/>
      <c r="F103" s="31"/>
      <c r="G103" s="31"/>
      <c r="H103" s="31"/>
      <c r="I103" s="31" t="s">
        <v>454</v>
      </c>
      <c r="J103" s="31" t="s">
        <v>454</v>
      </c>
      <c r="K103" s="31" t="s">
        <v>454</v>
      </c>
      <c r="L103" s="26" t="s">
        <v>16</v>
      </c>
      <c r="M103" s="62"/>
      <c r="N103" s="43">
        <f>VLOOKUP(A103,[1]AccessoryList!$A:$D,4,FALSE)</f>
        <v>582.21</v>
      </c>
      <c r="O103" s="43">
        <f>VLOOKUP(A103,[1]AccessoryList!$A:$E,5,FALSE)</f>
        <v>969.8</v>
      </c>
      <c r="P103" s="26">
        <v>0.8</v>
      </c>
      <c r="Q103" s="27">
        <f t="shared" si="7"/>
        <v>125</v>
      </c>
      <c r="R103" s="28">
        <f t="shared" si="6"/>
        <v>1069.8</v>
      </c>
      <c r="T103" s="7" t="str">
        <f>VLOOKUP(A103,[1]AccessoryList!$A:$B,2,FALSE)</f>
        <v>C</v>
      </c>
      <c r="U103" s="2">
        <f>VLOOKUP(A103,[1]AccessoryList!$A:$F,6,FALSE)+VLOOKUP(A103,[1]AccessoryList!$A:$G,7,FALSE)</f>
        <v>1</v>
      </c>
    </row>
    <row r="104" spans="1:57">
      <c r="A104" s="29" t="s">
        <v>418</v>
      </c>
      <c r="B104" s="30" t="s">
        <v>419</v>
      </c>
      <c r="C104" s="30" t="s">
        <v>935</v>
      </c>
      <c r="D104" s="26" t="s">
        <v>438</v>
      </c>
      <c r="E104" s="31" t="s">
        <v>454</v>
      </c>
      <c r="F104" s="31" t="s">
        <v>454</v>
      </c>
      <c r="G104" s="31" t="s">
        <v>454</v>
      </c>
      <c r="H104" s="31" t="s">
        <v>454</v>
      </c>
      <c r="I104" s="31" t="s">
        <v>454</v>
      </c>
      <c r="J104" s="31" t="s">
        <v>454</v>
      </c>
      <c r="K104" s="31" t="s">
        <v>454</v>
      </c>
      <c r="L104" s="26" t="s">
        <v>16</v>
      </c>
      <c r="M104" s="65" t="s">
        <v>768</v>
      </c>
      <c r="N104" s="43">
        <f>VLOOKUP(A104,[1]AccessoryList!$A:$D,4,FALSE)</f>
        <v>453.5</v>
      </c>
      <c r="O104" s="43">
        <f>VLOOKUP(A104,[1]AccessoryList!$A:$E,5,FALSE)</f>
        <v>549.95000000000005</v>
      </c>
      <c r="P104" s="26">
        <v>0.3</v>
      </c>
      <c r="Q104" s="27">
        <f t="shared" si="7"/>
        <v>125</v>
      </c>
      <c r="R104" s="28">
        <f t="shared" si="6"/>
        <v>587.45000000000005</v>
      </c>
      <c r="T104" s="7" t="str">
        <f>VLOOKUP(A104,[1]AccessoryList!$A:$B,2,FALSE)</f>
        <v>C</v>
      </c>
      <c r="U104" s="2">
        <f>VLOOKUP(A104,[1]AccessoryList!$A:$F,6,FALSE)+VLOOKUP(A104,[1]AccessoryList!$A:$G,7,FALSE)</f>
        <v>2</v>
      </c>
    </row>
    <row r="105" spans="1:57">
      <c r="A105" s="29" t="s">
        <v>426</v>
      </c>
      <c r="B105" s="30" t="s">
        <v>896</v>
      </c>
      <c r="C105" s="30" t="s">
        <v>930</v>
      </c>
      <c r="D105" s="42"/>
      <c r="E105" s="31" t="s">
        <v>454</v>
      </c>
      <c r="F105" s="31" t="s">
        <v>454</v>
      </c>
      <c r="G105" s="31" t="s">
        <v>454</v>
      </c>
      <c r="H105" s="31" t="s">
        <v>454</v>
      </c>
      <c r="I105" s="31" t="s">
        <v>454</v>
      </c>
      <c r="J105" s="31" t="s">
        <v>454</v>
      </c>
      <c r="K105" s="31" t="s">
        <v>454</v>
      </c>
      <c r="L105" s="32" t="s">
        <v>16</v>
      </c>
      <c r="M105" s="65" t="s">
        <v>768</v>
      </c>
      <c r="N105" s="43">
        <f>VLOOKUP(A105,[1]AccessoryList!$A:$D,4,FALSE)</f>
        <v>60.62</v>
      </c>
      <c r="O105" s="43">
        <f>VLOOKUP(A105,[1]AccessoryList!$A:$E,5,FALSE)</f>
        <v>94.95</v>
      </c>
      <c r="P105" s="26">
        <v>0.2</v>
      </c>
      <c r="Q105" s="27">
        <f t="shared" si="7"/>
        <v>125</v>
      </c>
      <c r="R105" s="28">
        <f t="shared" si="6"/>
        <v>119.95</v>
      </c>
      <c r="T105" s="7" t="str">
        <f>VLOOKUP(A105,[1]AccessoryList!$A:$B,2,FALSE)</f>
        <v>D</v>
      </c>
      <c r="U105" s="2">
        <f>VLOOKUP(A105,[1]AccessoryList!$A:$F,6,FALSE)+VLOOKUP(A105,[1]AccessoryList!$A:$G,7,FALSE)</f>
        <v>10</v>
      </c>
    </row>
    <row r="106" spans="1:57">
      <c r="A106" s="35" t="s">
        <v>211</v>
      </c>
      <c r="B106" s="36" t="s">
        <v>823</v>
      </c>
      <c r="C106" s="36" t="s">
        <v>938</v>
      </c>
      <c r="D106" s="32" t="s">
        <v>448</v>
      </c>
      <c r="E106" s="31" t="s">
        <v>454</v>
      </c>
      <c r="F106" s="31" t="s">
        <v>454</v>
      </c>
      <c r="G106" s="31" t="s">
        <v>454</v>
      </c>
      <c r="H106" s="31" t="s">
        <v>454</v>
      </c>
      <c r="I106" s="31" t="s">
        <v>454</v>
      </c>
      <c r="J106" s="31" t="s">
        <v>454</v>
      </c>
      <c r="K106" s="31" t="s">
        <v>454</v>
      </c>
      <c r="L106" s="32" t="s">
        <v>16</v>
      </c>
      <c r="M106" s="61" t="s">
        <v>768</v>
      </c>
      <c r="N106" s="43">
        <f>VLOOKUP(A106,[1]AccessoryList!$A:$D,4,FALSE)</f>
        <v>84.65</v>
      </c>
      <c r="O106" s="43">
        <f>VLOOKUP(A106,[1]AccessoryList!$A:$E,5,FALSE)</f>
        <v>119.95</v>
      </c>
      <c r="P106" s="26">
        <v>0.1</v>
      </c>
      <c r="Q106" s="27">
        <f t="shared" si="7"/>
        <v>125</v>
      </c>
      <c r="R106" s="28">
        <f t="shared" si="6"/>
        <v>132.44999999999999</v>
      </c>
      <c r="T106" s="7" t="str">
        <f>VLOOKUP(A106,[1]AccessoryList!$A:$B,2,FALSE)</f>
        <v>C</v>
      </c>
      <c r="U106" s="2">
        <f>VLOOKUP(A106,[1]AccessoryList!$A:$F,6,FALSE)+VLOOKUP(A106,[1]AccessoryList!$A:$G,7,FALSE)</f>
        <v>3</v>
      </c>
    </row>
    <row r="107" spans="1:57">
      <c r="A107" s="35" t="s">
        <v>120</v>
      </c>
      <c r="B107" s="36" t="s">
        <v>642</v>
      </c>
      <c r="C107" s="36" t="s">
        <v>921</v>
      </c>
      <c r="D107" s="32" t="s">
        <v>128</v>
      </c>
      <c r="E107" s="31" t="s">
        <v>454</v>
      </c>
      <c r="F107" s="31" t="s">
        <v>454</v>
      </c>
      <c r="G107" s="31" t="s">
        <v>454</v>
      </c>
      <c r="H107" s="31" t="s">
        <v>454</v>
      </c>
      <c r="I107" s="31" t="s">
        <v>454</v>
      </c>
      <c r="J107" s="31" t="s">
        <v>454</v>
      </c>
      <c r="K107" s="31" t="s">
        <v>454</v>
      </c>
      <c r="L107" s="32" t="s">
        <v>16</v>
      </c>
      <c r="M107" s="64" t="s">
        <v>768</v>
      </c>
      <c r="N107" s="43">
        <f>VLOOKUP(A107,[1]AccessoryList!$A:$D,4,FALSE)</f>
        <v>233.23</v>
      </c>
      <c r="O107" s="43">
        <f>VLOOKUP(A107,[1]AccessoryList!$A:$E,5,FALSE)</f>
        <v>329.95</v>
      </c>
      <c r="P107" s="32">
        <v>0.8</v>
      </c>
      <c r="Q107" s="27">
        <f t="shared" si="7"/>
        <v>125</v>
      </c>
      <c r="R107" s="28">
        <f t="shared" si="6"/>
        <v>429.95</v>
      </c>
      <c r="T107" s="7" t="str">
        <f>VLOOKUP(A107,[1]AccessoryList!$A:$B,2,FALSE)</f>
        <v>Z</v>
      </c>
      <c r="U107" s="2">
        <f>VLOOKUP(A107,[1]AccessoryList!$A:$F,6,FALSE)+VLOOKUP(A107,[1]AccessoryList!$A:$G,7,FALSE)</f>
        <v>0</v>
      </c>
    </row>
    <row r="108" spans="1:57">
      <c r="A108" s="35" t="s">
        <v>66</v>
      </c>
      <c r="B108" s="36" t="s">
        <v>67</v>
      </c>
      <c r="C108" s="36" t="s">
        <v>104</v>
      </c>
      <c r="D108" s="32"/>
      <c r="E108" s="31" t="s">
        <v>454</v>
      </c>
      <c r="F108" s="31" t="s">
        <v>454</v>
      </c>
      <c r="G108" s="31" t="s">
        <v>454</v>
      </c>
      <c r="H108" s="31" t="s">
        <v>454</v>
      </c>
      <c r="I108" s="31" t="s">
        <v>454</v>
      </c>
      <c r="J108" s="31" t="s">
        <v>454</v>
      </c>
      <c r="K108" s="31" t="s">
        <v>454</v>
      </c>
      <c r="L108" s="32" t="s">
        <v>16</v>
      </c>
      <c r="M108" s="65" t="s">
        <v>768</v>
      </c>
      <c r="N108" s="43">
        <f>VLOOKUP(A108,[1]AccessoryList!$A:$D,4,FALSE)</f>
        <v>140.37</v>
      </c>
      <c r="O108" s="43">
        <f>VLOOKUP(A108,[1]AccessoryList!$A:$E,5,FALSE)</f>
        <v>233.95</v>
      </c>
      <c r="P108" s="32">
        <v>0.2</v>
      </c>
      <c r="Q108" s="27">
        <f t="shared" si="7"/>
        <v>125</v>
      </c>
      <c r="R108" s="28">
        <f t="shared" si="6"/>
        <v>258.95</v>
      </c>
      <c r="T108" s="7" t="str">
        <f>VLOOKUP(A108,[1]AccessoryList!$A:$B,2,FALSE)</f>
        <v>B</v>
      </c>
      <c r="U108" s="2">
        <f>VLOOKUP(A108,[1]AccessoryList!$A:$F,6,FALSE)+VLOOKUP(A108,[1]AccessoryList!$A:$G,7,FALSE)</f>
        <v>375</v>
      </c>
    </row>
    <row r="109" spans="1:57">
      <c r="A109" s="35" t="s">
        <v>206</v>
      </c>
      <c r="B109" s="36" t="s">
        <v>924</v>
      </c>
      <c r="C109" s="36" t="s">
        <v>840</v>
      </c>
      <c r="D109" s="32" t="s">
        <v>269</v>
      </c>
      <c r="E109" s="31" t="s">
        <v>454</v>
      </c>
      <c r="F109" s="31" t="s">
        <v>454</v>
      </c>
      <c r="G109" s="31" t="s">
        <v>454</v>
      </c>
      <c r="H109" s="31" t="s">
        <v>454</v>
      </c>
      <c r="I109" s="31" t="s">
        <v>454</v>
      </c>
      <c r="J109" s="31" t="s">
        <v>454</v>
      </c>
      <c r="K109" s="31" t="s">
        <v>454</v>
      </c>
      <c r="L109" s="32" t="s">
        <v>4</v>
      </c>
      <c r="M109" s="65" t="s">
        <v>768</v>
      </c>
      <c r="N109" s="43">
        <f>VLOOKUP(A109,[1]AccessoryList!$A:$D,4,FALSE)</f>
        <v>15.57</v>
      </c>
      <c r="O109" s="43">
        <f>VLOOKUP(A109,[1]AccessoryList!$A:$E,5,FALSE)</f>
        <v>23.95</v>
      </c>
      <c r="P109" s="32">
        <v>0</v>
      </c>
      <c r="Q109" s="27">
        <f t="shared" si="7"/>
        <v>125</v>
      </c>
      <c r="R109" s="28">
        <f t="shared" si="6"/>
        <v>23.95</v>
      </c>
      <c r="T109" s="7" t="str">
        <f>VLOOKUP(A109,[1]AccessoryList!$A:$B,2,FALSE)</f>
        <v>C</v>
      </c>
      <c r="U109" s="2">
        <f>VLOOKUP(A109,[1]AccessoryList!$A:$F,6,FALSE)+VLOOKUP(A109,[1]AccessoryList!$A:$G,7,FALSE)</f>
        <v>200</v>
      </c>
    </row>
    <row r="110" spans="1:57">
      <c r="A110" s="35" t="s">
        <v>3</v>
      </c>
      <c r="B110" s="36" t="s">
        <v>383</v>
      </c>
      <c r="C110" s="36" t="s">
        <v>346</v>
      </c>
      <c r="D110" s="32" t="s">
        <v>386</v>
      </c>
      <c r="E110" s="31" t="s">
        <v>454</v>
      </c>
      <c r="F110" s="31" t="s">
        <v>454</v>
      </c>
      <c r="G110" s="31" t="s">
        <v>454</v>
      </c>
      <c r="H110" s="31" t="s">
        <v>454</v>
      </c>
      <c r="I110" s="31" t="s">
        <v>454</v>
      </c>
      <c r="J110" s="31" t="s">
        <v>454</v>
      </c>
      <c r="K110" s="31" t="s">
        <v>454</v>
      </c>
      <c r="L110" s="32" t="s">
        <v>4</v>
      </c>
      <c r="M110" s="65" t="s">
        <v>768</v>
      </c>
      <c r="N110" s="43">
        <f>VLOOKUP(A110,[1]AccessoryList!$A:$D,4,FALSE)</f>
        <v>15.57</v>
      </c>
      <c r="O110" s="43">
        <f>VLOOKUP(A110,[1]AccessoryList!$A:$E,5,FALSE)</f>
        <v>23.95</v>
      </c>
      <c r="P110" s="32">
        <v>0</v>
      </c>
      <c r="Q110" s="27">
        <f t="shared" si="7"/>
        <v>125</v>
      </c>
      <c r="R110" s="28">
        <f t="shared" si="6"/>
        <v>23.95</v>
      </c>
      <c r="T110" s="7" t="str">
        <f>VLOOKUP(A110,[1]AccessoryList!$A:$B,2,FALSE)</f>
        <v>A</v>
      </c>
      <c r="U110" s="2">
        <f>VLOOKUP(A110,[1]AccessoryList!$A:$F,6,FALSE)+VLOOKUP(A110,[1]AccessoryList!$A:$G,7,FALSE)</f>
        <v>201</v>
      </c>
    </row>
    <row r="111" spans="1:57">
      <c r="A111" s="35" t="s">
        <v>225</v>
      </c>
      <c r="B111" s="36" t="s">
        <v>925</v>
      </c>
      <c r="C111" s="30" t="s">
        <v>348</v>
      </c>
      <c r="D111" s="32" t="s">
        <v>398</v>
      </c>
      <c r="E111" s="31" t="s">
        <v>454</v>
      </c>
      <c r="F111" s="31" t="s">
        <v>454</v>
      </c>
      <c r="G111" s="31" t="s">
        <v>454</v>
      </c>
      <c r="H111" s="31" t="s">
        <v>454</v>
      </c>
      <c r="I111" s="31" t="s">
        <v>454</v>
      </c>
      <c r="J111" s="31" t="s">
        <v>454</v>
      </c>
      <c r="K111" s="31" t="s">
        <v>454</v>
      </c>
      <c r="L111" s="32" t="s">
        <v>4</v>
      </c>
      <c r="M111" s="65" t="s">
        <v>768</v>
      </c>
      <c r="N111" s="43">
        <f>VLOOKUP(A111,[1]AccessoryList!$A:$D,4,FALSE)</f>
        <v>25.77</v>
      </c>
      <c r="O111" s="43">
        <f>VLOOKUP(A111,[1]AccessoryList!$A:$E,5,FALSE)</f>
        <v>42.95</v>
      </c>
      <c r="P111" s="32">
        <v>0</v>
      </c>
      <c r="Q111" s="27">
        <f t="shared" si="7"/>
        <v>125</v>
      </c>
      <c r="R111" s="28">
        <f t="shared" si="6"/>
        <v>42.95</v>
      </c>
      <c r="T111" s="7" t="str">
        <f>VLOOKUP(A111,[1]AccessoryList!$A:$B,2,FALSE)</f>
        <v>C</v>
      </c>
      <c r="U111" s="2">
        <f>VLOOKUP(A111,[1]AccessoryList!$A:$F,6,FALSE)+VLOOKUP(A111,[1]AccessoryList!$A:$G,7,FALSE)</f>
        <v>3</v>
      </c>
    </row>
    <row r="112" spans="1:57">
      <c r="A112" s="29" t="s">
        <v>22</v>
      </c>
      <c r="B112" s="30" t="s">
        <v>926</v>
      </c>
      <c r="C112" s="30" t="s">
        <v>347</v>
      </c>
      <c r="D112" s="26" t="s">
        <v>405</v>
      </c>
      <c r="E112" s="31" t="s">
        <v>454</v>
      </c>
      <c r="F112" s="31" t="s">
        <v>454</v>
      </c>
      <c r="G112" s="31" t="s">
        <v>454</v>
      </c>
      <c r="H112" s="31" t="s">
        <v>454</v>
      </c>
      <c r="I112" s="31" t="s">
        <v>454</v>
      </c>
      <c r="J112" s="31" t="s">
        <v>454</v>
      </c>
      <c r="K112" s="31" t="s">
        <v>454</v>
      </c>
      <c r="L112" s="32" t="s">
        <v>4</v>
      </c>
      <c r="M112" s="65" t="s">
        <v>768</v>
      </c>
      <c r="N112" s="43">
        <f>VLOOKUP(A112,[1]AccessoryList!$A:$D,4,FALSE)</f>
        <v>15.57</v>
      </c>
      <c r="O112" s="43">
        <f>VLOOKUP(A112,[1]AccessoryList!$A:$E,5,FALSE)</f>
        <v>23.95</v>
      </c>
      <c r="P112" s="26">
        <v>0</v>
      </c>
      <c r="Q112" s="27">
        <f t="shared" si="7"/>
        <v>125</v>
      </c>
      <c r="R112" s="28">
        <f t="shared" si="6"/>
        <v>23.95</v>
      </c>
      <c r="T112" s="7" t="str">
        <f>VLOOKUP(A112,[1]AccessoryList!$A:$B,2,FALSE)</f>
        <v>B</v>
      </c>
      <c r="U112" s="2">
        <f>VLOOKUP(A112,[1]AccessoryList!$A:$F,6,FALSE)+VLOOKUP(A112,[1]AccessoryList!$A:$G,7,FALSE)</f>
        <v>84</v>
      </c>
    </row>
    <row r="113" spans="1:21">
      <c r="A113" s="29" t="s">
        <v>7</v>
      </c>
      <c r="B113" s="30" t="s">
        <v>927</v>
      </c>
      <c r="C113" s="30" t="s">
        <v>351</v>
      </c>
      <c r="D113" s="26" t="s">
        <v>8</v>
      </c>
      <c r="E113" s="31" t="s">
        <v>454</v>
      </c>
      <c r="F113" s="31" t="s">
        <v>454</v>
      </c>
      <c r="G113" s="31" t="s">
        <v>454</v>
      </c>
      <c r="H113" s="31" t="s">
        <v>454</v>
      </c>
      <c r="I113" s="31" t="s">
        <v>454</v>
      </c>
      <c r="J113" s="31" t="s">
        <v>454</v>
      </c>
      <c r="K113" s="31" t="s">
        <v>454</v>
      </c>
      <c r="L113" s="32" t="s">
        <v>4</v>
      </c>
      <c r="M113" s="65" t="s">
        <v>768</v>
      </c>
      <c r="N113" s="43">
        <f>VLOOKUP(A113,[1]AccessoryList!$A:$D,4,FALSE)</f>
        <v>15.57</v>
      </c>
      <c r="O113" s="43">
        <f>VLOOKUP(A113,[1]AccessoryList!$A:$E,5,FALSE)</f>
        <v>23.95</v>
      </c>
      <c r="P113" s="26">
        <v>0</v>
      </c>
      <c r="Q113" s="27">
        <f t="shared" si="7"/>
        <v>125</v>
      </c>
      <c r="R113" s="28">
        <f t="shared" si="6"/>
        <v>23.95</v>
      </c>
      <c r="T113" s="7" t="str">
        <f>VLOOKUP(A113,[1]AccessoryList!$A:$B,2,FALSE)</f>
        <v>A</v>
      </c>
      <c r="U113" s="2">
        <f>VLOOKUP(A113,[1]AccessoryList!$A:$F,6,FALSE)+VLOOKUP(A113,[1]AccessoryList!$A:$G,7,FALSE)</f>
        <v>98</v>
      </c>
    </row>
    <row r="114" spans="1:21">
      <c r="A114" s="29" t="s">
        <v>116</v>
      </c>
      <c r="B114" s="30" t="s">
        <v>384</v>
      </c>
      <c r="C114" s="30" t="s">
        <v>350</v>
      </c>
      <c r="D114" s="26" t="s">
        <v>323</v>
      </c>
      <c r="E114" s="31" t="s">
        <v>454</v>
      </c>
      <c r="F114" s="31" t="s">
        <v>454</v>
      </c>
      <c r="G114" s="31" t="s">
        <v>454</v>
      </c>
      <c r="H114" s="31" t="s">
        <v>454</v>
      </c>
      <c r="I114" s="31" t="s">
        <v>454</v>
      </c>
      <c r="J114" s="31" t="s">
        <v>454</v>
      </c>
      <c r="K114" s="31" t="s">
        <v>454</v>
      </c>
      <c r="L114" s="32" t="s">
        <v>4</v>
      </c>
      <c r="M114" s="65" t="s">
        <v>768</v>
      </c>
      <c r="N114" s="43">
        <f>VLOOKUP(A114,[1]AccessoryList!$A:$D,4,FALSE)</f>
        <v>15.54</v>
      </c>
      <c r="O114" s="43">
        <f>VLOOKUP(A114,[1]AccessoryList!$A:$E,5,FALSE)</f>
        <v>23.95</v>
      </c>
      <c r="P114" s="26">
        <v>0</v>
      </c>
      <c r="Q114" s="27">
        <f t="shared" si="7"/>
        <v>125</v>
      </c>
      <c r="R114" s="28">
        <f t="shared" si="6"/>
        <v>23.95</v>
      </c>
      <c r="T114" s="7" t="str">
        <f>VLOOKUP(A114,[1]AccessoryList!$A:$B,2,FALSE)</f>
        <v>B</v>
      </c>
      <c r="U114" s="2">
        <f>VLOOKUP(A114,[1]AccessoryList!$A:$F,6,FALSE)+VLOOKUP(A114,[1]AccessoryList!$A:$G,7,FALSE)</f>
        <v>142</v>
      </c>
    </row>
    <row r="115" spans="1:21">
      <c r="A115" s="29" t="s">
        <v>220</v>
      </c>
      <c r="B115" s="30" t="s">
        <v>928</v>
      </c>
      <c r="C115" s="30" t="s">
        <v>352</v>
      </c>
      <c r="D115" s="26" t="s">
        <v>406</v>
      </c>
      <c r="E115" s="31" t="s">
        <v>454</v>
      </c>
      <c r="F115" s="31" t="s">
        <v>454</v>
      </c>
      <c r="G115" s="31" t="s">
        <v>454</v>
      </c>
      <c r="H115" s="31" t="s">
        <v>454</v>
      </c>
      <c r="I115" s="31" t="s">
        <v>454</v>
      </c>
      <c r="J115" s="31" t="s">
        <v>454</v>
      </c>
      <c r="K115" s="31" t="s">
        <v>454</v>
      </c>
      <c r="L115" s="32" t="s">
        <v>4</v>
      </c>
      <c r="M115" s="65" t="s">
        <v>768</v>
      </c>
      <c r="N115" s="43">
        <f>VLOOKUP(A115,[1]AccessoryList!$A:$D,4,FALSE)</f>
        <v>27.57</v>
      </c>
      <c r="O115" s="43">
        <f>VLOOKUP(A115,[1]AccessoryList!$A:$E,5,FALSE)</f>
        <v>45.95</v>
      </c>
      <c r="P115" s="26">
        <v>0</v>
      </c>
      <c r="Q115" s="27">
        <f t="shared" si="7"/>
        <v>125</v>
      </c>
      <c r="R115" s="28">
        <f t="shared" si="6"/>
        <v>45.95</v>
      </c>
      <c r="T115" s="7" t="str">
        <f>VLOOKUP(A115,[1]AccessoryList!$A:$B,2,FALSE)</f>
        <v>C</v>
      </c>
      <c r="U115" s="2">
        <f>VLOOKUP(A115,[1]AccessoryList!$A:$F,6,FALSE)+VLOOKUP(A115,[1]AccessoryList!$A:$G,7,FALSE)</f>
        <v>17</v>
      </c>
    </row>
    <row r="116" spans="1:21">
      <c r="A116" s="35" t="s">
        <v>6</v>
      </c>
      <c r="B116" s="36" t="s">
        <v>929</v>
      </c>
      <c r="C116" s="36" t="s">
        <v>349</v>
      </c>
      <c r="D116" s="32" t="s">
        <v>392</v>
      </c>
      <c r="E116" s="31" t="s">
        <v>454</v>
      </c>
      <c r="F116" s="31" t="s">
        <v>454</v>
      </c>
      <c r="G116" s="31" t="s">
        <v>454</v>
      </c>
      <c r="H116" s="31" t="s">
        <v>454</v>
      </c>
      <c r="I116" s="31" t="s">
        <v>454</v>
      </c>
      <c r="J116" s="31" t="s">
        <v>454</v>
      </c>
      <c r="K116" s="31" t="s">
        <v>454</v>
      </c>
      <c r="L116" s="32" t="s">
        <v>4</v>
      </c>
      <c r="M116" s="65" t="s">
        <v>768</v>
      </c>
      <c r="N116" s="43">
        <f>VLOOKUP(A116,[1]AccessoryList!$A:$D,4,FALSE)</f>
        <v>15.57</v>
      </c>
      <c r="O116" s="43">
        <f>VLOOKUP(A116,[1]AccessoryList!$A:$E,5,FALSE)</f>
        <v>23.95</v>
      </c>
      <c r="P116" s="26">
        <v>0</v>
      </c>
      <c r="Q116" s="27">
        <f t="shared" si="7"/>
        <v>125</v>
      </c>
      <c r="R116" s="28">
        <f t="shared" si="6"/>
        <v>23.95</v>
      </c>
      <c r="T116" s="7" t="str">
        <f>VLOOKUP(A116,[1]AccessoryList!$A:$B,2,FALSE)</f>
        <v>A</v>
      </c>
      <c r="U116" s="2">
        <f>VLOOKUP(A116,[1]AccessoryList!$A:$F,6,FALSE)+VLOOKUP(A116,[1]AccessoryList!$A:$G,7,FALSE)</f>
        <v>281</v>
      </c>
    </row>
    <row r="117" spans="1:21">
      <c r="A117" s="47" t="s">
        <v>869</v>
      </c>
      <c r="B117" s="48" t="s">
        <v>1010</v>
      </c>
      <c r="C117" s="48" t="s">
        <v>870</v>
      </c>
      <c r="D117" s="50" t="s">
        <v>1041</v>
      </c>
      <c r="E117" s="80" t="s">
        <v>454</v>
      </c>
      <c r="F117" s="80" t="s">
        <v>454</v>
      </c>
      <c r="G117" s="80" t="s">
        <v>454</v>
      </c>
      <c r="H117" s="80" t="s">
        <v>454</v>
      </c>
      <c r="I117" s="80" t="s">
        <v>454</v>
      </c>
      <c r="J117" s="80" t="s">
        <v>454</v>
      </c>
      <c r="K117" s="80" t="s">
        <v>454</v>
      </c>
      <c r="L117" s="50" t="s">
        <v>16</v>
      </c>
      <c r="M117" s="92" t="s">
        <v>768</v>
      </c>
      <c r="N117" s="81">
        <f>VLOOKUP(A117,[1]AccessoryList!$A:$D,4,FALSE)</f>
        <v>250</v>
      </c>
      <c r="O117" s="81">
        <f>VLOOKUP(A117,[1]AccessoryList!$A:$E,5,FALSE)</f>
        <v>399.95</v>
      </c>
      <c r="P117" s="94">
        <v>1</v>
      </c>
      <c r="Q117" s="83">
        <f t="shared" si="7"/>
        <v>125</v>
      </c>
      <c r="R117" s="84">
        <f t="shared" ref="R117" si="8">P117*Q117+O117</f>
        <v>524.95000000000005</v>
      </c>
      <c r="T117" s="7" t="str">
        <f>VLOOKUP(A117,[1]AccessoryList!$A:$B,2,FALSE)</f>
        <v>B</v>
      </c>
      <c r="U117" s="2">
        <f>VLOOKUP(A117,[1]AccessoryList!$A:$F,6,FALSE)+VLOOKUP(A117,[1]AccessoryList!$A:$G,7,FALSE)</f>
        <v>22</v>
      </c>
    </row>
    <row r="118" spans="1:21">
      <c r="A118" s="35" t="s">
        <v>80</v>
      </c>
      <c r="B118" s="36" t="s">
        <v>214</v>
      </c>
      <c r="C118" s="36" t="s">
        <v>127</v>
      </c>
      <c r="D118" s="32" t="s">
        <v>128</v>
      </c>
      <c r="E118" s="31" t="s">
        <v>454</v>
      </c>
      <c r="F118" s="31" t="s">
        <v>454</v>
      </c>
      <c r="G118" s="31" t="s">
        <v>454</v>
      </c>
      <c r="H118" s="31" t="s">
        <v>454</v>
      </c>
      <c r="I118" s="31" t="s">
        <v>454</v>
      </c>
      <c r="J118" s="31" t="s">
        <v>454</v>
      </c>
      <c r="K118" s="31" t="s">
        <v>454</v>
      </c>
      <c r="L118" s="32" t="s">
        <v>16</v>
      </c>
      <c r="M118" s="65" t="s">
        <v>768</v>
      </c>
      <c r="N118" s="43">
        <f>VLOOKUP(A118,[1]AccessoryList!$A:$D,4,FALSE)</f>
        <v>112</v>
      </c>
      <c r="O118" s="43">
        <f>VLOOKUP(A118,[1]AccessoryList!$A:$E,5,FALSE)</f>
        <v>159.94999999999999</v>
      </c>
      <c r="P118" s="26">
        <v>0</v>
      </c>
      <c r="Q118" s="27">
        <f t="shared" si="7"/>
        <v>125</v>
      </c>
      <c r="R118" s="28">
        <f t="shared" si="6"/>
        <v>159.94999999999999</v>
      </c>
      <c r="T118" s="7" t="str">
        <f>VLOOKUP(A118,[1]AccessoryList!$A:$B,2,FALSE)</f>
        <v>B</v>
      </c>
      <c r="U118" s="2">
        <f>VLOOKUP(A118,[1]AccessoryList!$A:$F,6,FALSE)+VLOOKUP(A118,[1]AccessoryList!$A:$G,7,FALSE)</f>
        <v>139</v>
      </c>
    </row>
    <row r="119" spans="1:21">
      <c r="A119" s="35" t="s">
        <v>17</v>
      </c>
      <c r="B119" s="36" t="s">
        <v>644</v>
      </c>
      <c r="C119" s="36" t="s">
        <v>362</v>
      </c>
      <c r="D119" s="32" t="s">
        <v>128</v>
      </c>
      <c r="E119" s="31" t="s">
        <v>454</v>
      </c>
      <c r="F119" s="31" t="s">
        <v>454</v>
      </c>
      <c r="G119" s="31" t="s">
        <v>454</v>
      </c>
      <c r="H119" s="31" t="s">
        <v>454</v>
      </c>
      <c r="I119" s="31" t="s">
        <v>454</v>
      </c>
      <c r="J119" s="31" t="s">
        <v>454</v>
      </c>
      <c r="K119" s="31" t="s">
        <v>454</v>
      </c>
      <c r="L119" s="32" t="s">
        <v>16</v>
      </c>
      <c r="M119" s="65" t="s">
        <v>768</v>
      </c>
      <c r="N119" s="43">
        <f>VLOOKUP(A119,[1]AccessoryList!$A:$D,4,FALSE)</f>
        <v>39.99</v>
      </c>
      <c r="O119" s="43">
        <f>VLOOKUP(A119,[1]AccessoryList!$A:$E,5,FALSE)</f>
        <v>59.95</v>
      </c>
      <c r="P119" s="26">
        <v>0</v>
      </c>
      <c r="Q119" s="27">
        <f t="shared" si="7"/>
        <v>125</v>
      </c>
      <c r="R119" s="28">
        <f t="shared" si="6"/>
        <v>59.95</v>
      </c>
      <c r="T119" s="7" t="str">
        <f>VLOOKUP(A119,[1]AccessoryList!$A:$B,2,FALSE)</f>
        <v>S</v>
      </c>
      <c r="U119" s="2">
        <f>VLOOKUP(A119,[1]AccessoryList!$A:$F,6,FALSE)+VLOOKUP(A119,[1]AccessoryList!$A:$G,7,FALSE)</f>
        <v>8</v>
      </c>
    </row>
    <row r="120" spans="1:21">
      <c r="A120" s="29" t="s">
        <v>294</v>
      </c>
      <c r="B120" s="30" t="s">
        <v>295</v>
      </c>
      <c r="C120" s="30" t="s">
        <v>296</v>
      </c>
      <c r="D120" s="26" t="s">
        <v>215</v>
      </c>
      <c r="E120" s="31" t="s">
        <v>454</v>
      </c>
      <c r="F120" s="31" t="s">
        <v>454</v>
      </c>
      <c r="G120" s="31" t="s">
        <v>454</v>
      </c>
      <c r="H120" s="31" t="s">
        <v>454</v>
      </c>
      <c r="I120" s="31" t="s">
        <v>454</v>
      </c>
      <c r="J120" s="31" t="s">
        <v>454</v>
      </c>
      <c r="K120" s="31" t="s">
        <v>454</v>
      </c>
      <c r="L120" s="26" t="s">
        <v>0</v>
      </c>
      <c r="M120" s="65" t="s">
        <v>768</v>
      </c>
      <c r="N120" s="43">
        <f>VLOOKUP(A120,[1]AccessoryList!$A:$D,4,FALSE)</f>
        <v>60</v>
      </c>
      <c r="O120" s="43">
        <f>VLOOKUP(A120,[1]AccessoryList!$A:$E,5,FALSE)</f>
        <v>79.95</v>
      </c>
      <c r="P120" s="26">
        <v>0</v>
      </c>
      <c r="Q120" s="27">
        <f t="shared" si="7"/>
        <v>125</v>
      </c>
      <c r="R120" s="28">
        <f t="shared" si="6"/>
        <v>79.95</v>
      </c>
      <c r="T120" s="7" t="str">
        <f>VLOOKUP(A120,[1]AccessoryList!$A:$B,2,FALSE)</f>
        <v>C</v>
      </c>
      <c r="U120" s="2">
        <f>VLOOKUP(A120,[1]AccessoryList!$A:$F,6,FALSE)+VLOOKUP(A120,[1]AccessoryList!$A:$G,7,FALSE)</f>
        <v>17</v>
      </c>
    </row>
    <row r="121" spans="1:21">
      <c r="A121" s="29" t="s">
        <v>9</v>
      </c>
      <c r="B121" s="30" t="s">
        <v>202</v>
      </c>
      <c r="C121" s="30" t="s">
        <v>87</v>
      </c>
      <c r="D121" s="26" t="s">
        <v>263</v>
      </c>
      <c r="E121" s="31" t="s">
        <v>454</v>
      </c>
      <c r="F121" s="31" t="s">
        <v>454</v>
      </c>
      <c r="G121" s="31" t="s">
        <v>454</v>
      </c>
      <c r="H121" s="31" t="s">
        <v>454</v>
      </c>
      <c r="I121" s="31" t="s">
        <v>454</v>
      </c>
      <c r="J121" s="31" t="s">
        <v>454</v>
      </c>
      <c r="K121" s="31" t="s">
        <v>454</v>
      </c>
      <c r="L121" s="26" t="s">
        <v>10</v>
      </c>
      <c r="M121" s="70" t="s">
        <v>768</v>
      </c>
      <c r="N121" s="43">
        <f>VLOOKUP(A121,[1]AccessoryList!$A:$D,4,FALSE)</f>
        <v>53</v>
      </c>
      <c r="O121" s="43">
        <f>VLOOKUP(A121,[1]AccessoryList!$A:$E,5,FALSE)</f>
        <v>88.95</v>
      </c>
      <c r="P121" s="26">
        <v>0.2</v>
      </c>
      <c r="Q121" s="27">
        <f t="shared" si="7"/>
        <v>125</v>
      </c>
      <c r="R121" s="28">
        <f t="shared" si="6"/>
        <v>113.95</v>
      </c>
      <c r="T121" s="7" t="str">
        <f>VLOOKUP(A121,[1]AccessoryList!$A:$B,2,FALSE)</f>
        <v>A</v>
      </c>
      <c r="U121" s="2">
        <f>VLOOKUP(A121,[1]AccessoryList!$A:$F,6,FALSE)+VLOOKUP(A121,[1]AccessoryList!$A:$G,7,FALSE)</f>
        <v>728</v>
      </c>
    </row>
    <row r="128" spans="1:21">
      <c r="B128" s="2" t="s">
        <v>410</v>
      </c>
    </row>
  </sheetData>
  <sortState xmlns:xlrd2="http://schemas.microsoft.com/office/spreadsheetml/2017/richdata2" ref="A5:M121">
    <sortCondition ref="B5:B121"/>
  </sortState>
  <customSheetViews>
    <customSheetView guid="{ED4CABDC-3928-41D5-B552-2BFBF1CA8BA6}" scale="80" showGridLines="0">
      <pane ySplit="2" topLeftCell="A3" activePane="bottomLeft" state="frozen"/>
      <selection pane="bottomLeft" sqref="A1:C1"/>
      <pageMargins left="0.7" right="0.7" top="0.75" bottom="0.75" header="0.3" footer="0.3"/>
      <pageSetup orientation="portrait" r:id="rId1"/>
    </customSheetView>
  </customSheetViews>
  <mergeCells count="3">
    <mergeCell ref="A1:C1"/>
    <mergeCell ref="Q1:R1"/>
    <mergeCell ref="D1:K1"/>
  </mergeCells>
  <conditionalFormatting sqref="N3:O121">
    <cfRule type="cellIs" dxfId="2" priority="3" operator="lessThan">
      <formula>0.02</formula>
    </cfRule>
  </conditionalFormatting>
  <conditionalFormatting sqref="U1:U1048576">
    <cfRule type="cellIs" dxfId="1" priority="2" operator="lessThan">
      <formula>1</formula>
    </cfRule>
  </conditionalFormatting>
  <conditionalFormatting sqref="V2:X2">
    <cfRule type="cellIs" dxfId="0" priority="1" operator="lessThan">
      <formula>1</formula>
    </cfRule>
  </conditionalFormatting>
  <hyperlinks>
    <hyperlink ref="M109:M116" r:id="rId2" display="PHOTO" xr:uid="{CD41B131-BA63-49C6-B234-D8A61D88E02C}"/>
    <hyperlink ref="M120" r:id="rId3" xr:uid="{4EC390C1-79DC-4296-83D4-89BB777E7225}"/>
    <hyperlink ref="M121" r:id="rId4" xr:uid="{5BF0BD02-A7FC-4E28-ADDD-CABA6D1037B5}"/>
    <hyperlink ref="M118" r:id="rId5" xr:uid="{8F64B100-1BDE-493A-9DB8-58910FBC8CD6}"/>
    <hyperlink ref="M119" r:id="rId6" xr:uid="{A7469ED9-15F3-47B9-B93C-38BF078F6202}"/>
    <hyperlink ref="M93" r:id="rId7" xr:uid="{9BEBDDA5-AD12-4B3E-B80F-EA2929D8ECB2}"/>
    <hyperlink ref="M88" r:id="rId8" xr:uid="{5F9E980C-3D75-4D75-A0F4-641E3A537DFC}"/>
    <hyperlink ref="M91" r:id="rId9" xr:uid="{D49CAA70-385A-4995-B84C-3E252CAC518F}"/>
    <hyperlink ref="M92" r:id="rId10" xr:uid="{C9B9AA72-384F-4C18-AD95-987F702DA09C}"/>
    <hyperlink ref="M87" r:id="rId11" xr:uid="{B47EA950-D5D2-440B-93E9-8CFA9E66781C}"/>
    <hyperlink ref="M95" r:id="rId12" xr:uid="{086A0BBC-097C-4F5E-ADD3-B95B108B3E50}"/>
    <hyperlink ref="M94" r:id="rId13" xr:uid="{BF5F19BF-12C5-4F09-8A96-DEE703845BF1}"/>
    <hyperlink ref="M97" r:id="rId14" xr:uid="{3CAD7EF5-7024-42E0-8913-0544F689E55E}"/>
    <hyperlink ref="M96" r:id="rId15" xr:uid="{69BD6B23-FFB6-4829-AC0B-123805FF1EBF}"/>
    <hyperlink ref="M98" r:id="rId16" xr:uid="{0EECEC25-5F9A-451C-AF08-8EE10DAE2FB0}"/>
    <hyperlink ref="M106" r:id="rId17" xr:uid="{074FE434-427E-40A3-BCBA-F45D7E92368A}"/>
    <hyperlink ref="M107" r:id="rId18" xr:uid="{0AE7CE3E-A809-47F8-AA06-A621422E38A2}"/>
    <hyperlink ref="M105" r:id="rId19" xr:uid="{DB887BA4-5FAA-49E4-88BA-1DA25F8C4C49}"/>
    <hyperlink ref="M104" r:id="rId20" xr:uid="{C8BBC452-9294-47BE-A0B7-0551FCDB85D3}"/>
    <hyperlink ref="M108" r:id="rId21" xr:uid="{1714BD7A-3B96-45FE-AADA-06E5C1DCBFE9}"/>
    <hyperlink ref="M49:M56" r:id="rId22" display="PHOTO" xr:uid="{C44235F0-7926-470C-A377-CBFE47ADB77C}"/>
    <hyperlink ref="M66" r:id="rId23" xr:uid="{E1A036D4-BFB7-4BF9-95C3-4FC9CEC2ABAB}"/>
    <hyperlink ref="M65" r:id="rId24" xr:uid="{42740F24-2E5F-4790-9FFC-0F49E5043CD2}"/>
    <hyperlink ref="M64" r:id="rId25" xr:uid="{687A2C38-06F3-4AB5-A842-CE31C2BA3E0E}"/>
    <hyperlink ref="M67" r:id="rId26" xr:uid="{D807D6A5-5ADF-427B-970B-E69BF591C625}"/>
    <hyperlink ref="M62" r:id="rId27" xr:uid="{CC010B8D-3176-4549-B442-57D8B27688DF}"/>
    <hyperlink ref="M63" r:id="rId28" xr:uid="{AE5D8BA3-D7D7-4F1D-B653-1837FFB4CD58}"/>
    <hyperlink ref="M60" r:id="rId29" xr:uid="{1E2AC0C0-BD71-4F6C-8B98-3EC7D679304B}"/>
    <hyperlink ref="M34" r:id="rId30" xr:uid="{5B0E9E16-6F99-41DA-9271-A36871EEFB71}"/>
    <hyperlink ref="M33" r:id="rId31" xr:uid="{64E5453C-355C-49C0-95C0-2AF27A7198A3}"/>
    <hyperlink ref="M35" r:id="rId32" xr:uid="{1822B150-E512-427D-835A-79C988BCCCD0}"/>
    <hyperlink ref="M36" r:id="rId33" xr:uid="{ACD04E30-08B1-4786-BEFB-B3C45EF6815D}"/>
    <hyperlink ref="M45" r:id="rId34" xr:uid="{CD5EBE5F-FE96-445E-A35B-3067997AB4B5}"/>
    <hyperlink ref="M46" r:id="rId35" xr:uid="{1EAA9084-00AA-4570-ADA2-A06CDEF11396}"/>
    <hyperlink ref="M27" r:id="rId36" xr:uid="{BBDE0981-4FE1-45BD-A9FF-87B035C3D4D3}"/>
    <hyperlink ref="M47" r:id="rId37" xr:uid="{1DB5A405-85CB-4E2E-864B-B5E448CFBF64}"/>
    <hyperlink ref="M48" r:id="rId38" xr:uid="{FB14A6CB-1F1C-44CB-9752-E22F793D68C2}"/>
    <hyperlink ref="M57" r:id="rId39" xr:uid="{EDC2B315-9AA2-48B6-9945-577D460A0451}"/>
    <hyperlink ref="M58" r:id="rId40" xr:uid="{C436C1F0-71F2-490B-86F9-970738632F43}"/>
    <hyperlink ref="M73" r:id="rId41" xr:uid="{3EDE6CF4-6C87-4F37-B8CB-9D25520008BF}"/>
    <hyperlink ref="M75" r:id="rId42" xr:uid="{E909B854-7C3C-4F5A-9B71-49DC90A8FC07}"/>
    <hyperlink ref="M76" r:id="rId43" xr:uid="{8BBB67A7-B55F-44DF-B5D6-053462F505B4}"/>
    <hyperlink ref="M77" r:id="rId44" xr:uid="{CA1F01EE-D4B8-469C-BFBA-ACB896AA7029}"/>
    <hyperlink ref="M78" r:id="rId45" xr:uid="{AF7E5C1A-F84C-476D-BE55-8BAD711B9F8F}"/>
    <hyperlink ref="M79" r:id="rId46" xr:uid="{54EB033A-A7F1-4558-BC26-CCFC182F87E3}"/>
    <hyperlink ref="M80:M86" r:id="rId47" display="PHOTO" xr:uid="{6F61A2C0-5F70-47FF-861D-FC3492F7CB95}"/>
    <hyperlink ref="M30" r:id="rId48" xr:uid="{8DACC501-1537-4735-A3F1-BEBE3FE505FC}"/>
    <hyperlink ref="M26" r:id="rId49" xr:uid="{9D3AFF04-0307-42D6-8803-6F28D927EB62}"/>
    <hyperlink ref="M25" r:id="rId50" xr:uid="{806BA0B1-06CA-4458-8619-4C1D1652421D}"/>
    <hyperlink ref="M24" r:id="rId51" xr:uid="{1405B0DE-29B1-4414-B94E-BD88F0576AD3}"/>
    <hyperlink ref="M37" r:id="rId52" xr:uid="{DFC21C94-CD41-46BD-8CC5-B658F3A9AB22}"/>
    <hyperlink ref="M38" r:id="rId53" xr:uid="{A0F424A0-00FD-4BFA-A707-38351647AEAA}"/>
    <hyperlink ref="M40" r:id="rId54" xr:uid="{96FA60B2-5968-4B45-AA7B-BF50C9907895}"/>
    <hyperlink ref="M39" r:id="rId55" xr:uid="{EA21E90E-24DD-4416-A531-EEC31E958CEB}"/>
    <hyperlink ref="M11:M18" r:id="rId56" display="PHOTO" xr:uid="{897BB0D2-F179-4BB4-AE56-9185FCADBFC0}"/>
    <hyperlink ref="M20" r:id="rId57" xr:uid="{6182D681-9636-4944-BE40-B54585FAF8B8}"/>
    <hyperlink ref="M6" r:id="rId58" xr:uid="{471BFD1F-AF79-49E5-BECD-51F8AC3D1665}"/>
    <hyperlink ref="M9" r:id="rId59" xr:uid="{E72A8EB3-1D05-46DD-B773-58169566F8FE}"/>
    <hyperlink ref="M10" r:id="rId60" xr:uid="{1215BD0F-5924-428B-AFD5-1605AEE16F9F}"/>
    <hyperlink ref="M19" r:id="rId61" xr:uid="{9E44D389-F3B1-46A8-8BF4-3C164B7A91AC}"/>
    <hyperlink ref="M43" r:id="rId62" xr:uid="{4C7035B7-032B-42ED-9341-0EC33C5851E4}"/>
    <hyperlink ref="M59" r:id="rId63" xr:uid="{FF1EE1BA-58F0-4EFE-8CEF-49EBFFCB0810}"/>
    <hyperlink ref="M72" r:id="rId64" xr:uid="{1DFDE7B3-E49B-413F-BEC9-1F776846252F}"/>
    <hyperlink ref="M74" r:id="rId65" xr:uid="{E01BBF5E-5EB1-4E85-BF32-8EDBE30D673D}"/>
    <hyperlink ref="M23" r:id="rId66" xr:uid="{C1BB984C-36E4-4B01-A52B-BBCA0071371E}"/>
    <hyperlink ref="M22" r:id="rId67" xr:uid="{4BA6AF6B-B0B3-4B1B-BE89-3B2E08E045C9}"/>
    <hyperlink ref="M29" r:id="rId68" xr:uid="{99CB8F62-4F05-4EDC-A3CB-25C5460A0DA7}"/>
    <hyperlink ref="M3" r:id="rId69" xr:uid="{BB6C972F-73F4-4E27-9C9F-87783E474F00}"/>
    <hyperlink ref="M69" r:id="rId70" xr:uid="{93DDC485-A3B6-4B8B-B84E-26866E1852E7}"/>
    <hyperlink ref="M70" r:id="rId71" xr:uid="{C028E360-1D2B-4F25-8FE7-7A19F07360C4}"/>
    <hyperlink ref="M117" r:id="rId72" xr:uid="{EB9F76E2-65BE-4AE6-9736-685621784A1E}"/>
    <hyperlink ref="M89" r:id="rId73" xr:uid="{10E4D6A8-D6D3-4E94-8AB1-6E6BB8A3621A}"/>
    <hyperlink ref="M90" r:id="rId74" xr:uid="{8E0463C4-B1A1-4B61-A85E-295A25680814}"/>
    <hyperlink ref="M41" r:id="rId75" xr:uid="{3052F3E1-2DFF-4B08-A987-3F173F3850DC}"/>
    <hyperlink ref="M42" r:id="rId76" xr:uid="{E0337944-2B13-41C6-8B61-8E8B91589343}"/>
    <hyperlink ref="M61" r:id="rId77" xr:uid="{83CFB30B-5A51-42AD-92D6-57A37482144A}"/>
    <hyperlink ref="M21" r:id="rId78" xr:uid="{76BEA6BA-7C6B-41DD-A063-B6B66019E90F}"/>
  </hyperlinks>
  <pageMargins left="0.7" right="0.7" top="0.75" bottom="0.75" header="0.3" footer="0.3"/>
  <pageSetup orientation="portrait" r:id="rId79"/>
  <legacyDrawing r:id="rId8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785C-3627-47EE-B67C-8CBD358512FC}">
  <sheetPr published="0"/>
  <dimension ref="A1:L161"/>
  <sheetViews>
    <sheetView workbookViewId="0">
      <selection activeCell="E5" sqref="E5"/>
    </sheetView>
  </sheetViews>
  <sheetFormatPr defaultRowHeight="15"/>
  <cols>
    <col min="1" max="1" width="13.140625" customWidth="1"/>
    <col min="2" max="2" width="7.28515625" bestFit="1" customWidth="1"/>
    <col min="3" max="3" width="19.140625" bestFit="1" customWidth="1"/>
    <col min="4" max="4" width="13.28515625" bestFit="1" customWidth="1"/>
    <col min="5" max="5" width="15.7109375" bestFit="1" customWidth="1"/>
    <col min="6" max="6" width="21.140625" bestFit="1" customWidth="1"/>
    <col min="7" max="7" width="89.42578125" bestFit="1" customWidth="1"/>
    <col min="8" max="9" width="7.5703125" bestFit="1" customWidth="1"/>
    <col min="10" max="10" width="10.42578125" customWidth="1"/>
    <col min="11" max="11" width="127.85546875" bestFit="1" customWidth="1"/>
    <col min="12" max="12" width="61.42578125" bestFit="1" customWidth="1"/>
  </cols>
  <sheetData>
    <row r="1" spans="1:12">
      <c r="A1" s="101" t="s">
        <v>1560</v>
      </c>
      <c r="B1" s="101"/>
      <c r="C1" s="101"/>
      <c r="D1" s="102"/>
      <c r="E1" s="101"/>
      <c r="F1" s="101"/>
      <c r="G1" s="103"/>
      <c r="H1" s="104"/>
      <c r="I1" s="104"/>
      <c r="J1" s="105"/>
      <c r="K1" s="106"/>
      <c r="L1" s="106"/>
    </row>
    <row r="2" spans="1:12">
      <c r="A2" s="107" t="s">
        <v>1551</v>
      </c>
      <c r="B2" s="103"/>
      <c r="C2" s="103"/>
      <c r="D2" s="103"/>
      <c r="E2" s="103"/>
      <c r="F2" s="103"/>
      <c r="G2" s="103"/>
      <c r="H2" s="104"/>
      <c r="I2" s="104"/>
      <c r="J2" s="105"/>
      <c r="K2" s="106"/>
      <c r="L2" s="106"/>
    </row>
    <row r="3" spans="1:12">
      <c r="A3" s="103" t="s">
        <v>1552</v>
      </c>
      <c r="B3" s="103"/>
      <c r="C3" s="103"/>
      <c r="D3" s="103"/>
      <c r="E3" s="103"/>
      <c r="F3" s="103"/>
      <c r="G3" s="103"/>
      <c r="H3" s="104"/>
      <c r="I3" s="104"/>
      <c r="J3" s="105"/>
      <c r="K3" s="106"/>
      <c r="L3" s="106"/>
    </row>
    <row r="4" spans="1:12">
      <c r="A4" s="103" t="s">
        <v>1553</v>
      </c>
      <c r="B4" s="103"/>
      <c r="C4" s="103"/>
      <c r="D4" s="103"/>
      <c r="E4" s="103"/>
      <c r="F4" s="103"/>
      <c r="G4" s="103"/>
      <c r="H4" s="104"/>
      <c r="I4" s="104"/>
      <c r="J4" s="105"/>
      <c r="K4" s="106"/>
      <c r="L4" s="106"/>
    </row>
    <row r="5" spans="1:12">
      <c r="A5" s="103" t="s">
        <v>1566</v>
      </c>
      <c r="B5" s="103"/>
      <c r="C5" s="103"/>
      <c r="D5" s="103"/>
      <c r="E5" s="103"/>
      <c r="F5" s="103"/>
      <c r="G5" s="103"/>
      <c r="H5" s="104"/>
      <c r="I5" s="104"/>
      <c r="J5" s="105"/>
      <c r="K5" s="106"/>
      <c r="L5" s="106"/>
    </row>
    <row r="6" spans="1:12">
      <c r="A6" s="107" t="s">
        <v>1561</v>
      </c>
      <c r="B6" s="103"/>
      <c r="C6" s="103"/>
      <c r="D6" s="103"/>
      <c r="E6" s="103"/>
      <c r="F6" s="103"/>
      <c r="G6" s="103"/>
      <c r="H6" s="104"/>
      <c r="I6" s="104"/>
      <c r="J6" s="105"/>
      <c r="K6" s="106"/>
      <c r="L6" s="106"/>
    </row>
    <row r="7" spans="1:12">
      <c r="A7" s="106"/>
      <c r="B7" s="106"/>
      <c r="C7" s="106"/>
      <c r="D7" s="106"/>
      <c r="E7" s="106"/>
      <c r="F7" s="106"/>
      <c r="G7" s="106"/>
      <c r="H7" s="104"/>
      <c r="I7" s="104"/>
      <c r="J7" s="105"/>
      <c r="K7" s="106"/>
      <c r="L7" s="106"/>
    </row>
    <row r="8" spans="1:12">
      <c r="A8" s="126" t="s">
        <v>1584</v>
      </c>
      <c r="B8" s="127"/>
      <c r="C8" s="106"/>
      <c r="D8" s="106"/>
      <c r="E8" s="106"/>
      <c r="F8" s="106"/>
      <c r="G8" s="106"/>
      <c r="H8" s="104"/>
      <c r="I8" s="104"/>
      <c r="J8" s="105"/>
      <c r="K8" s="106"/>
      <c r="L8" s="106"/>
    </row>
    <row r="9" spans="1:12">
      <c r="A9" s="125" t="s">
        <v>1588</v>
      </c>
      <c r="B9" s="106"/>
      <c r="C9" s="106"/>
      <c r="D9" s="106"/>
      <c r="E9" s="106"/>
      <c r="F9" s="106"/>
      <c r="G9" s="106"/>
      <c r="H9" s="104"/>
      <c r="I9" s="104"/>
      <c r="J9" s="105"/>
      <c r="K9" s="106"/>
      <c r="L9" s="106"/>
    </row>
    <row r="10" spans="1:12">
      <c r="A10" s="106" t="s">
        <v>1585</v>
      </c>
      <c r="B10" s="106"/>
      <c r="C10" s="106"/>
      <c r="D10" s="106"/>
      <c r="E10" s="106"/>
      <c r="F10" s="106"/>
      <c r="G10" s="106"/>
      <c r="H10" s="104"/>
      <c r="I10" s="104"/>
      <c r="J10" s="105"/>
      <c r="K10" s="106"/>
      <c r="L10" s="106"/>
    </row>
    <row r="11" spans="1:12">
      <c r="A11" s="125" t="s">
        <v>1586</v>
      </c>
      <c r="B11" s="106"/>
      <c r="C11" s="106"/>
      <c r="D11" s="106"/>
      <c r="E11" s="106"/>
      <c r="F11" s="106"/>
      <c r="G11" s="106"/>
      <c r="H11" s="104"/>
      <c r="I11" s="104"/>
      <c r="J11" s="105"/>
      <c r="K11" s="106"/>
      <c r="L11" s="106"/>
    </row>
    <row r="12" spans="1:12">
      <c r="A12" s="125" t="s">
        <v>1587</v>
      </c>
      <c r="B12" s="106"/>
      <c r="C12" s="106"/>
      <c r="D12" s="106"/>
      <c r="E12" s="106"/>
      <c r="F12" s="106"/>
      <c r="G12" s="106"/>
      <c r="H12" s="104"/>
      <c r="I12" s="104"/>
      <c r="J12" s="105"/>
      <c r="K12" s="106"/>
      <c r="L12" s="106"/>
    </row>
    <row r="13" spans="1:12">
      <c r="A13" s="106"/>
      <c r="B13" s="106"/>
      <c r="C13" s="106"/>
      <c r="D13" s="106"/>
      <c r="E13" s="106"/>
      <c r="F13" s="106"/>
      <c r="G13" s="106"/>
      <c r="H13" s="104"/>
      <c r="I13" s="104"/>
      <c r="J13" s="105"/>
      <c r="K13" s="106"/>
      <c r="L13" s="106"/>
    </row>
    <row r="14" spans="1:12" ht="15.75" thickBot="1">
      <c r="A14" s="106"/>
      <c r="B14" s="106"/>
      <c r="C14" s="106"/>
      <c r="D14" s="106"/>
      <c r="E14" s="106"/>
      <c r="F14" s="106"/>
      <c r="G14" s="106"/>
      <c r="H14" s="104"/>
      <c r="I14" s="104"/>
      <c r="J14" s="105"/>
      <c r="K14" s="106"/>
      <c r="L14" s="106"/>
    </row>
    <row r="15" spans="1:12" ht="32.25" thickBot="1">
      <c r="A15" s="108" t="s">
        <v>1473</v>
      </c>
      <c r="B15" s="108" t="s">
        <v>1472</v>
      </c>
      <c r="C15" s="108" t="s">
        <v>465</v>
      </c>
      <c r="D15" s="108" t="s">
        <v>1465</v>
      </c>
      <c r="E15" s="108" t="s">
        <v>1460</v>
      </c>
      <c r="F15" s="108" t="s">
        <v>1459</v>
      </c>
      <c r="G15" s="108" t="s">
        <v>1461</v>
      </c>
      <c r="H15" s="109" t="s">
        <v>1458</v>
      </c>
      <c r="I15" s="109" t="s">
        <v>1457</v>
      </c>
      <c r="J15" s="108" t="s">
        <v>1462</v>
      </c>
      <c r="K15" s="108" t="s">
        <v>1463</v>
      </c>
      <c r="L15" s="108" t="s">
        <v>1464</v>
      </c>
    </row>
    <row r="16" spans="1:12">
      <c r="A16" s="110">
        <v>2010</v>
      </c>
      <c r="B16" s="110">
        <v>2022</v>
      </c>
      <c r="C16" s="110" t="s">
        <v>1101</v>
      </c>
      <c r="D16" s="110" t="s">
        <v>1105</v>
      </c>
      <c r="E16" s="110" t="s">
        <v>1099</v>
      </c>
      <c r="F16" s="110" t="s">
        <v>1582</v>
      </c>
      <c r="G16" s="110" t="s">
        <v>1098</v>
      </c>
      <c r="H16" s="111">
        <v>134</v>
      </c>
      <c r="I16" s="111">
        <v>174.2</v>
      </c>
      <c r="J16" s="112"/>
      <c r="K16" s="110"/>
      <c r="L16" s="113" t="s">
        <v>1104</v>
      </c>
    </row>
    <row r="17" spans="1:12">
      <c r="A17" s="110">
        <v>2010</v>
      </c>
      <c r="B17" s="110">
        <v>2022</v>
      </c>
      <c r="C17" s="110" t="s">
        <v>1101</v>
      </c>
      <c r="D17" s="110" t="s">
        <v>1103</v>
      </c>
      <c r="E17" s="110" t="s">
        <v>1099</v>
      </c>
      <c r="F17" s="110" t="s">
        <v>1582</v>
      </c>
      <c r="G17" s="110" t="s">
        <v>1098</v>
      </c>
      <c r="H17" s="111">
        <v>64</v>
      </c>
      <c r="I17" s="111">
        <v>83.2</v>
      </c>
      <c r="J17" s="112"/>
      <c r="K17" s="110"/>
      <c r="L17" s="113" t="s">
        <v>1102</v>
      </c>
    </row>
    <row r="18" spans="1:12">
      <c r="A18" s="110">
        <v>2010</v>
      </c>
      <c r="B18" s="110">
        <v>2022</v>
      </c>
      <c r="C18" s="110" t="s">
        <v>1101</v>
      </c>
      <c r="D18" s="110" t="s">
        <v>1100</v>
      </c>
      <c r="E18" s="110" t="s">
        <v>1099</v>
      </c>
      <c r="F18" s="110" t="s">
        <v>1582</v>
      </c>
      <c r="G18" s="110" t="s">
        <v>1098</v>
      </c>
      <c r="H18" s="111">
        <v>94</v>
      </c>
      <c r="I18" s="111">
        <v>122</v>
      </c>
      <c r="J18" s="112"/>
      <c r="K18" s="110"/>
      <c r="L18" s="113" t="s">
        <v>1096</v>
      </c>
    </row>
    <row r="19" spans="1:12">
      <c r="A19" s="114">
        <v>2018</v>
      </c>
      <c r="B19" s="114">
        <v>2021</v>
      </c>
      <c r="C19" s="114" t="s">
        <v>1396</v>
      </c>
      <c r="D19" s="114" t="s">
        <v>1456</v>
      </c>
      <c r="E19" s="114" t="s">
        <v>1112</v>
      </c>
      <c r="F19" s="114" t="s">
        <v>1175</v>
      </c>
      <c r="G19" s="114" t="s">
        <v>1222</v>
      </c>
      <c r="H19" s="111">
        <v>185</v>
      </c>
      <c r="I19" s="111">
        <v>259</v>
      </c>
      <c r="J19" s="112">
        <v>0.5</v>
      </c>
      <c r="K19" s="110" t="s">
        <v>1172</v>
      </c>
      <c r="L19" s="113" t="s">
        <v>1455</v>
      </c>
    </row>
    <row r="20" spans="1:12">
      <c r="A20" s="114">
        <v>2018</v>
      </c>
      <c r="B20" s="114">
        <v>2021</v>
      </c>
      <c r="C20" s="114" t="s">
        <v>1396</v>
      </c>
      <c r="D20" s="114" t="s">
        <v>1411</v>
      </c>
      <c r="E20" s="114" t="s">
        <v>1112</v>
      </c>
      <c r="F20" s="114" t="s">
        <v>1111</v>
      </c>
      <c r="G20" s="114" t="s">
        <v>1117</v>
      </c>
      <c r="H20" s="111">
        <v>185</v>
      </c>
      <c r="I20" s="111">
        <v>259</v>
      </c>
      <c r="J20" s="112">
        <v>0.5</v>
      </c>
      <c r="K20" s="110" t="s">
        <v>1108</v>
      </c>
      <c r="L20" s="113" t="s">
        <v>1410</v>
      </c>
    </row>
    <row r="21" spans="1:12">
      <c r="A21" s="114">
        <v>2018</v>
      </c>
      <c r="B21" s="114">
        <v>2021</v>
      </c>
      <c r="C21" s="110" t="s">
        <v>1396</v>
      </c>
      <c r="D21" s="110" t="s">
        <v>1409</v>
      </c>
      <c r="E21" s="110" t="s">
        <v>1112</v>
      </c>
      <c r="F21" s="114" t="s">
        <v>1111</v>
      </c>
      <c r="G21" s="110" t="s">
        <v>1408</v>
      </c>
      <c r="H21" s="111">
        <v>249</v>
      </c>
      <c r="I21" s="111">
        <v>349</v>
      </c>
      <c r="J21" s="112">
        <v>0.5</v>
      </c>
      <c r="K21" s="110" t="s">
        <v>1108</v>
      </c>
      <c r="L21" s="113" t="s">
        <v>1406</v>
      </c>
    </row>
    <row r="22" spans="1:12">
      <c r="A22" s="114">
        <v>2022</v>
      </c>
      <c r="B22" s="114">
        <v>2022</v>
      </c>
      <c r="C22" s="114" t="s">
        <v>1396</v>
      </c>
      <c r="D22" s="114" t="s">
        <v>1454</v>
      </c>
      <c r="E22" s="114" t="s">
        <v>1112</v>
      </c>
      <c r="F22" s="114" t="s">
        <v>1175</v>
      </c>
      <c r="G22" s="114" t="s">
        <v>1222</v>
      </c>
      <c r="H22" s="111">
        <v>185</v>
      </c>
      <c r="I22" s="111">
        <v>259</v>
      </c>
      <c r="J22" s="112">
        <v>0.5</v>
      </c>
      <c r="K22" s="110" t="s">
        <v>1172</v>
      </c>
      <c r="L22" s="113" t="s">
        <v>1453</v>
      </c>
    </row>
    <row r="23" spans="1:12">
      <c r="A23" s="114">
        <v>2018</v>
      </c>
      <c r="B23" s="114">
        <v>2021</v>
      </c>
      <c r="C23" s="114" t="s">
        <v>1396</v>
      </c>
      <c r="D23" s="114" t="s">
        <v>1421</v>
      </c>
      <c r="E23" s="114" t="s">
        <v>1112</v>
      </c>
      <c r="F23" s="114" t="s">
        <v>1147</v>
      </c>
      <c r="G23" s="114" t="s">
        <v>1168</v>
      </c>
      <c r="H23" s="111">
        <v>75</v>
      </c>
      <c r="I23" s="111">
        <v>97.5</v>
      </c>
      <c r="J23" s="112">
        <v>0.5</v>
      </c>
      <c r="K23" s="110" t="s">
        <v>1163</v>
      </c>
      <c r="L23" s="113" t="s">
        <v>1420</v>
      </c>
    </row>
    <row r="24" spans="1:12">
      <c r="A24" s="114">
        <v>2018</v>
      </c>
      <c r="B24" s="114">
        <v>2021</v>
      </c>
      <c r="C24" s="114" t="s">
        <v>1396</v>
      </c>
      <c r="D24" s="114" t="s">
        <v>1419</v>
      </c>
      <c r="E24" s="114" t="s">
        <v>1112</v>
      </c>
      <c r="F24" s="114" t="s">
        <v>1147</v>
      </c>
      <c r="G24" s="114" t="s">
        <v>1165</v>
      </c>
      <c r="H24" s="111">
        <v>680.6</v>
      </c>
      <c r="I24" s="111">
        <v>884.78</v>
      </c>
      <c r="J24" s="112">
        <v>0.5</v>
      </c>
      <c r="K24" s="110" t="s">
        <v>1163</v>
      </c>
      <c r="L24" s="113" t="s">
        <v>1418</v>
      </c>
    </row>
    <row r="25" spans="1:12">
      <c r="A25" s="114">
        <v>2018</v>
      </c>
      <c r="B25" s="114">
        <v>2021</v>
      </c>
      <c r="C25" s="110" t="s">
        <v>1396</v>
      </c>
      <c r="D25" s="110" t="s">
        <v>1405</v>
      </c>
      <c r="E25" s="110" t="s">
        <v>1112</v>
      </c>
      <c r="F25" s="114" t="s">
        <v>1111</v>
      </c>
      <c r="G25" s="115" t="s">
        <v>1129</v>
      </c>
      <c r="H25" s="111">
        <v>185</v>
      </c>
      <c r="I25" s="111">
        <v>259</v>
      </c>
      <c r="J25" s="112">
        <v>0.5</v>
      </c>
      <c r="K25" s="110" t="s">
        <v>1108</v>
      </c>
      <c r="L25" s="113" t="s">
        <v>1493</v>
      </c>
    </row>
    <row r="26" spans="1:12">
      <c r="A26" s="114">
        <v>2018</v>
      </c>
      <c r="B26" s="114">
        <v>2021</v>
      </c>
      <c r="C26" s="114" t="s">
        <v>1396</v>
      </c>
      <c r="D26" s="114" t="s">
        <v>1417</v>
      </c>
      <c r="E26" s="114" t="s">
        <v>1112</v>
      </c>
      <c r="F26" s="114" t="s">
        <v>1147</v>
      </c>
      <c r="G26" s="114" t="s">
        <v>1153</v>
      </c>
      <c r="H26" s="111">
        <v>185</v>
      </c>
      <c r="I26" s="111">
        <v>259</v>
      </c>
      <c r="J26" s="112">
        <v>0.5</v>
      </c>
      <c r="K26" s="116" t="s">
        <v>1151</v>
      </c>
      <c r="L26" s="113" t="s">
        <v>1416</v>
      </c>
    </row>
    <row r="27" spans="1:12">
      <c r="A27" s="114">
        <v>2018</v>
      </c>
      <c r="B27" s="114">
        <v>2021</v>
      </c>
      <c r="C27" s="114" t="s">
        <v>1396</v>
      </c>
      <c r="D27" s="114" t="s">
        <v>1452</v>
      </c>
      <c r="E27" s="114" t="s">
        <v>1112</v>
      </c>
      <c r="F27" s="114" t="s">
        <v>1175</v>
      </c>
      <c r="G27" s="116" t="s">
        <v>1213</v>
      </c>
      <c r="H27" s="111">
        <v>185</v>
      </c>
      <c r="I27" s="111">
        <v>259</v>
      </c>
      <c r="J27" s="112">
        <v>0.5</v>
      </c>
      <c r="K27" s="110" t="s">
        <v>1172</v>
      </c>
      <c r="L27" s="113" t="s">
        <v>1475</v>
      </c>
    </row>
    <row r="28" spans="1:12">
      <c r="A28" s="114">
        <v>2018</v>
      </c>
      <c r="B28" s="114">
        <v>2021</v>
      </c>
      <c r="C28" s="114" t="s">
        <v>1396</v>
      </c>
      <c r="D28" s="114" t="s">
        <v>1451</v>
      </c>
      <c r="E28" s="114" t="s">
        <v>1112</v>
      </c>
      <c r="F28" s="114" t="s">
        <v>1175</v>
      </c>
      <c r="G28" s="116" t="s">
        <v>1191</v>
      </c>
      <c r="H28" s="111">
        <v>185</v>
      </c>
      <c r="I28" s="111">
        <v>259</v>
      </c>
      <c r="J28" s="112">
        <v>0.5</v>
      </c>
      <c r="K28" s="117" t="s">
        <v>1189</v>
      </c>
      <c r="L28" s="113" t="s">
        <v>1476</v>
      </c>
    </row>
    <row r="29" spans="1:12">
      <c r="A29" s="114">
        <v>2018</v>
      </c>
      <c r="B29" s="114">
        <v>2021</v>
      </c>
      <c r="C29" s="114" t="s">
        <v>1396</v>
      </c>
      <c r="D29" s="114" t="s">
        <v>1450</v>
      </c>
      <c r="E29" s="114" t="s">
        <v>1112</v>
      </c>
      <c r="F29" s="114" t="s">
        <v>1175</v>
      </c>
      <c r="G29" s="114" t="s">
        <v>1185</v>
      </c>
      <c r="H29" s="111">
        <v>75</v>
      </c>
      <c r="I29" s="111">
        <v>99</v>
      </c>
      <c r="J29" s="112">
        <v>0.5</v>
      </c>
      <c r="K29" s="110" t="s">
        <v>1157</v>
      </c>
      <c r="L29" s="113" t="s">
        <v>1449</v>
      </c>
    </row>
    <row r="30" spans="1:12">
      <c r="A30" s="114">
        <v>2018</v>
      </c>
      <c r="B30" s="114">
        <v>2021</v>
      </c>
      <c r="C30" s="114" t="s">
        <v>1396</v>
      </c>
      <c r="D30" s="114" t="s">
        <v>1415</v>
      </c>
      <c r="E30" s="114" t="s">
        <v>1112</v>
      </c>
      <c r="F30" s="114" t="s">
        <v>1147</v>
      </c>
      <c r="G30" s="114" t="s">
        <v>1146</v>
      </c>
      <c r="H30" s="111">
        <v>429</v>
      </c>
      <c r="I30" s="111">
        <v>599</v>
      </c>
      <c r="J30" s="112">
        <v>0.5</v>
      </c>
      <c r="K30" s="110" t="s">
        <v>1144</v>
      </c>
      <c r="L30" s="113" t="s">
        <v>1414</v>
      </c>
    </row>
    <row r="31" spans="1:12">
      <c r="A31" s="114">
        <v>2018</v>
      </c>
      <c r="B31" s="114">
        <v>2021</v>
      </c>
      <c r="C31" s="114" t="s">
        <v>1396</v>
      </c>
      <c r="D31" s="114" t="s">
        <v>1448</v>
      </c>
      <c r="E31" s="114" t="s">
        <v>1112</v>
      </c>
      <c r="F31" s="114" t="s">
        <v>1175</v>
      </c>
      <c r="G31" s="116" t="s">
        <v>1447</v>
      </c>
      <c r="H31" s="111">
        <v>185</v>
      </c>
      <c r="I31" s="111">
        <v>259</v>
      </c>
      <c r="J31" s="112">
        <v>0.5</v>
      </c>
      <c r="K31" s="110" t="s">
        <v>1172</v>
      </c>
      <c r="L31" s="113" t="s">
        <v>1477</v>
      </c>
    </row>
    <row r="32" spans="1:12">
      <c r="A32" s="114">
        <v>2018</v>
      </c>
      <c r="B32" s="114">
        <v>2021</v>
      </c>
      <c r="C32" s="114" t="s">
        <v>1396</v>
      </c>
      <c r="D32" s="114" t="s">
        <v>1445</v>
      </c>
      <c r="E32" s="114" t="s">
        <v>1112</v>
      </c>
      <c r="F32" s="114" t="s">
        <v>1175</v>
      </c>
      <c r="G32" s="116" t="s">
        <v>1444</v>
      </c>
      <c r="H32" s="111">
        <v>185</v>
      </c>
      <c r="I32" s="111">
        <v>259</v>
      </c>
      <c r="J32" s="112">
        <v>0.5</v>
      </c>
      <c r="K32" s="110" t="s">
        <v>1172</v>
      </c>
      <c r="L32" s="113" t="s">
        <v>1478</v>
      </c>
    </row>
    <row r="33" spans="1:12">
      <c r="A33" s="114">
        <v>2018</v>
      </c>
      <c r="B33" s="114">
        <v>2021</v>
      </c>
      <c r="C33" s="114" t="s">
        <v>1396</v>
      </c>
      <c r="D33" s="114" t="s">
        <v>1442</v>
      </c>
      <c r="E33" s="114" t="s">
        <v>1112</v>
      </c>
      <c r="F33" s="114" t="s">
        <v>1175</v>
      </c>
      <c r="G33" s="116" t="s">
        <v>1174</v>
      </c>
      <c r="H33" s="111">
        <v>325</v>
      </c>
      <c r="I33" s="111">
        <v>449</v>
      </c>
      <c r="J33" s="112">
        <v>0.5</v>
      </c>
      <c r="K33" s="110" t="s">
        <v>1172</v>
      </c>
      <c r="L33" s="113" t="s">
        <v>1441</v>
      </c>
    </row>
    <row r="34" spans="1:12">
      <c r="A34" s="114">
        <v>2018</v>
      </c>
      <c r="B34" s="114">
        <v>2021</v>
      </c>
      <c r="C34" s="114" t="s">
        <v>1396</v>
      </c>
      <c r="D34" s="114" t="s">
        <v>1440</v>
      </c>
      <c r="E34" s="114" t="s">
        <v>1112</v>
      </c>
      <c r="F34" s="114" t="s">
        <v>1175</v>
      </c>
      <c r="G34" s="114" t="s">
        <v>1210</v>
      </c>
      <c r="H34" s="111">
        <v>185</v>
      </c>
      <c r="I34" s="111">
        <v>259</v>
      </c>
      <c r="J34" s="112">
        <v>0.5</v>
      </c>
      <c r="K34" s="110" t="s">
        <v>1172</v>
      </c>
      <c r="L34" s="113" t="s">
        <v>1479</v>
      </c>
    </row>
    <row r="35" spans="1:12">
      <c r="A35" s="114">
        <v>2018</v>
      </c>
      <c r="B35" s="114">
        <v>2021</v>
      </c>
      <c r="C35" s="110" t="s">
        <v>1396</v>
      </c>
      <c r="D35" s="110" t="s">
        <v>1404</v>
      </c>
      <c r="E35" s="110" t="s">
        <v>1112</v>
      </c>
      <c r="F35" s="114" t="s">
        <v>1111</v>
      </c>
      <c r="G35" s="110" t="s">
        <v>1117</v>
      </c>
      <c r="H35" s="111">
        <v>185</v>
      </c>
      <c r="I35" s="111">
        <v>259</v>
      </c>
      <c r="J35" s="112">
        <v>0.5</v>
      </c>
      <c r="K35" s="110" t="s">
        <v>1108</v>
      </c>
      <c r="L35" s="113" t="s">
        <v>1494</v>
      </c>
    </row>
    <row r="36" spans="1:12">
      <c r="A36" s="114">
        <v>2018</v>
      </c>
      <c r="B36" s="114">
        <v>2021</v>
      </c>
      <c r="C36" s="110" t="s">
        <v>1396</v>
      </c>
      <c r="D36" s="110" t="s">
        <v>1403</v>
      </c>
      <c r="E36" s="110" t="s">
        <v>1112</v>
      </c>
      <c r="F36" s="114" t="s">
        <v>1111</v>
      </c>
      <c r="G36" s="110" t="s">
        <v>1110</v>
      </c>
      <c r="H36" s="111">
        <v>185</v>
      </c>
      <c r="I36" s="111">
        <v>259</v>
      </c>
      <c r="J36" s="112">
        <v>0.5</v>
      </c>
      <c r="K36" s="110" t="s">
        <v>1108</v>
      </c>
      <c r="L36" s="113" t="s">
        <v>1495</v>
      </c>
    </row>
    <row r="37" spans="1:12">
      <c r="A37" s="114">
        <v>2022</v>
      </c>
      <c r="B37" s="114">
        <v>2022</v>
      </c>
      <c r="C37" s="114" t="s">
        <v>1396</v>
      </c>
      <c r="D37" s="114" t="s">
        <v>1402</v>
      </c>
      <c r="E37" s="110" t="s">
        <v>1112</v>
      </c>
      <c r="F37" s="114" t="s">
        <v>1111</v>
      </c>
      <c r="G37" s="115" t="s">
        <v>1129</v>
      </c>
      <c r="H37" s="111">
        <v>185</v>
      </c>
      <c r="I37" s="111">
        <v>259</v>
      </c>
      <c r="J37" s="112">
        <v>0.5</v>
      </c>
      <c r="K37" s="110" t="s">
        <v>1108</v>
      </c>
      <c r="L37" s="113" t="s">
        <v>1496</v>
      </c>
    </row>
    <row r="38" spans="1:12">
      <c r="A38" s="114">
        <v>2022</v>
      </c>
      <c r="B38" s="114">
        <v>2022</v>
      </c>
      <c r="C38" s="114" t="s">
        <v>1396</v>
      </c>
      <c r="D38" s="114" t="s">
        <v>1413</v>
      </c>
      <c r="E38" s="110" t="s">
        <v>1112</v>
      </c>
      <c r="F38" s="114" t="s">
        <v>1147</v>
      </c>
      <c r="G38" s="114" t="s">
        <v>1300</v>
      </c>
      <c r="H38" s="111">
        <v>185</v>
      </c>
      <c r="I38" s="111">
        <v>259</v>
      </c>
      <c r="J38" s="112">
        <v>0.5</v>
      </c>
      <c r="K38" s="110" t="s">
        <v>1151</v>
      </c>
      <c r="L38" s="113" t="s">
        <v>1491</v>
      </c>
    </row>
    <row r="39" spans="1:12">
      <c r="A39" s="114">
        <v>2022</v>
      </c>
      <c r="B39" s="114">
        <v>2022</v>
      </c>
      <c r="C39" s="114" t="s">
        <v>1396</v>
      </c>
      <c r="D39" s="114" t="s">
        <v>1412</v>
      </c>
      <c r="E39" s="110" t="s">
        <v>1112</v>
      </c>
      <c r="F39" s="114" t="s">
        <v>1147</v>
      </c>
      <c r="G39" s="114" t="s">
        <v>1153</v>
      </c>
      <c r="H39" s="111">
        <v>185</v>
      </c>
      <c r="I39" s="111">
        <v>259</v>
      </c>
      <c r="J39" s="112">
        <v>0.5</v>
      </c>
      <c r="K39" s="110" t="s">
        <v>1151</v>
      </c>
      <c r="L39" s="113" t="s">
        <v>1492</v>
      </c>
    </row>
    <row r="40" spans="1:12">
      <c r="A40" s="114">
        <v>2022</v>
      </c>
      <c r="B40" s="114">
        <v>2022</v>
      </c>
      <c r="C40" s="114" t="s">
        <v>1396</v>
      </c>
      <c r="D40" s="114" t="s">
        <v>1439</v>
      </c>
      <c r="E40" s="110" t="s">
        <v>1112</v>
      </c>
      <c r="F40" s="118" t="s">
        <v>1175</v>
      </c>
      <c r="G40" s="114" t="s">
        <v>1438</v>
      </c>
      <c r="H40" s="111">
        <v>185</v>
      </c>
      <c r="I40" s="111">
        <v>259</v>
      </c>
      <c r="J40" s="112">
        <v>0.5</v>
      </c>
      <c r="K40" s="110" t="s">
        <v>1172</v>
      </c>
      <c r="L40" s="113" t="s">
        <v>1480</v>
      </c>
    </row>
    <row r="41" spans="1:12">
      <c r="A41" s="114">
        <v>2022</v>
      </c>
      <c r="B41" s="114">
        <v>2022</v>
      </c>
      <c r="C41" s="114" t="s">
        <v>1396</v>
      </c>
      <c r="D41" s="114" t="s">
        <v>1436</v>
      </c>
      <c r="E41" s="110" t="s">
        <v>1112</v>
      </c>
      <c r="F41" s="118" t="s">
        <v>1175</v>
      </c>
      <c r="G41" s="114" t="s">
        <v>1435</v>
      </c>
      <c r="H41" s="111">
        <v>225</v>
      </c>
      <c r="I41" s="111">
        <v>319</v>
      </c>
      <c r="J41" s="112">
        <v>0.5</v>
      </c>
      <c r="K41" s="110" t="s">
        <v>1172</v>
      </c>
      <c r="L41" s="113" t="s">
        <v>1481</v>
      </c>
    </row>
    <row r="42" spans="1:12">
      <c r="A42" s="114">
        <v>2022</v>
      </c>
      <c r="B42" s="114">
        <v>2022</v>
      </c>
      <c r="C42" s="114" t="s">
        <v>1396</v>
      </c>
      <c r="D42" s="114" t="s">
        <v>1433</v>
      </c>
      <c r="E42" s="110" t="s">
        <v>1112</v>
      </c>
      <c r="F42" s="118" t="s">
        <v>1175</v>
      </c>
      <c r="G42" s="114" t="s">
        <v>1432</v>
      </c>
      <c r="H42" s="111">
        <v>185</v>
      </c>
      <c r="I42" s="111">
        <v>259</v>
      </c>
      <c r="J42" s="112">
        <v>0.5</v>
      </c>
      <c r="K42" s="110" t="s">
        <v>1172</v>
      </c>
      <c r="L42" s="113" t="s">
        <v>1482</v>
      </c>
    </row>
    <row r="43" spans="1:12">
      <c r="A43" s="114">
        <v>2022</v>
      </c>
      <c r="B43" s="114">
        <v>2022</v>
      </c>
      <c r="C43" s="114" t="s">
        <v>1396</v>
      </c>
      <c r="D43" s="114" t="s">
        <v>1430</v>
      </c>
      <c r="E43" s="110" t="s">
        <v>1112</v>
      </c>
      <c r="F43" s="118" t="s">
        <v>1175</v>
      </c>
      <c r="G43" s="114" t="s">
        <v>1213</v>
      </c>
      <c r="H43" s="111">
        <v>185</v>
      </c>
      <c r="I43" s="111">
        <v>259</v>
      </c>
      <c r="J43" s="112">
        <v>0.5</v>
      </c>
      <c r="K43" s="110" t="s">
        <v>1172</v>
      </c>
      <c r="L43" s="113" t="s">
        <v>1483</v>
      </c>
    </row>
    <row r="44" spans="1:12">
      <c r="A44" s="114">
        <v>2022</v>
      </c>
      <c r="B44" s="114">
        <v>2022</v>
      </c>
      <c r="C44" s="114" t="s">
        <v>1396</v>
      </c>
      <c r="D44" s="114" t="s">
        <v>1429</v>
      </c>
      <c r="E44" s="110" t="s">
        <v>1112</v>
      </c>
      <c r="F44" s="114" t="s">
        <v>1175</v>
      </c>
      <c r="G44" s="114" t="s">
        <v>1185</v>
      </c>
      <c r="H44" s="111">
        <v>75</v>
      </c>
      <c r="I44" s="111">
        <v>99</v>
      </c>
      <c r="J44" s="112">
        <v>0.5</v>
      </c>
      <c r="K44" s="110" t="s">
        <v>1157</v>
      </c>
      <c r="L44" s="113" t="s">
        <v>1484</v>
      </c>
    </row>
    <row r="45" spans="1:12">
      <c r="A45" s="114">
        <v>2022</v>
      </c>
      <c r="B45" s="114">
        <v>2022</v>
      </c>
      <c r="C45" s="110" t="s">
        <v>1396</v>
      </c>
      <c r="D45" s="110" t="s">
        <v>1401</v>
      </c>
      <c r="E45" s="110" t="s">
        <v>1112</v>
      </c>
      <c r="F45" s="114" t="s">
        <v>1111</v>
      </c>
      <c r="G45" s="110" t="s">
        <v>1282</v>
      </c>
      <c r="H45" s="111">
        <v>185</v>
      </c>
      <c r="I45" s="111">
        <v>259</v>
      </c>
      <c r="J45" s="112">
        <v>0.5</v>
      </c>
      <c r="K45" s="110" t="s">
        <v>1108</v>
      </c>
      <c r="L45" s="113" t="s">
        <v>1497</v>
      </c>
    </row>
    <row r="46" spans="1:12">
      <c r="A46" s="114">
        <v>2022</v>
      </c>
      <c r="B46" s="114">
        <v>2022</v>
      </c>
      <c r="C46" s="114" t="s">
        <v>1396</v>
      </c>
      <c r="D46" s="114" t="s">
        <v>1428</v>
      </c>
      <c r="E46" s="110" t="s">
        <v>1112</v>
      </c>
      <c r="F46" s="114" t="s">
        <v>1175</v>
      </c>
      <c r="G46" s="114" t="s">
        <v>1210</v>
      </c>
      <c r="H46" s="111">
        <v>185</v>
      </c>
      <c r="I46" s="111">
        <v>259</v>
      </c>
      <c r="J46" s="112">
        <v>0.5</v>
      </c>
      <c r="K46" s="110" t="s">
        <v>1172</v>
      </c>
      <c r="L46" s="113" t="s">
        <v>1546</v>
      </c>
    </row>
    <row r="47" spans="1:12">
      <c r="A47" s="114">
        <v>2022</v>
      </c>
      <c r="B47" s="114">
        <v>2022</v>
      </c>
      <c r="C47" s="110" t="s">
        <v>1396</v>
      </c>
      <c r="D47" s="110" t="s">
        <v>1400</v>
      </c>
      <c r="E47" s="110" t="s">
        <v>1112</v>
      </c>
      <c r="F47" s="114" t="s">
        <v>1111</v>
      </c>
      <c r="G47" s="110" t="s">
        <v>1278</v>
      </c>
      <c r="H47" s="111">
        <v>185</v>
      </c>
      <c r="I47" s="111">
        <v>259</v>
      </c>
      <c r="J47" s="112">
        <v>0.5</v>
      </c>
      <c r="K47" s="110" t="s">
        <v>1108</v>
      </c>
      <c r="L47" s="113" t="s">
        <v>1399</v>
      </c>
    </row>
    <row r="48" spans="1:12">
      <c r="A48" s="114">
        <v>2022</v>
      </c>
      <c r="B48" s="114">
        <v>2022</v>
      </c>
      <c r="C48" s="114" t="s">
        <v>1396</v>
      </c>
      <c r="D48" s="114" t="s">
        <v>1398</v>
      </c>
      <c r="E48" s="110" t="s">
        <v>1112</v>
      </c>
      <c r="F48" s="114" t="s">
        <v>1111</v>
      </c>
      <c r="G48" s="114" t="s">
        <v>1117</v>
      </c>
      <c r="H48" s="111">
        <v>185</v>
      </c>
      <c r="I48" s="111">
        <v>259</v>
      </c>
      <c r="J48" s="112">
        <v>0.5</v>
      </c>
      <c r="K48" s="110" t="s">
        <v>1108</v>
      </c>
      <c r="L48" s="113" t="s">
        <v>1498</v>
      </c>
    </row>
    <row r="49" spans="1:12">
      <c r="A49" s="114">
        <v>2022</v>
      </c>
      <c r="B49" s="114">
        <v>2022</v>
      </c>
      <c r="C49" s="114" t="s">
        <v>1396</v>
      </c>
      <c r="D49" s="114" t="s">
        <v>1397</v>
      </c>
      <c r="E49" s="110" t="s">
        <v>1112</v>
      </c>
      <c r="F49" s="114" t="s">
        <v>1111</v>
      </c>
      <c r="G49" s="114" t="s">
        <v>1110</v>
      </c>
      <c r="H49" s="111">
        <v>185</v>
      </c>
      <c r="I49" s="111">
        <v>259</v>
      </c>
      <c r="J49" s="112">
        <v>0.5</v>
      </c>
      <c r="K49" s="110" t="s">
        <v>1108</v>
      </c>
      <c r="L49" s="113" t="s">
        <v>1499</v>
      </c>
    </row>
    <row r="50" spans="1:12">
      <c r="A50" s="114">
        <v>2022</v>
      </c>
      <c r="B50" s="114">
        <v>2022</v>
      </c>
      <c r="C50" s="110" t="s">
        <v>1396</v>
      </c>
      <c r="D50" s="110" t="s">
        <v>1395</v>
      </c>
      <c r="E50" s="110" t="s">
        <v>1112</v>
      </c>
      <c r="F50" s="114" t="s">
        <v>1111</v>
      </c>
      <c r="G50" s="110" t="s">
        <v>1273</v>
      </c>
      <c r="H50" s="111">
        <v>185</v>
      </c>
      <c r="I50" s="111">
        <v>259</v>
      </c>
      <c r="J50" s="112">
        <v>0.5</v>
      </c>
      <c r="K50" s="110" t="s">
        <v>1108</v>
      </c>
      <c r="L50" s="113" t="s">
        <v>1500</v>
      </c>
    </row>
    <row r="51" spans="1:12">
      <c r="A51" s="114">
        <v>2018</v>
      </c>
      <c r="B51" s="114">
        <v>2021</v>
      </c>
      <c r="C51" s="114" t="s">
        <v>1396</v>
      </c>
      <c r="D51" s="114" t="s">
        <v>1427</v>
      </c>
      <c r="E51" s="110" t="s">
        <v>1112</v>
      </c>
      <c r="F51" s="114" t="s">
        <v>1175</v>
      </c>
      <c r="G51" s="114" t="s">
        <v>1426</v>
      </c>
      <c r="H51" s="111">
        <v>185</v>
      </c>
      <c r="I51" s="111">
        <v>259</v>
      </c>
      <c r="J51" s="112">
        <v>0.5</v>
      </c>
      <c r="K51" s="110" t="s">
        <v>1172</v>
      </c>
      <c r="L51" s="113" t="s">
        <v>1490</v>
      </c>
    </row>
    <row r="52" spans="1:12">
      <c r="A52" s="114">
        <v>2018</v>
      </c>
      <c r="B52" s="114">
        <v>2021</v>
      </c>
      <c r="C52" s="114" t="s">
        <v>1396</v>
      </c>
      <c r="D52" s="114" t="s">
        <v>1424</v>
      </c>
      <c r="E52" s="110" t="s">
        <v>1112</v>
      </c>
      <c r="F52" s="114" t="s">
        <v>1175</v>
      </c>
      <c r="G52" s="114" t="s">
        <v>1423</v>
      </c>
      <c r="H52" s="111">
        <v>185</v>
      </c>
      <c r="I52" s="111">
        <v>259</v>
      </c>
      <c r="J52" s="112">
        <v>0.5</v>
      </c>
      <c r="K52" s="110" t="s">
        <v>1172</v>
      </c>
      <c r="L52" s="113" t="s">
        <v>1489</v>
      </c>
    </row>
    <row r="53" spans="1:12">
      <c r="A53" s="114">
        <v>2011</v>
      </c>
      <c r="B53" s="114">
        <v>2018</v>
      </c>
      <c r="C53" s="114" t="s">
        <v>1375</v>
      </c>
      <c r="D53" s="114" t="s">
        <v>1385</v>
      </c>
      <c r="E53" s="110" t="s">
        <v>1112</v>
      </c>
      <c r="F53" s="114" t="s">
        <v>1147</v>
      </c>
      <c r="G53" s="114" t="s">
        <v>1168</v>
      </c>
      <c r="H53" s="111">
        <v>75</v>
      </c>
      <c r="I53" s="111">
        <v>97.5</v>
      </c>
      <c r="J53" s="112">
        <v>0.5</v>
      </c>
      <c r="K53" s="110" t="s">
        <v>1163</v>
      </c>
      <c r="L53" s="113" t="s">
        <v>1384</v>
      </c>
    </row>
    <row r="54" spans="1:12">
      <c r="A54" s="114">
        <v>2011</v>
      </c>
      <c r="B54" s="114">
        <v>2018</v>
      </c>
      <c r="C54" s="114" t="s">
        <v>1375</v>
      </c>
      <c r="D54" s="114" t="s">
        <v>1383</v>
      </c>
      <c r="E54" s="110" t="s">
        <v>1112</v>
      </c>
      <c r="F54" s="114" t="s">
        <v>1147</v>
      </c>
      <c r="G54" s="114" t="s">
        <v>1165</v>
      </c>
      <c r="H54" s="111">
        <v>680.6</v>
      </c>
      <c r="I54" s="111">
        <v>884.78</v>
      </c>
      <c r="J54" s="112">
        <v>0.5</v>
      </c>
      <c r="K54" s="110" t="s">
        <v>1163</v>
      </c>
      <c r="L54" s="113" t="s">
        <v>1382</v>
      </c>
    </row>
    <row r="55" spans="1:12">
      <c r="A55" s="114">
        <v>2008</v>
      </c>
      <c r="B55" s="114">
        <v>2018</v>
      </c>
      <c r="C55" s="114" t="s">
        <v>1375</v>
      </c>
      <c r="D55" s="114" t="s">
        <v>1394</v>
      </c>
      <c r="E55" s="110" t="s">
        <v>1112</v>
      </c>
      <c r="F55" s="114" t="s">
        <v>1175</v>
      </c>
      <c r="G55" s="114" t="s">
        <v>1181</v>
      </c>
      <c r="H55" s="111">
        <v>125</v>
      </c>
      <c r="I55" s="111">
        <v>162.5</v>
      </c>
      <c r="J55" s="112">
        <v>0.5</v>
      </c>
      <c r="K55" s="110" t="s">
        <v>1179</v>
      </c>
      <c r="L55" s="113" t="s">
        <v>1393</v>
      </c>
    </row>
    <row r="56" spans="1:12">
      <c r="A56" s="114">
        <v>2008</v>
      </c>
      <c r="B56" s="114">
        <v>2018</v>
      </c>
      <c r="C56" s="114" t="s">
        <v>1375</v>
      </c>
      <c r="D56" s="114" t="s">
        <v>1392</v>
      </c>
      <c r="E56" s="110" t="s">
        <v>1112</v>
      </c>
      <c r="F56" s="114" t="s">
        <v>1175</v>
      </c>
      <c r="G56" s="114" t="s">
        <v>1391</v>
      </c>
      <c r="H56" s="111">
        <v>96.6</v>
      </c>
      <c r="I56" s="111">
        <v>125.58</v>
      </c>
      <c r="J56" s="112">
        <v>0.5</v>
      </c>
      <c r="K56" s="110" t="s">
        <v>1172</v>
      </c>
      <c r="L56" s="113" t="s">
        <v>1501</v>
      </c>
    </row>
    <row r="57" spans="1:12">
      <c r="A57" s="114">
        <v>2008</v>
      </c>
      <c r="B57" s="114">
        <v>2018</v>
      </c>
      <c r="C57" s="114" t="s">
        <v>1375</v>
      </c>
      <c r="D57" s="114" t="s">
        <v>1372</v>
      </c>
      <c r="E57" s="110" t="s">
        <v>1112</v>
      </c>
      <c r="F57" s="114" t="s">
        <v>1175</v>
      </c>
      <c r="G57" s="116" t="s">
        <v>1326</v>
      </c>
      <c r="H57" s="111">
        <v>225</v>
      </c>
      <c r="I57" s="111">
        <v>319</v>
      </c>
      <c r="J57" s="112">
        <v>0.5</v>
      </c>
      <c r="K57" s="110" t="s">
        <v>1172</v>
      </c>
      <c r="L57" s="113" t="s">
        <v>1502</v>
      </c>
    </row>
    <row r="58" spans="1:12">
      <c r="A58" s="114">
        <v>2008</v>
      </c>
      <c r="B58" s="114">
        <v>2018</v>
      </c>
      <c r="C58" s="114" t="s">
        <v>1370</v>
      </c>
      <c r="D58" s="114" t="s">
        <v>1372</v>
      </c>
      <c r="E58" s="110" t="s">
        <v>1112</v>
      </c>
      <c r="F58" s="114" t="s">
        <v>1175</v>
      </c>
      <c r="G58" s="116" t="s">
        <v>1326</v>
      </c>
      <c r="H58" s="111">
        <v>225</v>
      </c>
      <c r="I58" s="111">
        <v>319</v>
      </c>
      <c r="J58" s="112">
        <v>0.5</v>
      </c>
      <c r="K58" s="110" t="s">
        <v>1172</v>
      </c>
      <c r="L58" s="113" t="s">
        <v>1502</v>
      </c>
    </row>
    <row r="59" spans="1:12">
      <c r="A59" s="114">
        <v>2008</v>
      </c>
      <c r="B59" s="114">
        <v>2018</v>
      </c>
      <c r="C59" s="114" t="s">
        <v>1375</v>
      </c>
      <c r="D59" s="114" t="s">
        <v>1389</v>
      </c>
      <c r="E59" s="110" t="s">
        <v>1112</v>
      </c>
      <c r="F59" s="114" t="s">
        <v>1175</v>
      </c>
      <c r="G59" s="114" t="s">
        <v>1210</v>
      </c>
      <c r="H59" s="111">
        <v>225</v>
      </c>
      <c r="I59" s="111">
        <v>319</v>
      </c>
      <c r="J59" s="112">
        <v>0.5</v>
      </c>
      <c r="K59" s="110" t="s">
        <v>1172</v>
      </c>
      <c r="L59" s="113" t="s">
        <v>1503</v>
      </c>
    </row>
    <row r="60" spans="1:12">
      <c r="A60" s="114">
        <v>2008</v>
      </c>
      <c r="B60" s="114">
        <v>2018</v>
      </c>
      <c r="C60" s="114" t="s">
        <v>1375</v>
      </c>
      <c r="D60" s="114" t="s">
        <v>1388</v>
      </c>
      <c r="E60" s="110" t="s">
        <v>1112</v>
      </c>
      <c r="F60" s="114" t="s">
        <v>1175</v>
      </c>
      <c r="G60" s="114" t="s">
        <v>1387</v>
      </c>
      <c r="H60" s="111">
        <v>96.6</v>
      </c>
      <c r="I60" s="111">
        <v>125.58</v>
      </c>
      <c r="J60" s="112">
        <v>0.5</v>
      </c>
      <c r="K60" s="110" t="s">
        <v>1172</v>
      </c>
      <c r="L60" s="113" t="s">
        <v>1386</v>
      </c>
    </row>
    <row r="61" spans="1:12">
      <c r="A61" s="114">
        <v>2008</v>
      </c>
      <c r="B61" s="114">
        <v>2017</v>
      </c>
      <c r="C61" s="114" t="s">
        <v>1375</v>
      </c>
      <c r="D61" s="110" t="s">
        <v>1381</v>
      </c>
      <c r="E61" s="110" t="s">
        <v>1112</v>
      </c>
      <c r="F61" s="114" t="s">
        <v>1111</v>
      </c>
      <c r="G61" s="115" t="s">
        <v>1129</v>
      </c>
      <c r="H61" s="111">
        <v>185</v>
      </c>
      <c r="I61" s="111">
        <v>259</v>
      </c>
      <c r="J61" s="112">
        <v>0.5</v>
      </c>
      <c r="K61" s="110" t="s">
        <v>1108</v>
      </c>
      <c r="L61" s="113" t="s">
        <v>1380</v>
      </c>
    </row>
    <row r="62" spans="1:12">
      <c r="A62" s="114">
        <v>2008</v>
      </c>
      <c r="B62" s="114">
        <v>2017</v>
      </c>
      <c r="C62" s="114" t="s">
        <v>1375</v>
      </c>
      <c r="D62" s="110" t="s">
        <v>1369</v>
      </c>
      <c r="E62" s="110" t="s">
        <v>1112</v>
      </c>
      <c r="F62" s="114" t="s">
        <v>1111</v>
      </c>
      <c r="G62" s="114" t="s">
        <v>1125</v>
      </c>
      <c r="H62" s="111">
        <v>185</v>
      </c>
      <c r="I62" s="111">
        <v>259</v>
      </c>
      <c r="J62" s="112">
        <v>0.5</v>
      </c>
      <c r="K62" s="110" t="s">
        <v>1108</v>
      </c>
      <c r="L62" s="113" t="s">
        <v>1368</v>
      </c>
    </row>
    <row r="63" spans="1:12">
      <c r="A63" s="114">
        <v>2008</v>
      </c>
      <c r="B63" s="114">
        <v>2017</v>
      </c>
      <c r="C63" s="114" t="s">
        <v>1370</v>
      </c>
      <c r="D63" s="110" t="s">
        <v>1369</v>
      </c>
      <c r="E63" s="110" t="s">
        <v>1112</v>
      </c>
      <c r="F63" s="114" t="s">
        <v>1111</v>
      </c>
      <c r="G63" s="114" t="s">
        <v>1125</v>
      </c>
      <c r="H63" s="111">
        <v>185</v>
      </c>
      <c r="I63" s="111">
        <v>259</v>
      </c>
      <c r="J63" s="112">
        <v>0.5</v>
      </c>
      <c r="K63" s="110" t="s">
        <v>1108</v>
      </c>
      <c r="L63" s="113" t="s">
        <v>1368</v>
      </c>
    </row>
    <row r="64" spans="1:12">
      <c r="A64" s="114">
        <v>2008</v>
      </c>
      <c r="B64" s="114">
        <v>2017</v>
      </c>
      <c r="C64" s="114" t="s">
        <v>1375</v>
      </c>
      <c r="D64" s="110" t="s">
        <v>1379</v>
      </c>
      <c r="E64" s="110" t="s">
        <v>1112</v>
      </c>
      <c r="F64" s="114" t="s">
        <v>1111</v>
      </c>
      <c r="G64" s="114" t="s">
        <v>1121</v>
      </c>
      <c r="H64" s="111">
        <v>185</v>
      </c>
      <c r="I64" s="111">
        <v>259</v>
      </c>
      <c r="J64" s="112">
        <v>0.5</v>
      </c>
      <c r="K64" s="110" t="s">
        <v>1108</v>
      </c>
      <c r="L64" s="113" t="s">
        <v>1378</v>
      </c>
    </row>
    <row r="65" spans="1:12">
      <c r="A65" s="114">
        <v>2008</v>
      </c>
      <c r="B65" s="114">
        <v>2017</v>
      </c>
      <c r="C65" s="114" t="s">
        <v>1375</v>
      </c>
      <c r="D65" s="110" t="s">
        <v>1377</v>
      </c>
      <c r="E65" s="110" t="s">
        <v>1112</v>
      </c>
      <c r="F65" s="114" t="s">
        <v>1111</v>
      </c>
      <c r="G65" s="114" t="s">
        <v>1117</v>
      </c>
      <c r="H65" s="111">
        <v>185</v>
      </c>
      <c r="I65" s="111">
        <v>259</v>
      </c>
      <c r="J65" s="112">
        <v>0.5</v>
      </c>
      <c r="K65" s="110" t="s">
        <v>1108</v>
      </c>
      <c r="L65" s="113" t="s">
        <v>1376</v>
      </c>
    </row>
    <row r="66" spans="1:12">
      <c r="A66" s="114">
        <v>2016</v>
      </c>
      <c r="B66" s="114">
        <v>2017</v>
      </c>
      <c r="C66" s="114" t="s">
        <v>1375</v>
      </c>
      <c r="D66" s="110" t="s">
        <v>1374</v>
      </c>
      <c r="E66" s="110" t="s">
        <v>1230</v>
      </c>
      <c r="F66" s="114" t="s">
        <v>1175</v>
      </c>
      <c r="G66" s="116" t="s">
        <v>1229</v>
      </c>
      <c r="H66" s="111">
        <v>225</v>
      </c>
      <c r="I66" s="111">
        <v>319</v>
      </c>
      <c r="J66" s="112">
        <v>0.5</v>
      </c>
      <c r="K66" s="110" t="s">
        <v>1227</v>
      </c>
      <c r="L66" s="113" t="s">
        <v>1373</v>
      </c>
    </row>
    <row r="67" spans="1:12">
      <c r="A67" s="110">
        <v>2017</v>
      </c>
      <c r="B67" s="110">
        <v>2022</v>
      </c>
      <c r="C67" s="110" t="s">
        <v>1355</v>
      </c>
      <c r="D67" s="110" t="s">
        <v>1354</v>
      </c>
      <c r="E67" s="110" t="s">
        <v>1112</v>
      </c>
      <c r="F67" s="114" t="s">
        <v>1111</v>
      </c>
      <c r="G67" s="114" t="s">
        <v>1121</v>
      </c>
      <c r="H67" s="111">
        <v>185</v>
      </c>
      <c r="I67" s="111">
        <v>259</v>
      </c>
      <c r="J67" s="112">
        <v>0.5</v>
      </c>
      <c r="K67" s="110" t="s">
        <v>1108</v>
      </c>
      <c r="L67" s="113" t="s">
        <v>1353</v>
      </c>
    </row>
    <row r="68" spans="1:12">
      <c r="A68" s="110">
        <v>2014</v>
      </c>
      <c r="B68" s="110">
        <v>2022</v>
      </c>
      <c r="C68" s="110" t="s">
        <v>466</v>
      </c>
      <c r="D68" s="110" t="s">
        <v>1363</v>
      </c>
      <c r="E68" s="110" t="s">
        <v>1112</v>
      </c>
      <c r="F68" s="114" t="s">
        <v>1111</v>
      </c>
      <c r="G68" s="115" t="s">
        <v>1129</v>
      </c>
      <c r="H68" s="111">
        <v>185</v>
      </c>
      <c r="I68" s="111">
        <v>259</v>
      </c>
      <c r="J68" s="112">
        <v>0.5</v>
      </c>
      <c r="K68" s="110" t="s">
        <v>1108</v>
      </c>
      <c r="L68" s="113" t="s">
        <v>1504</v>
      </c>
    </row>
    <row r="69" spans="1:12">
      <c r="A69" s="110">
        <v>2014</v>
      </c>
      <c r="B69" s="110">
        <v>2020</v>
      </c>
      <c r="C69" s="110" t="s">
        <v>466</v>
      </c>
      <c r="D69" s="114" t="s">
        <v>1367</v>
      </c>
      <c r="E69" s="110" t="s">
        <v>1112</v>
      </c>
      <c r="F69" s="114" t="s">
        <v>1147</v>
      </c>
      <c r="G69" s="114" t="s">
        <v>1300</v>
      </c>
      <c r="H69" s="111">
        <v>185</v>
      </c>
      <c r="I69" s="111">
        <v>259</v>
      </c>
      <c r="J69" s="112">
        <v>0.5</v>
      </c>
      <c r="K69" s="110" t="s">
        <v>1151</v>
      </c>
      <c r="L69" s="113" t="s">
        <v>1366</v>
      </c>
    </row>
    <row r="70" spans="1:12">
      <c r="A70" s="110">
        <v>2014</v>
      </c>
      <c r="B70" s="110">
        <v>2022</v>
      </c>
      <c r="C70" s="110" t="s">
        <v>466</v>
      </c>
      <c r="D70" s="110" t="s">
        <v>1362</v>
      </c>
      <c r="E70" s="110" t="s">
        <v>1112</v>
      </c>
      <c r="F70" s="114" t="s">
        <v>1111</v>
      </c>
      <c r="G70" s="114" t="s">
        <v>1125</v>
      </c>
      <c r="H70" s="111">
        <v>185</v>
      </c>
      <c r="I70" s="111">
        <v>259</v>
      </c>
      <c r="J70" s="112">
        <v>0.5</v>
      </c>
      <c r="K70" s="110" t="s">
        <v>1108</v>
      </c>
      <c r="L70" s="113" t="s">
        <v>1505</v>
      </c>
    </row>
    <row r="71" spans="1:12">
      <c r="A71" s="110">
        <v>2014</v>
      </c>
      <c r="B71" s="110">
        <v>2022</v>
      </c>
      <c r="C71" s="110" t="s">
        <v>466</v>
      </c>
      <c r="D71" s="110" t="s">
        <v>1358</v>
      </c>
      <c r="E71" s="110" t="s">
        <v>1230</v>
      </c>
      <c r="F71" s="114" t="s">
        <v>1175</v>
      </c>
      <c r="G71" s="116" t="s">
        <v>1229</v>
      </c>
      <c r="H71" s="111">
        <v>185</v>
      </c>
      <c r="I71" s="111">
        <v>259</v>
      </c>
      <c r="J71" s="112">
        <v>0.5</v>
      </c>
      <c r="K71" s="110" t="s">
        <v>1227</v>
      </c>
      <c r="L71" s="113" t="s">
        <v>1509</v>
      </c>
    </row>
    <row r="72" spans="1:12">
      <c r="A72" s="110">
        <v>2014</v>
      </c>
      <c r="B72" s="110">
        <v>2022</v>
      </c>
      <c r="C72" s="110" t="s">
        <v>466</v>
      </c>
      <c r="D72" s="114" t="s">
        <v>1365</v>
      </c>
      <c r="E72" s="110" t="s">
        <v>1112</v>
      </c>
      <c r="F72" s="114" t="s">
        <v>1147</v>
      </c>
      <c r="G72" s="114" t="s">
        <v>1159</v>
      </c>
      <c r="H72" s="111">
        <v>99</v>
      </c>
      <c r="I72" s="111">
        <v>128.69999999999999</v>
      </c>
      <c r="J72" s="112">
        <v>0.5</v>
      </c>
      <c r="K72" s="110" t="s">
        <v>1157</v>
      </c>
      <c r="L72" s="113" t="s">
        <v>1364</v>
      </c>
    </row>
    <row r="73" spans="1:12">
      <c r="A73" s="110">
        <v>2014</v>
      </c>
      <c r="B73" s="110">
        <v>2022</v>
      </c>
      <c r="C73" s="110" t="s">
        <v>466</v>
      </c>
      <c r="D73" s="110" t="s">
        <v>1361</v>
      </c>
      <c r="E73" s="110" t="s">
        <v>1112</v>
      </c>
      <c r="F73" s="114" t="s">
        <v>1111</v>
      </c>
      <c r="G73" s="114" t="s">
        <v>1121</v>
      </c>
      <c r="H73" s="111">
        <v>185</v>
      </c>
      <c r="I73" s="111">
        <v>259</v>
      </c>
      <c r="J73" s="112">
        <v>0.5</v>
      </c>
      <c r="K73" s="110" t="s">
        <v>1108</v>
      </c>
      <c r="L73" s="113" t="s">
        <v>1506</v>
      </c>
    </row>
    <row r="74" spans="1:12">
      <c r="A74" s="110">
        <v>2014</v>
      </c>
      <c r="B74" s="110">
        <v>2022</v>
      </c>
      <c r="C74" s="110" t="s">
        <v>466</v>
      </c>
      <c r="D74" s="110" t="s">
        <v>1360</v>
      </c>
      <c r="E74" s="110" t="s">
        <v>1112</v>
      </c>
      <c r="F74" s="114" t="s">
        <v>1111</v>
      </c>
      <c r="G74" s="114" t="s">
        <v>1117</v>
      </c>
      <c r="H74" s="111">
        <v>185</v>
      </c>
      <c r="I74" s="111">
        <v>259</v>
      </c>
      <c r="J74" s="112">
        <v>0.5</v>
      </c>
      <c r="K74" s="110" t="s">
        <v>1108</v>
      </c>
      <c r="L74" s="113" t="s">
        <v>1507</v>
      </c>
    </row>
    <row r="75" spans="1:12">
      <c r="A75" s="110">
        <v>2014</v>
      </c>
      <c r="B75" s="110">
        <v>2022</v>
      </c>
      <c r="C75" s="110" t="s">
        <v>466</v>
      </c>
      <c r="D75" s="110" t="s">
        <v>1359</v>
      </c>
      <c r="E75" s="110" t="s">
        <v>1112</v>
      </c>
      <c r="F75" s="114" t="s">
        <v>1111</v>
      </c>
      <c r="G75" s="114" t="s">
        <v>1110</v>
      </c>
      <c r="H75" s="111">
        <v>185</v>
      </c>
      <c r="I75" s="111">
        <v>259</v>
      </c>
      <c r="J75" s="112">
        <v>0.5</v>
      </c>
      <c r="K75" s="110" t="s">
        <v>1108</v>
      </c>
      <c r="L75" s="113" t="s">
        <v>1508</v>
      </c>
    </row>
    <row r="76" spans="1:12">
      <c r="A76" s="110">
        <v>2014</v>
      </c>
      <c r="B76" s="110">
        <v>2022</v>
      </c>
      <c r="C76" s="110" t="s">
        <v>466</v>
      </c>
      <c r="D76" s="110" t="s">
        <v>1357</v>
      </c>
      <c r="E76" s="110" t="s">
        <v>1112</v>
      </c>
      <c r="F76" s="114" t="s">
        <v>1147</v>
      </c>
      <c r="G76" s="114" t="s">
        <v>1146</v>
      </c>
      <c r="H76" s="111">
        <v>429</v>
      </c>
      <c r="I76" s="111">
        <v>599</v>
      </c>
      <c r="J76" s="112">
        <v>0.5</v>
      </c>
      <c r="K76" s="110" t="s">
        <v>1144</v>
      </c>
      <c r="L76" s="113" t="s">
        <v>1356</v>
      </c>
    </row>
    <row r="77" spans="1:12">
      <c r="A77" s="110">
        <v>2018</v>
      </c>
      <c r="B77" s="110">
        <v>2022</v>
      </c>
      <c r="C77" s="110" t="s">
        <v>1355</v>
      </c>
      <c r="D77" s="110" t="s">
        <v>1357</v>
      </c>
      <c r="E77" s="110" t="s">
        <v>1112</v>
      </c>
      <c r="F77" s="114" t="s">
        <v>1147</v>
      </c>
      <c r="G77" s="114" t="s">
        <v>1146</v>
      </c>
      <c r="H77" s="111">
        <v>429</v>
      </c>
      <c r="I77" s="111">
        <v>599</v>
      </c>
      <c r="J77" s="112">
        <v>0.5</v>
      </c>
      <c r="K77" s="110" t="s">
        <v>1144</v>
      </c>
      <c r="L77" s="113" t="s">
        <v>1356</v>
      </c>
    </row>
    <row r="78" spans="1:12">
      <c r="A78" s="110">
        <v>2016</v>
      </c>
      <c r="B78" s="110">
        <v>2021</v>
      </c>
      <c r="C78" s="114" t="s">
        <v>1258</v>
      </c>
      <c r="D78" s="110" t="s">
        <v>1352</v>
      </c>
      <c r="E78" s="110" t="s">
        <v>1112</v>
      </c>
      <c r="F78" s="118" t="s">
        <v>1175</v>
      </c>
      <c r="G78" s="114" t="s">
        <v>1222</v>
      </c>
      <c r="H78" s="111">
        <v>185</v>
      </c>
      <c r="I78" s="111">
        <v>259</v>
      </c>
      <c r="J78" s="112">
        <v>0.5</v>
      </c>
      <c r="K78" s="110" t="s">
        <v>1172</v>
      </c>
      <c r="L78" s="113" t="s">
        <v>1510</v>
      </c>
    </row>
    <row r="79" spans="1:12">
      <c r="A79" s="110">
        <v>2016</v>
      </c>
      <c r="B79" s="110">
        <v>2021</v>
      </c>
      <c r="C79" s="114" t="s">
        <v>1258</v>
      </c>
      <c r="D79" s="110" t="s">
        <v>1297</v>
      </c>
      <c r="E79" s="110" t="s">
        <v>1112</v>
      </c>
      <c r="F79" s="114" t="s">
        <v>1111</v>
      </c>
      <c r="G79" s="114" t="s">
        <v>1117</v>
      </c>
      <c r="H79" s="111">
        <v>185</v>
      </c>
      <c r="I79" s="111">
        <v>259</v>
      </c>
      <c r="J79" s="112">
        <v>0.5</v>
      </c>
      <c r="K79" s="110" t="s">
        <v>1108</v>
      </c>
      <c r="L79" s="113" t="s">
        <v>1296</v>
      </c>
    </row>
    <row r="80" spans="1:12">
      <c r="A80" s="114">
        <v>2022</v>
      </c>
      <c r="B80" s="114">
        <v>2022</v>
      </c>
      <c r="C80" s="114" t="s">
        <v>1258</v>
      </c>
      <c r="D80" s="110" t="s">
        <v>1351</v>
      </c>
      <c r="E80" s="110" t="s">
        <v>1112</v>
      </c>
      <c r="F80" s="118" t="s">
        <v>1175</v>
      </c>
      <c r="G80" s="114" t="s">
        <v>1222</v>
      </c>
      <c r="H80" s="111">
        <v>185</v>
      </c>
      <c r="I80" s="111">
        <v>259</v>
      </c>
      <c r="J80" s="112">
        <v>0.5</v>
      </c>
      <c r="K80" s="110" t="s">
        <v>1172</v>
      </c>
      <c r="L80" s="113" t="s">
        <v>1350</v>
      </c>
    </row>
    <row r="81" spans="1:12">
      <c r="A81" s="114">
        <v>2022</v>
      </c>
      <c r="B81" s="114">
        <v>2022</v>
      </c>
      <c r="C81" s="114" t="s">
        <v>1258</v>
      </c>
      <c r="D81" s="110" t="s">
        <v>1349</v>
      </c>
      <c r="E81" s="110" t="s">
        <v>1112</v>
      </c>
      <c r="F81" s="118" t="s">
        <v>1175</v>
      </c>
      <c r="G81" s="114" t="s">
        <v>1222</v>
      </c>
      <c r="H81" s="111">
        <v>185</v>
      </c>
      <c r="I81" s="111">
        <v>259</v>
      </c>
      <c r="J81" s="112">
        <v>0.5</v>
      </c>
      <c r="K81" s="110" t="s">
        <v>1172</v>
      </c>
      <c r="L81" s="113" t="s">
        <v>1348</v>
      </c>
    </row>
    <row r="82" spans="1:12">
      <c r="A82" s="114">
        <v>2022</v>
      </c>
      <c r="B82" s="114">
        <v>2022</v>
      </c>
      <c r="C82" s="114" t="s">
        <v>1258</v>
      </c>
      <c r="D82" s="114" t="s">
        <v>1295</v>
      </c>
      <c r="E82" s="110" t="s">
        <v>1112</v>
      </c>
      <c r="F82" s="114" t="s">
        <v>1111</v>
      </c>
      <c r="G82" s="114" t="s">
        <v>1117</v>
      </c>
      <c r="H82" s="111">
        <v>185</v>
      </c>
      <c r="I82" s="111">
        <v>259</v>
      </c>
      <c r="J82" s="112">
        <v>0.5</v>
      </c>
      <c r="K82" s="110" t="s">
        <v>1108</v>
      </c>
      <c r="L82" s="113" t="s">
        <v>1522</v>
      </c>
    </row>
    <row r="83" spans="1:12">
      <c r="A83" s="110">
        <v>2018</v>
      </c>
      <c r="B83" s="114">
        <v>2022</v>
      </c>
      <c r="C83" s="114" t="s">
        <v>1232</v>
      </c>
      <c r="D83" s="110" t="s">
        <v>1238</v>
      </c>
      <c r="E83" s="110" t="s">
        <v>1237</v>
      </c>
      <c r="F83" s="118" t="s">
        <v>1175</v>
      </c>
      <c r="G83" s="110" t="s">
        <v>1236</v>
      </c>
      <c r="H83" s="111">
        <v>385</v>
      </c>
      <c r="I83" s="111">
        <v>539</v>
      </c>
      <c r="J83" s="112">
        <v>0.5</v>
      </c>
      <c r="K83" s="110" t="s">
        <v>1234</v>
      </c>
      <c r="L83" s="113" t="s">
        <v>1535</v>
      </c>
    </row>
    <row r="84" spans="1:12">
      <c r="A84" s="110">
        <v>2018</v>
      </c>
      <c r="B84" s="114">
        <v>2022</v>
      </c>
      <c r="C84" s="114" t="s">
        <v>1232</v>
      </c>
      <c r="D84" s="110" t="s">
        <v>1231</v>
      </c>
      <c r="E84" s="114" t="s">
        <v>1230</v>
      </c>
      <c r="F84" s="118" t="s">
        <v>1175</v>
      </c>
      <c r="G84" s="116" t="s">
        <v>1229</v>
      </c>
      <c r="H84" s="111">
        <v>225</v>
      </c>
      <c r="I84" s="111">
        <v>319</v>
      </c>
      <c r="J84" s="112">
        <v>0.5</v>
      </c>
      <c r="K84" s="110" t="s">
        <v>1227</v>
      </c>
      <c r="L84" s="113" t="s">
        <v>1536</v>
      </c>
    </row>
    <row r="85" spans="1:12">
      <c r="A85" s="110">
        <v>2018</v>
      </c>
      <c r="B85" s="114">
        <v>2022</v>
      </c>
      <c r="C85" s="114" t="s">
        <v>1232</v>
      </c>
      <c r="D85" s="110" t="s">
        <v>1255</v>
      </c>
      <c r="E85" s="110" t="s">
        <v>1112</v>
      </c>
      <c r="F85" s="118" t="s">
        <v>1175</v>
      </c>
      <c r="G85" s="114" t="s">
        <v>1185</v>
      </c>
      <c r="H85" s="111">
        <v>75</v>
      </c>
      <c r="I85" s="111">
        <v>99</v>
      </c>
      <c r="J85" s="112">
        <v>0.5</v>
      </c>
      <c r="K85" s="110" t="s">
        <v>1157</v>
      </c>
      <c r="L85" s="113" t="s">
        <v>1254</v>
      </c>
    </row>
    <row r="86" spans="1:12">
      <c r="A86" s="110">
        <v>2018</v>
      </c>
      <c r="B86" s="114">
        <v>2022</v>
      </c>
      <c r="C86" s="114" t="s">
        <v>1232</v>
      </c>
      <c r="D86" s="110" t="s">
        <v>1244</v>
      </c>
      <c r="E86" s="110" t="s">
        <v>1112</v>
      </c>
      <c r="F86" s="114" t="s">
        <v>1147</v>
      </c>
      <c r="G86" s="114" t="s">
        <v>1159</v>
      </c>
      <c r="H86" s="111">
        <v>125</v>
      </c>
      <c r="I86" s="111">
        <v>162.5</v>
      </c>
      <c r="J86" s="112">
        <v>0.5</v>
      </c>
      <c r="K86" s="110" t="s">
        <v>1157</v>
      </c>
      <c r="L86" s="113" t="s">
        <v>1531</v>
      </c>
    </row>
    <row r="87" spans="1:12">
      <c r="A87" s="110">
        <v>2018</v>
      </c>
      <c r="B87" s="114">
        <v>2022</v>
      </c>
      <c r="C87" s="114" t="s">
        <v>1232</v>
      </c>
      <c r="D87" s="110" t="s">
        <v>1241</v>
      </c>
      <c r="E87" s="110" t="s">
        <v>1112</v>
      </c>
      <c r="F87" s="114" t="s">
        <v>1111</v>
      </c>
      <c r="G87" s="115" t="s">
        <v>1129</v>
      </c>
      <c r="H87" s="111">
        <v>185</v>
      </c>
      <c r="I87" s="111">
        <v>259</v>
      </c>
      <c r="J87" s="112">
        <v>0.5</v>
      </c>
      <c r="K87" s="110" t="s">
        <v>1108</v>
      </c>
      <c r="L87" s="113" t="s">
        <v>1532</v>
      </c>
    </row>
    <row r="88" spans="1:12">
      <c r="A88" s="110">
        <v>2018</v>
      </c>
      <c r="B88" s="114">
        <v>2022</v>
      </c>
      <c r="C88" s="114" t="s">
        <v>1232</v>
      </c>
      <c r="D88" s="110" t="s">
        <v>1253</v>
      </c>
      <c r="E88" s="110" t="s">
        <v>1112</v>
      </c>
      <c r="F88" s="118" t="s">
        <v>1175</v>
      </c>
      <c r="G88" s="110" t="s">
        <v>1252</v>
      </c>
      <c r="H88" s="111">
        <v>429</v>
      </c>
      <c r="I88" s="111">
        <v>599</v>
      </c>
      <c r="J88" s="112">
        <v>0.5</v>
      </c>
      <c r="K88" s="110" t="s">
        <v>1247</v>
      </c>
      <c r="L88" s="113" t="s">
        <v>1530</v>
      </c>
    </row>
    <row r="89" spans="1:12">
      <c r="A89" s="110">
        <v>2018</v>
      </c>
      <c r="B89" s="114">
        <v>2022</v>
      </c>
      <c r="C89" s="114" t="s">
        <v>1232</v>
      </c>
      <c r="D89" s="110" t="s">
        <v>1250</v>
      </c>
      <c r="E89" s="110" t="s">
        <v>1112</v>
      </c>
      <c r="F89" s="118" t="s">
        <v>1175</v>
      </c>
      <c r="G89" s="110" t="s">
        <v>1249</v>
      </c>
      <c r="H89" s="111">
        <v>385</v>
      </c>
      <c r="I89" s="111">
        <v>539</v>
      </c>
      <c r="J89" s="112">
        <v>0.5</v>
      </c>
      <c r="K89" s="110" t="s">
        <v>1247</v>
      </c>
      <c r="L89" s="113" t="s">
        <v>1245</v>
      </c>
    </row>
    <row r="90" spans="1:12">
      <c r="A90" s="110">
        <v>2018</v>
      </c>
      <c r="B90" s="114">
        <v>2022</v>
      </c>
      <c r="C90" s="114" t="s">
        <v>1232</v>
      </c>
      <c r="D90" s="110" t="s">
        <v>1243</v>
      </c>
      <c r="E90" s="110" t="s">
        <v>1112</v>
      </c>
      <c r="F90" s="114" t="s">
        <v>1147</v>
      </c>
      <c r="G90" s="114" t="s">
        <v>1146</v>
      </c>
      <c r="H90" s="111">
        <v>429</v>
      </c>
      <c r="I90" s="111">
        <v>599</v>
      </c>
      <c r="J90" s="112">
        <v>0.5</v>
      </c>
      <c r="K90" s="110" t="s">
        <v>1144</v>
      </c>
      <c r="L90" s="113" t="s">
        <v>1242</v>
      </c>
    </row>
    <row r="91" spans="1:12">
      <c r="A91" s="110">
        <v>2018</v>
      </c>
      <c r="B91" s="114">
        <v>2022</v>
      </c>
      <c r="C91" s="114" t="s">
        <v>1232</v>
      </c>
      <c r="D91" s="110" t="s">
        <v>1240</v>
      </c>
      <c r="E91" s="110" t="s">
        <v>1112</v>
      </c>
      <c r="F91" s="114" t="s">
        <v>1111</v>
      </c>
      <c r="G91" s="114" t="s">
        <v>1121</v>
      </c>
      <c r="H91" s="111">
        <v>185</v>
      </c>
      <c r="I91" s="111">
        <v>259</v>
      </c>
      <c r="J91" s="112">
        <v>0.5</v>
      </c>
      <c r="K91" s="110" t="s">
        <v>1108</v>
      </c>
      <c r="L91" s="113" t="s">
        <v>1533</v>
      </c>
    </row>
    <row r="92" spans="1:12">
      <c r="A92" s="110">
        <v>2018</v>
      </c>
      <c r="B92" s="114">
        <v>2022</v>
      </c>
      <c r="C92" s="114" t="s">
        <v>1232</v>
      </c>
      <c r="D92" s="110" t="s">
        <v>1239</v>
      </c>
      <c r="E92" s="110" t="s">
        <v>1112</v>
      </c>
      <c r="F92" s="114" t="s">
        <v>1111</v>
      </c>
      <c r="G92" s="114" t="s">
        <v>1117</v>
      </c>
      <c r="H92" s="111">
        <v>185</v>
      </c>
      <c r="I92" s="111">
        <v>259</v>
      </c>
      <c r="J92" s="112">
        <v>0.5</v>
      </c>
      <c r="K92" s="110" t="s">
        <v>1108</v>
      </c>
      <c r="L92" s="113" t="s">
        <v>1534</v>
      </c>
    </row>
    <row r="93" spans="1:12">
      <c r="A93" s="110">
        <v>2014</v>
      </c>
      <c r="B93" s="110">
        <v>2021</v>
      </c>
      <c r="C93" s="114" t="s">
        <v>1258</v>
      </c>
      <c r="D93" s="110" t="s">
        <v>1318</v>
      </c>
      <c r="E93" s="110" t="s">
        <v>1112</v>
      </c>
      <c r="F93" s="114" t="s">
        <v>1147</v>
      </c>
      <c r="G93" s="114" t="s">
        <v>1159</v>
      </c>
      <c r="H93" s="111">
        <v>99</v>
      </c>
      <c r="I93" s="111">
        <v>128.69999999999999</v>
      </c>
      <c r="J93" s="112">
        <v>0.5</v>
      </c>
      <c r="K93" s="110" t="s">
        <v>1157</v>
      </c>
      <c r="L93" s="113" t="s">
        <v>1317</v>
      </c>
    </row>
    <row r="94" spans="1:12">
      <c r="A94" s="110">
        <v>2016</v>
      </c>
      <c r="B94" s="110">
        <v>2021</v>
      </c>
      <c r="C94" s="114" t="s">
        <v>1258</v>
      </c>
      <c r="D94" s="110" t="s">
        <v>1316</v>
      </c>
      <c r="E94" s="110" t="s">
        <v>1112</v>
      </c>
      <c r="F94" s="114" t="s">
        <v>1147</v>
      </c>
      <c r="G94" s="114" t="s">
        <v>1168</v>
      </c>
      <c r="H94" s="111">
        <v>75</v>
      </c>
      <c r="I94" s="111">
        <v>97.5</v>
      </c>
      <c r="J94" s="112">
        <v>0.5</v>
      </c>
      <c r="K94" s="110" t="s">
        <v>1163</v>
      </c>
      <c r="L94" s="113" t="s">
        <v>1315</v>
      </c>
    </row>
    <row r="95" spans="1:12">
      <c r="A95" s="110">
        <v>2016</v>
      </c>
      <c r="B95" s="110">
        <v>2021</v>
      </c>
      <c r="C95" s="114" t="s">
        <v>1258</v>
      </c>
      <c r="D95" s="110" t="s">
        <v>1314</v>
      </c>
      <c r="E95" s="110" t="s">
        <v>1112</v>
      </c>
      <c r="F95" s="114" t="s">
        <v>1147</v>
      </c>
      <c r="G95" s="114" t="s">
        <v>1165</v>
      </c>
      <c r="H95" s="111">
        <v>680.6</v>
      </c>
      <c r="I95" s="111">
        <v>884.78</v>
      </c>
      <c r="J95" s="112">
        <v>0.5</v>
      </c>
      <c r="K95" s="110" t="s">
        <v>1163</v>
      </c>
      <c r="L95" s="113" t="s">
        <v>1313</v>
      </c>
    </row>
    <row r="96" spans="1:12">
      <c r="A96" s="110">
        <v>2016</v>
      </c>
      <c r="B96" s="110">
        <v>2021</v>
      </c>
      <c r="C96" s="114" t="s">
        <v>1258</v>
      </c>
      <c r="D96" s="110" t="s">
        <v>1294</v>
      </c>
      <c r="E96" s="110" t="s">
        <v>1112</v>
      </c>
      <c r="F96" s="114" t="s">
        <v>1111</v>
      </c>
      <c r="G96" s="115" t="s">
        <v>1129</v>
      </c>
      <c r="H96" s="111">
        <v>185</v>
      </c>
      <c r="I96" s="111">
        <v>259</v>
      </c>
      <c r="J96" s="112">
        <v>0.5</v>
      </c>
      <c r="K96" s="110" t="s">
        <v>1108</v>
      </c>
      <c r="L96" s="113" t="s">
        <v>1293</v>
      </c>
    </row>
    <row r="97" spans="1:12">
      <c r="A97" s="110">
        <v>2016</v>
      </c>
      <c r="B97" s="110">
        <v>2021</v>
      </c>
      <c r="C97" s="114" t="s">
        <v>1258</v>
      </c>
      <c r="D97" s="110" t="s">
        <v>1312</v>
      </c>
      <c r="E97" s="110" t="s">
        <v>1112</v>
      </c>
      <c r="F97" s="114" t="s">
        <v>1147</v>
      </c>
      <c r="G97" s="114" t="s">
        <v>1300</v>
      </c>
      <c r="H97" s="111">
        <v>185</v>
      </c>
      <c r="I97" s="111">
        <v>259</v>
      </c>
      <c r="J97" s="112">
        <v>0.5</v>
      </c>
      <c r="K97" s="110" t="s">
        <v>1151</v>
      </c>
      <c r="L97" s="113" t="s">
        <v>1311</v>
      </c>
    </row>
    <row r="98" spans="1:12">
      <c r="A98" s="110">
        <v>2016</v>
      </c>
      <c r="B98" s="110">
        <v>2021</v>
      </c>
      <c r="C98" s="114" t="s">
        <v>1258</v>
      </c>
      <c r="D98" s="110" t="s">
        <v>1310</v>
      </c>
      <c r="E98" s="110" t="s">
        <v>1112</v>
      </c>
      <c r="F98" s="114" t="s">
        <v>1147</v>
      </c>
      <c r="G98" s="114" t="s">
        <v>1153</v>
      </c>
      <c r="H98" s="111">
        <v>185</v>
      </c>
      <c r="I98" s="111">
        <v>259</v>
      </c>
      <c r="J98" s="112">
        <v>0.5</v>
      </c>
      <c r="K98" s="110" t="s">
        <v>1151</v>
      </c>
      <c r="L98" s="113" t="s">
        <v>1309</v>
      </c>
    </row>
    <row r="99" spans="1:12">
      <c r="A99" s="110">
        <v>2016</v>
      </c>
      <c r="B99" s="110">
        <v>2021</v>
      </c>
      <c r="C99" s="114" t="s">
        <v>1258</v>
      </c>
      <c r="D99" s="110" t="s">
        <v>1347</v>
      </c>
      <c r="E99" s="110" t="s">
        <v>1112</v>
      </c>
      <c r="F99" s="118" t="s">
        <v>1175</v>
      </c>
      <c r="G99" s="114" t="s">
        <v>1185</v>
      </c>
      <c r="H99" s="111">
        <v>75</v>
      </c>
      <c r="I99" s="111">
        <v>99</v>
      </c>
      <c r="J99" s="112">
        <v>0.5</v>
      </c>
      <c r="K99" s="110" t="s">
        <v>1157</v>
      </c>
      <c r="L99" s="113" t="s">
        <v>1346</v>
      </c>
    </row>
    <row r="100" spans="1:12">
      <c r="A100" s="110">
        <v>2018</v>
      </c>
      <c r="B100" s="110">
        <v>2021</v>
      </c>
      <c r="C100" s="114" t="s">
        <v>1258</v>
      </c>
      <c r="D100" s="110" t="s">
        <v>1308</v>
      </c>
      <c r="E100" s="110" t="s">
        <v>1112</v>
      </c>
      <c r="F100" s="114" t="s">
        <v>1147</v>
      </c>
      <c r="G100" s="114" t="s">
        <v>1146</v>
      </c>
      <c r="H100" s="111">
        <v>429</v>
      </c>
      <c r="I100" s="111">
        <v>599</v>
      </c>
      <c r="J100" s="112">
        <v>0.5</v>
      </c>
      <c r="K100" s="110" t="s">
        <v>1144</v>
      </c>
      <c r="L100" s="113" t="s">
        <v>1307</v>
      </c>
    </row>
    <row r="101" spans="1:12">
      <c r="A101" s="110">
        <v>2016</v>
      </c>
      <c r="B101" s="110">
        <v>2021</v>
      </c>
      <c r="C101" s="114" t="s">
        <v>1258</v>
      </c>
      <c r="D101" s="110" t="s">
        <v>1292</v>
      </c>
      <c r="E101" s="110" t="s">
        <v>1112</v>
      </c>
      <c r="F101" s="114" t="s">
        <v>1111</v>
      </c>
      <c r="G101" s="114" t="s">
        <v>1125</v>
      </c>
      <c r="H101" s="111">
        <v>185</v>
      </c>
      <c r="I101" s="111">
        <v>259</v>
      </c>
      <c r="J101" s="112">
        <v>0.5</v>
      </c>
      <c r="K101" s="110" t="s">
        <v>1108</v>
      </c>
      <c r="L101" s="113" t="s">
        <v>1291</v>
      </c>
    </row>
    <row r="102" spans="1:12">
      <c r="A102" s="110">
        <v>2016</v>
      </c>
      <c r="B102" s="110">
        <v>2021</v>
      </c>
      <c r="C102" s="114" t="s">
        <v>1258</v>
      </c>
      <c r="D102" s="110" t="s">
        <v>1290</v>
      </c>
      <c r="E102" s="110" t="s">
        <v>1112</v>
      </c>
      <c r="F102" s="114" t="s">
        <v>1111</v>
      </c>
      <c r="G102" s="114" t="s">
        <v>1121</v>
      </c>
      <c r="H102" s="111">
        <v>185</v>
      </c>
      <c r="I102" s="111">
        <v>259</v>
      </c>
      <c r="J102" s="112">
        <v>0.5</v>
      </c>
      <c r="K102" s="110" t="s">
        <v>1108</v>
      </c>
      <c r="L102" s="113" t="s">
        <v>1289</v>
      </c>
    </row>
    <row r="103" spans="1:12">
      <c r="A103" s="110">
        <v>2016</v>
      </c>
      <c r="B103" s="110">
        <v>2021</v>
      </c>
      <c r="C103" s="114" t="s">
        <v>1258</v>
      </c>
      <c r="D103" s="110" t="s">
        <v>1288</v>
      </c>
      <c r="E103" s="110" t="s">
        <v>1112</v>
      </c>
      <c r="F103" s="114" t="s">
        <v>1111</v>
      </c>
      <c r="G103" s="114" t="s">
        <v>1117</v>
      </c>
      <c r="H103" s="111">
        <v>185</v>
      </c>
      <c r="I103" s="111">
        <v>259</v>
      </c>
      <c r="J103" s="112">
        <v>0.5</v>
      </c>
      <c r="K103" s="110" t="s">
        <v>1108</v>
      </c>
      <c r="L103" s="113" t="s">
        <v>1287</v>
      </c>
    </row>
    <row r="104" spans="1:12">
      <c r="A104" s="110">
        <v>2016</v>
      </c>
      <c r="B104" s="110">
        <v>2021</v>
      </c>
      <c r="C104" s="114" t="s">
        <v>1258</v>
      </c>
      <c r="D104" s="110" t="s">
        <v>1286</v>
      </c>
      <c r="E104" s="110" t="s">
        <v>1112</v>
      </c>
      <c r="F104" s="114" t="s">
        <v>1111</v>
      </c>
      <c r="G104" s="114" t="s">
        <v>1110</v>
      </c>
      <c r="H104" s="111">
        <v>185</v>
      </c>
      <c r="I104" s="111">
        <v>259</v>
      </c>
      <c r="J104" s="112">
        <v>0.5</v>
      </c>
      <c r="K104" s="110" t="s">
        <v>1108</v>
      </c>
      <c r="L104" s="113" t="s">
        <v>1285</v>
      </c>
    </row>
    <row r="105" spans="1:12">
      <c r="A105" s="110">
        <v>2018</v>
      </c>
      <c r="B105" s="110">
        <v>2021</v>
      </c>
      <c r="C105" s="114" t="s">
        <v>1258</v>
      </c>
      <c r="D105" s="110" t="s">
        <v>1345</v>
      </c>
      <c r="E105" s="110" t="s">
        <v>1112</v>
      </c>
      <c r="F105" s="118" t="s">
        <v>1175</v>
      </c>
      <c r="G105" s="116" t="s">
        <v>1174</v>
      </c>
      <c r="H105" s="111">
        <v>325</v>
      </c>
      <c r="I105" s="111">
        <v>449</v>
      </c>
      <c r="J105" s="112">
        <v>0.5</v>
      </c>
      <c r="K105" s="110" t="s">
        <v>1172</v>
      </c>
      <c r="L105" s="113" t="s">
        <v>1344</v>
      </c>
    </row>
    <row r="106" spans="1:12">
      <c r="A106" s="114">
        <v>2022</v>
      </c>
      <c r="B106" s="114">
        <v>2022</v>
      </c>
      <c r="C106" s="114" t="s">
        <v>1258</v>
      </c>
      <c r="D106" s="114" t="s">
        <v>1306</v>
      </c>
      <c r="E106" s="110" t="s">
        <v>1112</v>
      </c>
      <c r="F106" s="110" t="s">
        <v>1147</v>
      </c>
      <c r="G106" s="110" t="s">
        <v>1168</v>
      </c>
      <c r="H106" s="111">
        <v>75</v>
      </c>
      <c r="I106" s="111">
        <v>97.5</v>
      </c>
      <c r="J106" s="112">
        <v>0.5</v>
      </c>
      <c r="K106" s="110" t="s">
        <v>1163</v>
      </c>
      <c r="L106" s="113" t="s">
        <v>1518</v>
      </c>
    </row>
    <row r="107" spans="1:12">
      <c r="A107" s="114">
        <v>2022</v>
      </c>
      <c r="B107" s="114">
        <v>2022</v>
      </c>
      <c r="C107" s="114" t="s">
        <v>1258</v>
      </c>
      <c r="D107" s="110" t="s">
        <v>1304</v>
      </c>
      <c r="E107" s="110" t="s">
        <v>1112</v>
      </c>
      <c r="F107" s="114" t="s">
        <v>1147</v>
      </c>
      <c r="G107" s="110" t="s">
        <v>1303</v>
      </c>
      <c r="H107" s="111">
        <v>99</v>
      </c>
      <c r="I107" s="111">
        <v>128.69999999999999</v>
      </c>
      <c r="J107" s="112">
        <v>0.5</v>
      </c>
      <c r="K107" s="110" t="s">
        <v>1151</v>
      </c>
      <c r="L107" s="113" t="s">
        <v>1519</v>
      </c>
    </row>
    <row r="108" spans="1:12">
      <c r="A108" s="114">
        <v>2022</v>
      </c>
      <c r="B108" s="114">
        <v>2022</v>
      </c>
      <c r="C108" s="114" t="s">
        <v>1258</v>
      </c>
      <c r="D108" s="114" t="s">
        <v>1284</v>
      </c>
      <c r="E108" s="110" t="s">
        <v>1112</v>
      </c>
      <c r="F108" s="114" t="s">
        <v>1111</v>
      </c>
      <c r="G108" s="115" t="s">
        <v>1129</v>
      </c>
      <c r="H108" s="111">
        <v>185</v>
      </c>
      <c r="I108" s="111">
        <v>259</v>
      </c>
      <c r="J108" s="112">
        <v>0.5</v>
      </c>
      <c r="K108" s="110" t="s">
        <v>1108</v>
      </c>
      <c r="L108" s="113"/>
    </row>
    <row r="109" spans="1:12">
      <c r="A109" s="114">
        <v>2022</v>
      </c>
      <c r="B109" s="114">
        <v>2022</v>
      </c>
      <c r="C109" s="114" t="s">
        <v>1258</v>
      </c>
      <c r="D109" s="114" t="s">
        <v>1301</v>
      </c>
      <c r="E109" s="110" t="s">
        <v>1112</v>
      </c>
      <c r="F109" s="114" t="s">
        <v>1147</v>
      </c>
      <c r="G109" s="114" t="s">
        <v>1300</v>
      </c>
      <c r="H109" s="111">
        <v>185</v>
      </c>
      <c r="I109" s="111">
        <v>259</v>
      </c>
      <c r="J109" s="112">
        <v>0.5</v>
      </c>
      <c r="K109" s="110" t="s">
        <v>1151</v>
      </c>
      <c r="L109" s="113" t="s">
        <v>1520</v>
      </c>
    </row>
    <row r="110" spans="1:12">
      <c r="A110" s="114">
        <v>2022</v>
      </c>
      <c r="B110" s="114">
        <v>2022</v>
      </c>
      <c r="C110" s="114" t="s">
        <v>1258</v>
      </c>
      <c r="D110" s="110" t="s">
        <v>1343</v>
      </c>
      <c r="E110" s="110" t="s">
        <v>1112</v>
      </c>
      <c r="F110" s="118" t="s">
        <v>1175</v>
      </c>
      <c r="G110" s="110" t="s">
        <v>1342</v>
      </c>
      <c r="H110" s="111">
        <v>185</v>
      </c>
      <c r="I110" s="111">
        <v>259</v>
      </c>
      <c r="J110" s="112">
        <v>0.5</v>
      </c>
      <c r="K110" s="110" t="s">
        <v>1336</v>
      </c>
      <c r="L110" s="113" t="s">
        <v>1340</v>
      </c>
    </row>
    <row r="111" spans="1:12">
      <c r="A111" s="114">
        <v>2022</v>
      </c>
      <c r="B111" s="114">
        <v>2022</v>
      </c>
      <c r="C111" s="114" t="s">
        <v>1258</v>
      </c>
      <c r="D111" s="110" t="s">
        <v>1339</v>
      </c>
      <c r="E111" s="110" t="s">
        <v>1112</v>
      </c>
      <c r="F111" s="118" t="s">
        <v>1175</v>
      </c>
      <c r="G111" s="110" t="s">
        <v>1338</v>
      </c>
      <c r="H111" s="111">
        <v>99</v>
      </c>
      <c r="I111" s="111">
        <v>128.69999999999999</v>
      </c>
      <c r="J111" s="112">
        <v>0.5</v>
      </c>
      <c r="K111" s="110" t="s">
        <v>1336</v>
      </c>
      <c r="L111" s="113" t="s">
        <v>1511</v>
      </c>
    </row>
    <row r="112" spans="1:12">
      <c r="A112" s="114">
        <v>2022</v>
      </c>
      <c r="B112" s="114">
        <v>2022</v>
      </c>
      <c r="C112" s="114" t="s">
        <v>1258</v>
      </c>
      <c r="D112" s="114" t="s">
        <v>1271</v>
      </c>
      <c r="E112" s="114" t="s">
        <v>1230</v>
      </c>
      <c r="F112" s="118" t="s">
        <v>1175</v>
      </c>
      <c r="G112" s="114" t="s">
        <v>1270</v>
      </c>
      <c r="H112" s="111">
        <v>185</v>
      </c>
      <c r="I112" s="111">
        <v>259</v>
      </c>
      <c r="J112" s="112">
        <v>0.5</v>
      </c>
      <c r="K112" s="110" t="s">
        <v>1227</v>
      </c>
      <c r="L112" s="113" t="s">
        <v>1268</v>
      </c>
    </row>
    <row r="113" spans="1:12">
      <c r="A113" s="114">
        <v>2022</v>
      </c>
      <c r="B113" s="114">
        <v>2022</v>
      </c>
      <c r="C113" s="114" t="s">
        <v>1258</v>
      </c>
      <c r="D113" s="114" t="s">
        <v>1334</v>
      </c>
      <c r="E113" s="110" t="s">
        <v>1112</v>
      </c>
      <c r="F113" s="118" t="s">
        <v>1175</v>
      </c>
      <c r="G113" s="114" t="s">
        <v>1216</v>
      </c>
      <c r="H113" s="111">
        <v>185</v>
      </c>
      <c r="I113" s="111">
        <v>259</v>
      </c>
      <c r="J113" s="112">
        <v>0.5</v>
      </c>
      <c r="K113" s="110" t="s">
        <v>1172</v>
      </c>
      <c r="L113" s="113" t="s">
        <v>1512</v>
      </c>
    </row>
    <row r="114" spans="1:12">
      <c r="A114" s="114">
        <v>2022</v>
      </c>
      <c r="B114" s="114">
        <v>2022</v>
      </c>
      <c r="C114" s="114" t="s">
        <v>1258</v>
      </c>
      <c r="D114" s="114" t="s">
        <v>1333</v>
      </c>
      <c r="E114" s="110" t="s">
        <v>1112</v>
      </c>
      <c r="F114" s="118" t="s">
        <v>1175</v>
      </c>
      <c r="G114" s="114" t="s">
        <v>1213</v>
      </c>
      <c r="H114" s="111">
        <v>185</v>
      </c>
      <c r="I114" s="111">
        <v>259</v>
      </c>
      <c r="J114" s="112">
        <v>0.5</v>
      </c>
      <c r="K114" s="110" t="s">
        <v>1172</v>
      </c>
      <c r="L114" s="113" t="s">
        <v>1332</v>
      </c>
    </row>
    <row r="115" spans="1:12">
      <c r="A115" s="114">
        <v>2022</v>
      </c>
      <c r="B115" s="114">
        <v>2022</v>
      </c>
      <c r="C115" s="114" t="s">
        <v>1258</v>
      </c>
      <c r="D115" s="114" t="s">
        <v>1267</v>
      </c>
      <c r="E115" s="114" t="s">
        <v>1230</v>
      </c>
      <c r="F115" s="118" t="s">
        <v>1175</v>
      </c>
      <c r="G115" s="114" t="s">
        <v>1266</v>
      </c>
      <c r="H115" s="111">
        <v>275</v>
      </c>
      <c r="I115" s="111">
        <v>389</v>
      </c>
      <c r="J115" s="112">
        <v>0.5</v>
      </c>
      <c r="K115" s="110" t="s">
        <v>1227</v>
      </c>
      <c r="L115" s="113" t="s">
        <v>1264</v>
      </c>
    </row>
    <row r="116" spans="1:12">
      <c r="A116" s="114">
        <v>2022</v>
      </c>
      <c r="B116" s="114">
        <v>2022</v>
      </c>
      <c r="C116" s="114" t="s">
        <v>1258</v>
      </c>
      <c r="D116" s="114" t="s">
        <v>1331</v>
      </c>
      <c r="E116" s="110" t="s">
        <v>1112</v>
      </c>
      <c r="F116" s="118" t="s">
        <v>1175</v>
      </c>
      <c r="G116" s="114" t="s">
        <v>1185</v>
      </c>
      <c r="H116" s="111">
        <v>75</v>
      </c>
      <c r="I116" s="111">
        <v>99</v>
      </c>
      <c r="J116" s="112">
        <v>0.5</v>
      </c>
      <c r="K116" s="110" t="s">
        <v>1157</v>
      </c>
      <c r="L116" s="113" t="s">
        <v>1513</v>
      </c>
    </row>
    <row r="117" spans="1:12">
      <c r="A117" s="114">
        <v>2022</v>
      </c>
      <c r="B117" s="114">
        <v>2022</v>
      </c>
      <c r="C117" s="114" t="s">
        <v>1258</v>
      </c>
      <c r="D117" s="114" t="s">
        <v>1283</v>
      </c>
      <c r="E117" s="110" t="s">
        <v>1112</v>
      </c>
      <c r="F117" s="114" t="s">
        <v>1111</v>
      </c>
      <c r="G117" s="114" t="s">
        <v>1282</v>
      </c>
      <c r="H117" s="111">
        <v>185</v>
      </c>
      <c r="I117" s="111">
        <v>259</v>
      </c>
      <c r="J117" s="112">
        <v>0.5</v>
      </c>
      <c r="K117" s="110" t="s">
        <v>1108</v>
      </c>
      <c r="L117" s="113" t="s">
        <v>1523</v>
      </c>
    </row>
    <row r="118" spans="1:12">
      <c r="A118" s="114">
        <v>2022</v>
      </c>
      <c r="B118" s="114">
        <v>2022</v>
      </c>
      <c r="C118" s="114" t="s">
        <v>1258</v>
      </c>
      <c r="D118" s="114" t="s">
        <v>1330</v>
      </c>
      <c r="E118" s="110" t="s">
        <v>1112</v>
      </c>
      <c r="F118" s="114" t="s">
        <v>1175</v>
      </c>
      <c r="G118" s="114" t="s">
        <v>1329</v>
      </c>
      <c r="H118" s="111">
        <v>325</v>
      </c>
      <c r="I118" s="111">
        <v>449</v>
      </c>
      <c r="J118" s="112">
        <v>0.5</v>
      </c>
      <c r="K118" s="110" t="s">
        <v>1179</v>
      </c>
      <c r="L118" s="113" t="s">
        <v>1514</v>
      </c>
    </row>
    <row r="119" spans="1:12">
      <c r="A119" s="114">
        <v>2022</v>
      </c>
      <c r="B119" s="114">
        <v>2022</v>
      </c>
      <c r="C119" s="114" t="s">
        <v>1258</v>
      </c>
      <c r="D119" s="114" t="s">
        <v>1263</v>
      </c>
      <c r="E119" s="114" t="s">
        <v>1230</v>
      </c>
      <c r="F119" s="114" t="s">
        <v>1175</v>
      </c>
      <c r="G119" s="114" t="s">
        <v>1262</v>
      </c>
      <c r="H119" s="111">
        <v>429</v>
      </c>
      <c r="I119" s="111">
        <v>599</v>
      </c>
      <c r="J119" s="112">
        <v>0.5</v>
      </c>
      <c r="K119" s="110" t="s">
        <v>1260</v>
      </c>
      <c r="L119" s="113" t="s">
        <v>1529</v>
      </c>
    </row>
    <row r="120" spans="1:12">
      <c r="A120" s="114">
        <v>2022</v>
      </c>
      <c r="B120" s="114">
        <v>2022</v>
      </c>
      <c r="C120" s="114" t="s">
        <v>1258</v>
      </c>
      <c r="D120" s="114" t="s">
        <v>1327</v>
      </c>
      <c r="E120" s="110" t="s">
        <v>1112</v>
      </c>
      <c r="F120" s="114" t="s">
        <v>1175</v>
      </c>
      <c r="G120" s="114" t="s">
        <v>1326</v>
      </c>
      <c r="H120" s="111">
        <v>185</v>
      </c>
      <c r="I120" s="111">
        <v>259</v>
      </c>
      <c r="J120" s="112">
        <v>0.5</v>
      </c>
      <c r="K120" s="110" t="s">
        <v>1172</v>
      </c>
      <c r="L120" s="113" t="s">
        <v>1515</v>
      </c>
    </row>
    <row r="121" spans="1:12">
      <c r="A121" s="114">
        <v>2022</v>
      </c>
      <c r="B121" s="114">
        <v>2022</v>
      </c>
      <c r="C121" s="114" t="s">
        <v>1258</v>
      </c>
      <c r="D121" s="114" t="s">
        <v>1324</v>
      </c>
      <c r="E121" s="110" t="s">
        <v>1112</v>
      </c>
      <c r="F121" s="114" t="s">
        <v>1175</v>
      </c>
      <c r="G121" s="114" t="s">
        <v>1210</v>
      </c>
      <c r="H121" s="111">
        <v>185</v>
      </c>
      <c r="I121" s="111">
        <v>259</v>
      </c>
      <c r="J121" s="112">
        <v>0.5</v>
      </c>
      <c r="K121" s="110" t="s">
        <v>1172</v>
      </c>
      <c r="L121" s="113" t="s">
        <v>1516</v>
      </c>
    </row>
    <row r="122" spans="1:12">
      <c r="A122" s="114">
        <v>2022</v>
      </c>
      <c r="B122" s="114">
        <v>2022</v>
      </c>
      <c r="C122" s="114" t="s">
        <v>1258</v>
      </c>
      <c r="D122" s="114" t="s">
        <v>1257</v>
      </c>
      <c r="E122" s="114" t="s">
        <v>1230</v>
      </c>
      <c r="F122" s="114" t="s">
        <v>1175</v>
      </c>
      <c r="G122" s="114" t="s">
        <v>1229</v>
      </c>
      <c r="H122" s="111">
        <v>185</v>
      </c>
      <c r="I122" s="111">
        <v>259</v>
      </c>
      <c r="J122" s="112">
        <v>0.5</v>
      </c>
      <c r="K122" s="110" t="s">
        <v>1227</v>
      </c>
      <c r="L122" s="113" t="s">
        <v>1256</v>
      </c>
    </row>
    <row r="123" spans="1:12">
      <c r="A123" s="114">
        <v>2022</v>
      </c>
      <c r="B123" s="114">
        <v>2022</v>
      </c>
      <c r="C123" s="114" t="s">
        <v>1258</v>
      </c>
      <c r="D123" s="114" t="s">
        <v>1298</v>
      </c>
      <c r="E123" s="110" t="s">
        <v>1112</v>
      </c>
      <c r="F123" s="114" t="s">
        <v>1147</v>
      </c>
      <c r="G123" s="114" t="s">
        <v>1159</v>
      </c>
      <c r="H123" s="111">
        <v>99</v>
      </c>
      <c r="I123" s="111">
        <v>128.69999999999999</v>
      </c>
      <c r="J123" s="112">
        <v>0.5</v>
      </c>
      <c r="K123" s="110" t="s">
        <v>1157</v>
      </c>
      <c r="L123" s="113" t="s">
        <v>1521</v>
      </c>
    </row>
    <row r="124" spans="1:12">
      <c r="A124" s="114">
        <v>2022</v>
      </c>
      <c r="B124" s="114">
        <v>2022</v>
      </c>
      <c r="C124" s="114" t="s">
        <v>1258</v>
      </c>
      <c r="D124" s="114" t="s">
        <v>1280</v>
      </c>
      <c r="E124" s="110" t="s">
        <v>1112</v>
      </c>
      <c r="F124" s="114" t="s">
        <v>1111</v>
      </c>
      <c r="G124" s="114" t="s">
        <v>1121</v>
      </c>
      <c r="H124" s="111">
        <v>185</v>
      </c>
      <c r="I124" s="111">
        <v>259</v>
      </c>
      <c r="J124" s="112">
        <v>0.5</v>
      </c>
      <c r="K124" s="110" t="s">
        <v>1108</v>
      </c>
      <c r="L124" s="113" t="s">
        <v>1524</v>
      </c>
    </row>
    <row r="125" spans="1:12">
      <c r="A125" s="114">
        <v>2022</v>
      </c>
      <c r="B125" s="114">
        <v>2022</v>
      </c>
      <c r="C125" s="114" t="s">
        <v>1258</v>
      </c>
      <c r="D125" s="110" t="s">
        <v>1323</v>
      </c>
      <c r="E125" s="110" t="s">
        <v>1112</v>
      </c>
      <c r="F125" s="114" t="s">
        <v>1175</v>
      </c>
      <c r="G125" s="110" t="s">
        <v>1322</v>
      </c>
      <c r="H125" s="111">
        <v>99</v>
      </c>
      <c r="I125" s="111">
        <v>128.69999999999999</v>
      </c>
      <c r="J125" s="112">
        <v>0.5</v>
      </c>
      <c r="K125" s="110" t="s">
        <v>1320</v>
      </c>
      <c r="L125" s="113" t="s">
        <v>1517</v>
      </c>
    </row>
    <row r="126" spans="1:12">
      <c r="A126" s="114">
        <v>2022</v>
      </c>
      <c r="B126" s="114">
        <v>2022</v>
      </c>
      <c r="C126" s="114" t="s">
        <v>1258</v>
      </c>
      <c r="D126" s="114" t="s">
        <v>1279</v>
      </c>
      <c r="E126" s="110" t="s">
        <v>1112</v>
      </c>
      <c r="F126" s="114" t="s">
        <v>1111</v>
      </c>
      <c r="G126" s="114" t="s">
        <v>1278</v>
      </c>
      <c r="H126" s="111">
        <v>185</v>
      </c>
      <c r="I126" s="111">
        <v>259</v>
      </c>
      <c r="J126" s="112">
        <v>0.5</v>
      </c>
      <c r="K126" s="110" t="s">
        <v>1108</v>
      </c>
      <c r="L126" s="113" t="s">
        <v>1525</v>
      </c>
    </row>
    <row r="127" spans="1:12">
      <c r="A127" s="114">
        <v>2022</v>
      </c>
      <c r="B127" s="114">
        <v>2022</v>
      </c>
      <c r="C127" s="114" t="s">
        <v>1258</v>
      </c>
      <c r="D127" s="114" t="s">
        <v>1276</v>
      </c>
      <c r="E127" s="110" t="s">
        <v>1112</v>
      </c>
      <c r="F127" s="114" t="s">
        <v>1111</v>
      </c>
      <c r="G127" s="114" t="s">
        <v>1117</v>
      </c>
      <c r="H127" s="111">
        <v>185</v>
      </c>
      <c r="I127" s="111">
        <v>259</v>
      </c>
      <c r="J127" s="112">
        <v>0.5</v>
      </c>
      <c r="K127" s="110" t="s">
        <v>1108</v>
      </c>
      <c r="L127" s="113" t="s">
        <v>1526</v>
      </c>
    </row>
    <row r="128" spans="1:12">
      <c r="A128" s="114">
        <v>2022</v>
      </c>
      <c r="B128" s="114">
        <v>2022</v>
      </c>
      <c r="C128" s="114" t="s">
        <v>1258</v>
      </c>
      <c r="D128" s="114" t="s">
        <v>1275</v>
      </c>
      <c r="E128" s="110" t="s">
        <v>1112</v>
      </c>
      <c r="F128" s="114" t="s">
        <v>1111</v>
      </c>
      <c r="G128" s="114" t="s">
        <v>1110</v>
      </c>
      <c r="H128" s="111">
        <v>185</v>
      </c>
      <c r="I128" s="111">
        <v>259</v>
      </c>
      <c r="J128" s="112">
        <v>0.5</v>
      </c>
      <c r="K128" s="110" t="s">
        <v>1108</v>
      </c>
      <c r="L128" s="113" t="s">
        <v>1527</v>
      </c>
    </row>
    <row r="129" spans="1:12">
      <c r="A129" s="114">
        <v>2022</v>
      </c>
      <c r="B129" s="114">
        <v>2022</v>
      </c>
      <c r="C129" s="114" t="s">
        <v>1258</v>
      </c>
      <c r="D129" s="114" t="s">
        <v>1274</v>
      </c>
      <c r="E129" s="110" t="s">
        <v>1112</v>
      </c>
      <c r="F129" s="114" t="s">
        <v>1111</v>
      </c>
      <c r="G129" s="110" t="s">
        <v>1273</v>
      </c>
      <c r="H129" s="111">
        <v>185</v>
      </c>
      <c r="I129" s="111">
        <v>259</v>
      </c>
      <c r="J129" s="112">
        <v>0.5</v>
      </c>
      <c r="K129" s="110" t="s">
        <v>1108</v>
      </c>
      <c r="L129" s="113" t="s">
        <v>1528</v>
      </c>
    </row>
    <row r="130" spans="1:12">
      <c r="A130" s="110">
        <v>2011</v>
      </c>
      <c r="B130" s="110">
        <v>2019</v>
      </c>
      <c r="C130" s="110" t="s">
        <v>1114</v>
      </c>
      <c r="D130" s="110" t="s">
        <v>1141</v>
      </c>
      <c r="E130" s="110" t="s">
        <v>1112</v>
      </c>
      <c r="F130" s="114" t="s">
        <v>1111</v>
      </c>
      <c r="G130" s="114" t="s">
        <v>1117</v>
      </c>
      <c r="H130" s="111">
        <v>185</v>
      </c>
      <c r="I130" s="111">
        <v>259</v>
      </c>
      <c r="J130" s="112">
        <v>0.5</v>
      </c>
      <c r="K130" s="110" t="s">
        <v>1108</v>
      </c>
      <c r="L130" s="113" t="s">
        <v>1140</v>
      </c>
    </row>
    <row r="131" spans="1:12">
      <c r="A131" s="110">
        <v>2011</v>
      </c>
      <c r="B131" s="110">
        <v>2019</v>
      </c>
      <c r="C131" s="110" t="s">
        <v>1114</v>
      </c>
      <c r="D131" s="110" t="s">
        <v>1139</v>
      </c>
      <c r="E131" s="110" t="s">
        <v>1112</v>
      </c>
      <c r="F131" s="114" t="s">
        <v>1111</v>
      </c>
      <c r="G131" s="114" t="s">
        <v>1125</v>
      </c>
      <c r="H131" s="111">
        <v>185</v>
      </c>
      <c r="I131" s="111">
        <v>259</v>
      </c>
      <c r="J131" s="112">
        <v>0.5</v>
      </c>
      <c r="K131" s="110" t="s">
        <v>1108</v>
      </c>
      <c r="L131" s="113" t="s">
        <v>1138</v>
      </c>
    </row>
    <row r="132" spans="1:12">
      <c r="A132" s="110">
        <v>2018</v>
      </c>
      <c r="B132" s="110">
        <v>2019</v>
      </c>
      <c r="C132" s="110" t="s">
        <v>1114</v>
      </c>
      <c r="D132" s="110" t="s">
        <v>1225</v>
      </c>
      <c r="E132" s="110" t="s">
        <v>1112</v>
      </c>
      <c r="F132" s="114" t="s">
        <v>1175</v>
      </c>
      <c r="G132" s="114" t="s">
        <v>1222</v>
      </c>
      <c r="H132" s="111">
        <v>185</v>
      </c>
      <c r="I132" s="111">
        <v>259</v>
      </c>
      <c r="J132" s="112">
        <v>0.5</v>
      </c>
      <c r="K132" s="110" t="s">
        <v>1172</v>
      </c>
      <c r="L132" s="113" t="s">
        <v>1224</v>
      </c>
    </row>
    <row r="133" spans="1:12">
      <c r="A133" s="110">
        <v>2020</v>
      </c>
      <c r="B133" s="110">
        <v>2022</v>
      </c>
      <c r="C133" s="110" t="s">
        <v>1114</v>
      </c>
      <c r="D133" s="110" t="s">
        <v>1223</v>
      </c>
      <c r="E133" s="110" t="s">
        <v>1112</v>
      </c>
      <c r="F133" s="114" t="s">
        <v>1175</v>
      </c>
      <c r="G133" s="114" t="s">
        <v>1222</v>
      </c>
      <c r="H133" s="111">
        <v>185</v>
      </c>
      <c r="I133" s="111">
        <v>259</v>
      </c>
      <c r="J133" s="112">
        <v>0.5</v>
      </c>
      <c r="K133" s="110" t="s">
        <v>1172</v>
      </c>
      <c r="L133" s="113" t="s">
        <v>1220</v>
      </c>
    </row>
    <row r="134" spans="1:12">
      <c r="A134" s="110">
        <v>2020</v>
      </c>
      <c r="B134" s="110">
        <v>2022</v>
      </c>
      <c r="C134" s="110" t="s">
        <v>1114</v>
      </c>
      <c r="D134" s="110" t="s">
        <v>1137</v>
      </c>
      <c r="E134" s="110" t="s">
        <v>1112</v>
      </c>
      <c r="F134" s="114" t="s">
        <v>1111</v>
      </c>
      <c r="G134" s="114" t="s">
        <v>1117</v>
      </c>
      <c r="H134" s="111">
        <v>185</v>
      </c>
      <c r="I134" s="111">
        <v>259</v>
      </c>
      <c r="J134" s="112">
        <v>0.5</v>
      </c>
      <c r="K134" s="110" t="s">
        <v>1108</v>
      </c>
      <c r="L134" s="113" t="s">
        <v>1136</v>
      </c>
    </row>
    <row r="135" spans="1:12">
      <c r="A135" s="110">
        <v>2010</v>
      </c>
      <c r="B135" s="110">
        <v>2019</v>
      </c>
      <c r="C135" s="110" t="s">
        <v>1114</v>
      </c>
      <c r="D135" s="110" t="s">
        <v>1219</v>
      </c>
      <c r="E135" s="110" t="s">
        <v>1112</v>
      </c>
      <c r="F135" s="114" t="s">
        <v>1175</v>
      </c>
      <c r="G135" s="114" t="s">
        <v>1185</v>
      </c>
      <c r="H135" s="111">
        <v>75</v>
      </c>
      <c r="I135" s="111">
        <v>99</v>
      </c>
      <c r="J135" s="112">
        <v>0.5</v>
      </c>
      <c r="K135" s="110" t="s">
        <v>1157</v>
      </c>
      <c r="L135" s="113" t="s">
        <v>1218</v>
      </c>
    </row>
    <row r="136" spans="1:12">
      <c r="A136" s="110">
        <v>2011</v>
      </c>
      <c r="B136" s="110">
        <v>2022</v>
      </c>
      <c r="C136" s="110" t="s">
        <v>1114</v>
      </c>
      <c r="D136" s="110" t="s">
        <v>1169</v>
      </c>
      <c r="E136" s="110" t="s">
        <v>1112</v>
      </c>
      <c r="F136" s="114" t="s">
        <v>1147</v>
      </c>
      <c r="G136" s="114" t="s">
        <v>1168</v>
      </c>
      <c r="H136" s="111">
        <v>75</v>
      </c>
      <c r="I136" s="111">
        <v>97.5</v>
      </c>
      <c r="J136" s="112">
        <v>0.5</v>
      </c>
      <c r="K136" s="110" t="s">
        <v>1163</v>
      </c>
      <c r="L136" s="113" t="s">
        <v>1540</v>
      </c>
    </row>
    <row r="137" spans="1:12">
      <c r="A137" s="110">
        <v>2011</v>
      </c>
      <c r="B137" s="110">
        <v>2022</v>
      </c>
      <c r="C137" s="110" t="s">
        <v>1114</v>
      </c>
      <c r="D137" s="110" t="s">
        <v>1166</v>
      </c>
      <c r="E137" s="110" t="s">
        <v>1112</v>
      </c>
      <c r="F137" s="114" t="s">
        <v>1147</v>
      </c>
      <c r="G137" s="114" t="s">
        <v>1165</v>
      </c>
      <c r="H137" s="111">
        <v>680.6</v>
      </c>
      <c r="I137" s="111">
        <v>884.78</v>
      </c>
      <c r="J137" s="112">
        <v>0.5</v>
      </c>
      <c r="K137" s="110" t="s">
        <v>1163</v>
      </c>
      <c r="L137" s="113" t="s">
        <v>1161</v>
      </c>
    </row>
    <row r="138" spans="1:12">
      <c r="A138" s="110">
        <v>2011</v>
      </c>
      <c r="B138" s="110">
        <v>2019</v>
      </c>
      <c r="C138" s="110" t="s">
        <v>1114</v>
      </c>
      <c r="D138" s="110" t="s">
        <v>1135</v>
      </c>
      <c r="E138" s="110" t="s">
        <v>1112</v>
      </c>
      <c r="F138" s="114" t="s">
        <v>1111</v>
      </c>
      <c r="G138" s="115" t="s">
        <v>1129</v>
      </c>
      <c r="H138" s="111">
        <v>185</v>
      </c>
      <c r="I138" s="111">
        <v>259</v>
      </c>
      <c r="J138" s="112">
        <v>0.5</v>
      </c>
      <c r="K138" s="110" t="s">
        <v>1108</v>
      </c>
      <c r="L138" s="113" t="s">
        <v>1541</v>
      </c>
    </row>
    <row r="139" spans="1:12">
      <c r="A139" s="110">
        <v>2011</v>
      </c>
      <c r="B139" s="110">
        <v>2022</v>
      </c>
      <c r="C139" s="110" t="s">
        <v>1114</v>
      </c>
      <c r="D139" s="110" t="s">
        <v>1217</v>
      </c>
      <c r="E139" s="110" t="s">
        <v>1112</v>
      </c>
      <c r="F139" s="114" t="s">
        <v>1175</v>
      </c>
      <c r="G139" s="114" t="s">
        <v>1216</v>
      </c>
      <c r="H139" s="111">
        <v>185</v>
      </c>
      <c r="I139" s="111">
        <v>259</v>
      </c>
      <c r="J139" s="112">
        <v>0.5</v>
      </c>
      <c r="K139" s="110" t="s">
        <v>1172</v>
      </c>
      <c r="L139" s="113" t="s">
        <v>1537</v>
      </c>
    </row>
    <row r="140" spans="1:12">
      <c r="A140" s="110">
        <v>2011</v>
      </c>
      <c r="B140" s="110">
        <v>2022</v>
      </c>
      <c r="C140" s="110" t="s">
        <v>1114</v>
      </c>
      <c r="D140" s="110" t="s">
        <v>1214</v>
      </c>
      <c r="E140" s="110" t="s">
        <v>1112</v>
      </c>
      <c r="F140" s="114" t="s">
        <v>1175</v>
      </c>
      <c r="G140" s="114" t="s">
        <v>1213</v>
      </c>
      <c r="H140" s="111">
        <v>185</v>
      </c>
      <c r="I140" s="111">
        <v>259</v>
      </c>
      <c r="J140" s="112">
        <v>0.5</v>
      </c>
      <c r="K140" s="110" t="s">
        <v>1172</v>
      </c>
      <c r="L140" s="113" t="s">
        <v>1538</v>
      </c>
    </row>
    <row r="141" spans="1:12">
      <c r="A141" s="110">
        <v>2011</v>
      </c>
      <c r="B141" s="110">
        <v>2019</v>
      </c>
      <c r="C141" s="110" t="s">
        <v>1114</v>
      </c>
      <c r="D141" s="110" t="s">
        <v>1134</v>
      </c>
      <c r="E141" s="110" t="s">
        <v>1112</v>
      </c>
      <c r="F141" s="114" t="s">
        <v>1111</v>
      </c>
      <c r="G141" s="114" t="s">
        <v>1125</v>
      </c>
      <c r="H141" s="111">
        <v>185</v>
      </c>
      <c r="I141" s="111">
        <v>259</v>
      </c>
      <c r="J141" s="112">
        <v>0.5</v>
      </c>
      <c r="K141" s="110" t="s">
        <v>1108</v>
      </c>
      <c r="L141" s="113" t="s">
        <v>1542</v>
      </c>
    </row>
    <row r="142" spans="1:12">
      <c r="A142" s="110">
        <v>2011</v>
      </c>
      <c r="B142" s="110">
        <v>2022</v>
      </c>
      <c r="C142" s="110" t="s">
        <v>1114</v>
      </c>
      <c r="D142" s="110" t="s">
        <v>1211</v>
      </c>
      <c r="E142" s="110" t="s">
        <v>1112</v>
      </c>
      <c r="F142" s="114" t="s">
        <v>1175</v>
      </c>
      <c r="G142" s="114" t="s">
        <v>1210</v>
      </c>
      <c r="H142" s="111">
        <v>185</v>
      </c>
      <c r="I142" s="111">
        <v>259</v>
      </c>
      <c r="J142" s="112">
        <v>0.5</v>
      </c>
      <c r="K142" s="110" t="s">
        <v>1172</v>
      </c>
      <c r="L142" s="113" t="s">
        <v>1208</v>
      </c>
    </row>
    <row r="143" spans="1:12">
      <c r="A143" s="110">
        <v>2011</v>
      </c>
      <c r="B143" s="110">
        <v>2022</v>
      </c>
      <c r="C143" s="110" t="s">
        <v>1114</v>
      </c>
      <c r="D143" s="110" t="s">
        <v>1160</v>
      </c>
      <c r="E143" s="110" t="s">
        <v>1112</v>
      </c>
      <c r="F143" s="114" t="s">
        <v>1147</v>
      </c>
      <c r="G143" s="114" t="s">
        <v>1159</v>
      </c>
      <c r="H143" s="111">
        <v>99</v>
      </c>
      <c r="I143" s="111">
        <v>128.69999999999999</v>
      </c>
      <c r="J143" s="112">
        <v>0.5</v>
      </c>
      <c r="K143" s="110" t="s">
        <v>1157</v>
      </c>
      <c r="L143" s="113" t="s">
        <v>1155</v>
      </c>
    </row>
    <row r="144" spans="1:12">
      <c r="A144" s="110">
        <v>2011</v>
      </c>
      <c r="B144" s="110">
        <v>2019</v>
      </c>
      <c r="C144" s="110" t="s">
        <v>1114</v>
      </c>
      <c r="D144" s="110" t="s">
        <v>1133</v>
      </c>
      <c r="E144" s="110" t="s">
        <v>1112</v>
      </c>
      <c r="F144" s="114" t="s">
        <v>1111</v>
      </c>
      <c r="G144" s="114" t="s">
        <v>1121</v>
      </c>
      <c r="H144" s="111">
        <v>185</v>
      </c>
      <c r="I144" s="111">
        <v>259</v>
      </c>
      <c r="J144" s="112">
        <v>0.5</v>
      </c>
      <c r="K144" s="110" t="s">
        <v>1108</v>
      </c>
      <c r="L144" s="113" t="s">
        <v>1543</v>
      </c>
    </row>
    <row r="145" spans="1:12">
      <c r="A145" s="110">
        <v>2011</v>
      </c>
      <c r="B145" s="110">
        <v>2019</v>
      </c>
      <c r="C145" s="110" t="s">
        <v>1114</v>
      </c>
      <c r="D145" s="110" t="s">
        <v>1132</v>
      </c>
      <c r="E145" s="110" t="s">
        <v>1112</v>
      </c>
      <c r="F145" s="114" t="s">
        <v>1111</v>
      </c>
      <c r="G145" s="114" t="s">
        <v>1117</v>
      </c>
      <c r="H145" s="111">
        <v>185</v>
      </c>
      <c r="I145" s="111">
        <v>259</v>
      </c>
      <c r="J145" s="112">
        <v>0.5</v>
      </c>
      <c r="K145" s="110" t="s">
        <v>1108</v>
      </c>
      <c r="L145" s="113" t="s">
        <v>1544</v>
      </c>
    </row>
    <row r="146" spans="1:12">
      <c r="A146" s="110">
        <v>2011</v>
      </c>
      <c r="B146" s="110">
        <v>2019</v>
      </c>
      <c r="C146" s="110" t="s">
        <v>1114</v>
      </c>
      <c r="D146" s="110" t="s">
        <v>1131</v>
      </c>
      <c r="E146" s="110" t="s">
        <v>1112</v>
      </c>
      <c r="F146" s="114" t="s">
        <v>1111</v>
      </c>
      <c r="G146" s="114" t="s">
        <v>1110</v>
      </c>
      <c r="H146" s="111">
        <v>185</v>
      </c>
      <c r="I146" s="111">
        <v>259</v>
      </c>
      <c r="J146" s="112">
        <v>0.5</v>
      </c>
      <c r="K146" s="110" t="s">
        <v>1108</v>
      </c>
      <c r="L146" s="113" t="s">
        <v>1545</v>
      </c>
    </row>
    <row r="147" spans="1:12">
      <c r="A147" s="110">
        <v>2016</v>
      </c>
      <c r="B147" s="110">
        <v>2019</v>
      </c>
      <c r="C147" s="110" t="s">
        <v>1114</v>
      </c>
      <c r="D147" s="110" t="s">
        <v>1207</v>
      </c>
      <c r="E147" s="110" t="s">
        <v>1112</v>
      </c>
      <c r="F147" s="114" t="s">
        <v>1175</v>
      </c>
      <c r="G147" s="110" t="s">
        <v>1206</v>
      </c>
      <c r="H147" s="111">
        <v>275</v>
      </c>
      <c r="I147" s="111">
        <v>389</v>
      </c>
      <c r="J147" s="112">
        <v>0.5</v>
      </c>
      <c r="K147" s="110" t="s">
        <v>1172</v>
      </c>
      <c r="L147" s="113" t="s">
        <v>1204</v>
      </c>
    </row>
    <row r="148" spans="1:12">
      <c r="A148" s="110">
        <v>2020</v>
      </c>
      <c r="B148" s="110">
        <v>2022</v>
      </c>
      <c r="C148" s="110" t="s">
        <v>1114</v>
      </c>
      <c r="D148" s="110" t="s">
        <v>1203</v>
      </c>
      <c r="E148" s="110" t="s">
        <v>1112</v>
      </c>
      <c r="F148" s="114" t="s">
        <v>1175</v>
      </c>
      <c r="G148" s="110" t="s">
        <v>1202</v>
      </c>
      <c r="H148" s="111">
        <v>75</v>
      </c>
      <c r="I148" s="111">
        <v>99</v>
      </c>
      <c r="J148" s="112">
        <v>0.5</v>
      </c>
      <c r="K148" s="110" t="s">
        <v>1157</v>
      </c>
      <c r="L148" s="113" t="s">
        <v>1200</v>
      </c>
    </row>
    <row r="149" spans="1:12">
      <c r="A149" s="110">
        <v>2020</v>
      </c>
      <c r="B149" s="110">
        <v>2022</v>
      </c>
      <c r="C149" s="110" t="s">
        <v>1114</v>
      </c>
      <c r="D149" s="110" t="s">
        <v>1199</v>
      </c>
      <c r="E149" s="110" t="s">
        <v>1112</v>
      </c>
      <c r="F149" s="114" t="s">
        <v>1175</v>
      </c>
      <c r="G149" s="110" t="s">
        <v>1198</v>
      </c>
      <c r="H149" s="111">
        <v>75</v>
      </c>
      <c r="I149" s="111">
        <v>105</v>
      </c>
      <c r="J149" s="112">
        <v>0.5</v>
      </c>
      <c r="K149" s="110" t="s">
        <v>1157</v>
      </c>
      <c r="L149" s="113" t="s">
        <v>1196</v>
      </c>
    </row>
    <row r="150" spans="1:12">
      <c r="A150" s="110">
        <v>2020</v>
      </c>
      <c r="B150" s="110">
        <v>2022</v>
      </c>
      <c r="C150" s="110" t="s">
        <v>1114</v>
      </c>
      <c r="D150" s="110" t="s">
        <v>1195</v>
      </c>
      <c r="E150" s="110" t="s">
        <v>1112</v>
      </c>
      <c r="F150" s="114" t="s">
        <v>1175</v>
      </c>
      <c r="G150" s="110" t="s">
        <v>1194</v>
      </c>
      <c r="H150" s="111">
        <v>429</v>
      </c>
      <c r="I150" s="111">
        <v>599</v>
      </c>
      <c r="J150" s="112">
        <v>0.5</v>
      </c>
      <c r="K150" s="110" t="s">
        <v>1189</v>
      </c>
      <c r="L150" s="113" t="s">
        <v>1539</v>
      </c>
    </row>
    <row r="151" spans="1:12">
      <c r="A151" s="110">
        <v>2020</v>
      </c>
      <c r="B151" s="110">
        <v>2022</v>
      </c>
      <c r="C151" s="110" t="s">
        <v>1114</v>
      </c>
      <c r="D151" s="110" t="s">
        <v>1130</v>
      </c>
      <c r="E151" s="110" t="s">
        <v>1112</v>
      </c>
      <c r="F151" s="114" t="s">
        <v>1111</v>
      </c>
      <c r="G151" s="115" t="s">
        <v>1129</v>
      </c>
      <c r="H151" s="111">
        <v>185</v>
      </c>
      <c r="I151" s="111">
        <v>259</v>
      </c>
      <c r="J151" s="112">
        <v>0.5</v>
      </c>
      <c r="K151" s="110" t="s">
        <v>1108</v>
      </c>
      <c r="L151" s="113" t="s">
        <v>1127</v>
      </c>
    </row>
    <row r="152" spans="1:12">
      <c r="A152" s="110">
        <v>2020</v>
      </c>
      <c r="B152" s="110">
        <v>2022</v>
      </c>
      <c r="C152" s="110" t="s">
        <v>1114</v>
      </c>
      <c r="D152" s="110" t="s">
        <v>1154</v>
      </c>
      <c r="E152" s="110" t="s">
        <v>1112</v>
      </c>
      <c r="F152" s="114" t="s">
        <v>1147</v>
      </c>
      <c r="G152" s="114" t="s">
        <v>1153</v>
      </c>
      <c r="H152" s="111">
        <v>185</v>
      </c>
      <c r="I152" s="111">
        <v>259</v>
      </c>
      <c r="J152" s="112">
        <v>0.5</v>
      </c>
      <c r="K152" s="110" t="s">
        <v>1151</v>
      </c>
      <c r="L152" s="113" t="s">
        <v>1149</v>
      </c>
    </row>
    <row r="153" spans="1:12">
      <c r="A153" s="110">
        <v>2020</v>
      </c>
      <c r="B153" s="110">
        <v>2022</v>
      </c>
      <c r="C153" s="110" t="s">
        <v>1114</v>
      </c>
      <c r="D153" s="110" t="s">
        <v>1192</v>
      </c>
      <c r="E153" s="110" t="s">
        <v>1112</v>
      </c>
      <c r="F153" s="114" t="s">
        <v>1175</v>
      </c>
      <c r="G153" s="116" t="s">
        <v>1191</v>
      </c>
      <c r="H153" s="111">
        <v>225</v>
      </c>
      <c r="I153" s="111">
        <v>319</v>
      </c>
      <c r="J153" s="112">
        <v>0.5</v>
      </c>
      <c r="K153" s="117" t="s">
        <v>1189</v>
      </c>
      <c r="L153" s="113" t="s">
        <v>1187</v>
      </c>
    </row>
    <row r="154" spans="1:12">
      <c r="A154" s="110">
        <v>2020</v>
      </c>
      <c r="B154" s="110">
        <v>2022</v>
      </c>
      <c r="C154" s="110" t="s">
        <v>1114</v>
      </c>
      <c r="D154" s="110" t="s">
        <v>1186</v>
      </c>
      <c r="E154" s="110" t="s">
        <v>1112</v>
      </c>
      <c r="F154" s="114" t="s">
        <v>1175</v>
      </c>
      <c r="G154" s="114" t="s">
        <v>1185</v>
      </c>
      <c r="H154" s="111">
        <v>75</v>
      </c>
      <c r="I154" s="111">
        <v>99</v>
      </c>
      <c r="J154" s="112">
        <v>0.5</v>
      </c>
      <c r="K154" s="110" t="s">
        <v>1157</v>
      </c>
      <c r="L154" s="113" t="s">
        <v>1183</v>
      </c>
    </row>
    <row r="155" spans="1:12">
      <c r="A155" s="110">
        <v>2020</v>
      </c>
      <c r="B155" s="110">
        <v>2022</v>
      </c>
      <c r="C155" s="110" t="s">
        <v>1114</v>
      </c>
      <c r="D155" s="110" t="s">
        <v>1182</v>
      </c>
      <c r="E155" s="110" t="s">
        <v>1112</v>
      </c>
      <c r="F155" s="114" t="s">
        <v>1175</v>
      </c>
      <c r="G155" s="114" t="s">
        <v>1181</v>
      </c>
      <c r="H155" s="111">
        <v>185</v>
      </c>
      <c r="I155" s="111">
        <v>259</v>
      </c>
      <c r="J155" s="112">
        <v>0.5</v>
      </c>
      <c r="K155" s="110" t="s">
        <v>1179</v>
      </c>
      <c r="L155" s="113" t="s">
        <v>1177</v>
      </c>
    </row>
    <row r="156" spans="1:12">
      <c r="A156" s="110">
        <v>2020</v>
      </c>
      <c r="B156" s="110">
        <v>2022</v>
      </c>
      <c r="C156" s="110" t="s">
        <v>1114</v>
      </c>
      <c r="D156" s="110" t="s">
        <v>1148</v>
      </c>
      <c r="E156" s="110" t="s">
        <v>1112</v>
      </c>
      <c r="F156" s="114" t="s">
        <v>1147</v>
      </c>
      <c r="G156" s="114" t="s">
        <v>1146</v>
      </c>
      <c r="H156" s="111">
        <v>429</v>
      </c>
      <c r="I156" s="111">
        <v>599</v>
      </c>
      <c r="J156" s="112">
        <v>0.5</v>
      </c>
      <c r="K156" s="110" t="s">
        <v>1144</v>
      </c>
      <c r="L156" s="113" t="s">
        <v>1142</v>
      </c>
    </row>
    <row r="157" spans="1:12">
      <c r="A157" s="110">
        <v>2020</v>
      </c>
      <c r="B157" s="110">
        <v>2022</v>
      </c>
      <c r="C157" s="110" t="s">
        <v>1114</v>
      </c>
      <c r="D157" s="110" t="s">
        <v>1126</v>
      </c>
      <c r="E157" s="110" t="s">
        <v>1112</v>
      </c>
      <c r="F157" s="114" t="s">
        <v>1111</v>
      </c>
      <c r="G157" s="114" t="s">
        <v>1125</v>
      </c>
      <c r="H157" s="111">
        <v>185</v>
      </c>
      <c r="I157" s="111">
        <v>259</v>
      </c>
      <c r="J157" s="112">
        <v>0.5</v>
      </c>
      <c r="K157" s="110" t="s">
        <v>1108</v>
      </c>
      <c r="L157" s="113" t="s">
        <v>1123</v>
      </c>
    </row>
    <row r="158" spans="1:12">
      <c r="A158" s="110">
        <v>2020</v>
      </c>
      <c r="B158" s="110">
        <v>2022</v>
      </c>
      <c r="C158" s="110" t="s">
        <v>1114</v>
      </c>
      <c r="D158" s="110" t="s">
        <v>1176</v>
      </c>
      <c r="E158" s="110" t="s">
        <v>1112</v>
      </c>
      <c r="F158" s="114" t="s">
        <v>1175</v>
      </c>
      <c r="G158" s="116" t="s">
        <v>1174</v>
      </c>
      <c r="H158" s="111">
        <v>325</v>
      </c>
      <c r="I158" s="111">
        <v>449</v>
      </c>
      <c r="J158" s="112">
        <v>0.5</v>
      </c>
      <c r="K158" s="110" t="s">
        <v>1172</v>
      </c>
      <c r="L158" s="113" t="s">
        <v>1170</v>
      </c>
    </row>
    <row r="159" spans="1:12">
      <c r="A159" s="110">
        <v>2020</v>
      </c>
      <c r="B159" s="110">
        <v>2022</v>
      </c>
      <c r="C159" s="110" t="s">
        <v>1114</v>
      </c>
      <c r="D159" s="110" t="s">
        <v>1122</v>
      </c>
      <c r="E159" s="110" t="s">
        <v>1112</v>
      </c>
      <c r="F159" s="114" t="s">
        <v>1111</v>
      </c>
      <c r="G159" s="114" t="s">
        <v>1121</v>
      </c>
      <c r="H159" s="111">
        <v>185</v>
      </c>
      <c r="I159" s="111">
        <v>259</v>
      </c>
      <c r="J159" s="112">
        <v>0.5</v>
      </c>
      <c r="K159" s="110" t="s">
        <v>1108</v>
      </c>
      <c r="L159" s="113" t="s">
        <v>1119</v>
      </c>
    </row>
    <row r="160" spans="1:12">
      <c r="A160" s="110">
        <v>2020</v>
      </c>
      <c r="B160" s="110">
        <v>2022</v>
      </c>
      <c r="C160" s="110" t="s">
        <v>1114</v>
      </c>
      <c r="D160" s="110" t="s">
        <v>1118</v>
      </c>
      <c r="E160" s="110" t="s">
        <v>1112</v>
      </c>
      <c r="F160" s="114" t="s">
        <v>1111</v>
      </c>
      <c r="G160" s="114" t="s">
        <v>1117</v>
      </c>
      <c r="H160" s="111">
        <v>185</v>
      </c>
      <c r="I160" s="111">
        <v>259</v>
      </c>
      <c r="J160" s="112">
        <v>0.5</v>
      </c>
      <c r="K160" s="110" t="s">
        <v>1108</v>
      </c>
      <c r="L160" s="113" t="s">
        <v>1115</v>
      </c>
    </row>
    <row r="161" spans="1:12">
      <c r="A161" s="110">
        <v>2020</v>
      </c>
      <c r="B161" s="110">
        <v>2022</v>
      </c>
      <c r="C161" s="110" t="s">
        <v>1114</v>
      </c>
      <c r="D161" s="110" t="s">
        <v>1113</v>
      </c>
      <c r="E161" s="110" t="s">
        <v>1112</v>
      </c>
      <c r="F161" s="114" t="s">
        <v>1111</v>
      </c>
      <c r="G161" s="114" t="s">
        <v>1110</v>
      </c>
      <c r="H161" s="111">
        <v>185</v>
      </c>
      <c r="I161" s="111">
        <v>259</v>
      </c>
      <c r="J161" s="112">
        <v>0.5</v>
      </c>
      <c r="K161" s="110" t="s">
        <v>1108</v>
      </c>
      <c r="L161" s="113" t="s">
        <v>1106</v>
      </c>
    </row>
  </sheetData>
  <hyperlinks>
    <hyperlink ref="L16" r:id="rId1" xr:uid="{59B050A5-8F58-4280-AC56-A415B8FDED2B}"/>
    <hyperlink ref="L17" r:id="rId2" xr:uid="{15A66BC5-EE9B-4ED4-BCCF-F10C2AD2B73D}"/>
    <hyperlink ref="L18" r:id="rId3" xr:uid="{2331CD25-DF45-4A64-893A-02C2ECABF275}"/>
    <hyperlink ref="L19" r:id="rId4" xr:uid="{A9CF3A1A-3F20-484A-A079-E9EC5EF966BD}"/>
    <hyperlink ref="L20" r:id="rId5" xr:uid="{1A3CBCDD-F24D-4DD1-8403-6282D9EAB084}"/>
    <hyperlink ref="L21" r:id="rId6" xr:uid="{D33021F4-083F-4D4D-9F8F-7ACBD4320CFD}"/>
    <hyperlink ref="L22" r:id="rId7" xr:uid="{4802C2DD-67EE-474E-BE20-8DD8503FEB7B}"/>
    <hyperlink ref="L23" r:id="rId8" xr:uid="{0213F649-07D9-481D-A626-D91B681B7A33}"/>
    <hyperlink ref="L24" r:id="rId9" xr:uid="{32631BAD-20DF-4659-901F-43AC4FEDF31F}"/>
    <hyperlink ref="L25" r:id="rId10" xr:uid="{98E98A67-C6D6-4DEA-8E2D-59E448442279}"/>
    <hyperlink ref="L26" r:id="rId11" xr:uid="{1E7A6FC2-5404-4F1A-853F-9077F587D609}"/>
    <hyperlink ref="L27" r:id="rId12" xr:uid="{54BC4BA1-9FF4-490C-89D2-2935FAD34662}"/>
    <hyperlink ref="L28" r:id="rId13" xr:uid="{3AB3A6B4-3519-4185-AE12-A66B449E5D86}"/>
    <hyperlink ref="L29" r:id="rId14" xr:uid="{8FE2D628-74BF-46CD-BEC6-9C85DE90A952}"/>
    <hyperlink ref="L30" r:id="rId15" xr:uid="{549D0B18-3C6B-4A97-9B3D-D70255021512}"/>
    <hyperlink ref="L31" r:id="rId16" xr:uid="{74E0BD4C-13D1-496B-92A1-FACCD96B6B50}"/>
    <hyperlink ref="L32" r:id="rId17" xr:uid="{29E7CEA2-6E3E-4230-B6D8-BB2541180300}"/>
    <hyperlink ref="L33" r:id="rId18" xr:uid="{104CCEB8-FA40-4793-85CD-851DEBB9A184}"/>
    <hyperlink ref="L34" r:id="rId19" xr:uid="{A937DB51-2A60-4004-866D-90CA6AF47A7C}"/>
    <hyperlink ref="L35" r:id="rId20" xr:uid="{83F3C1D7-C43D-4D19-ABF0-3339CBA10FFA}"/>
    <hyperlink ref="L36" r:id="rId21" xr:uid="{C4F9330B-7CC2-491C-A2BE-48FEB7E40B82}"/>
    <hyperlink ref="L37" r:id="rId22" xr:uid="{403408CB-4390-4874-9401-D0AC13D378E8}"/>
    <hyperlink ref="L38" r:id="rId23" xr:uid="{2647CDE3-1858-40AF-880A-0269F7F7F3F7}"/>
    <hyperlink ref="L39" r:id="rId24" xr:uid="{97BF5BD8-1546-4FD7-B6CE-B253B88C53F4}"/>
    <hyperlink ref="L40" r:id="rId25" xr:uid="{7760C1B3-F680-472D-8039-072434A7D12B}"/>
    <hyperlink ref="L41" r:id="rId26" xr:uid="{B7099B22-6882-457E-82B6-971DD5E04337}"/>
    <hyperlink ref="L42" r:id="rId27" xr:uid="{8C4229A4-A0F3-4F9D-848A-9549820B81D0}"/>
    <hyperlink ref="L43" r:id="rId28" xr:uid="{37CFF91A-E542-4883-8E82-EB7D7D6AA9B4}"/>
    <hyperlink ref="L44" r:id="rId29" xr:uid="{7E84ED8C-7041-4422-BB39-E57DEDC80F19}"/>
    <hyperlink ref="L45" r:id="rId30" xr:uid="{87A09952-C632-4ED9-B478-46A5E930B9A5}"/>
    <hyperlink ref="L46" r:id="rId31" xr:uid="{DC5F7D1D-980F-478C-9647-1C3094D7B642}"/>
    <hyperlink ref="L47" r:id="rId32" xr:uid="{48DCAC46-893E-45A1-BDAC-CB583ED15000}"/>
    <hyperlink ref="L48" r:id="rId33" xr:uid="{9BDC8FB9-D148-47F0-B47C-F13851F46BC1}"/>
    <hyperlink ref="L49" r:id="rId34" xr:uid="{48F11087-8765-4A38-A802-BE6660E75E2F}"/>
    <hyperlink ref="L50" r:id="rId35" xr:uid="{DFF8FF08-D32C-440E-A04A-D17B650F1127}"/>
    <hyperlink ref="L51" r:id="rId36" xr:uid="{A892DACA-8FB0-415F-932C-70D69256D55E}"/>
    <hyperlink ref="L52" r:id="rId37" xr:uid="{B75D369B-3140-4652-93D8-7881BB9DFCBA}"/>
    <hyperlink ref="L53" r:id="rId38" xr:uid="{EF4F1165-5D60-490B-82A0-9049F02E0A08}"/>
    <hyperlink ref="L54" r:id="rId39" xr:uid="{2D167A74-BEDC-47A7-A8E7-48AC76C21CBD}"/>
    <hyperlink ref="L55" r:id="rId40" xr:uid="{1E951DBB-A671-4A7A-9FD2-668C7D250F3D}"/>
    <hyperlink ref="L56" r:id="rId41" xr:uid="{C415E175-1EDF-495B-B8C2-8F6D1E719C56}"/>
    <hyperlink ref="L57" r:id="rId42" xr:uid="{7A31B0B8-764A-4881-BA33-2C883CC24520}"/>
    <hyperlink ref="L58" r:id="rId43" xr:uid="{778259C4-4551-4864-A181-8A7E500DFD2C}"/>
    <hyperlink ref="L59" r:id="rId44" xr:uid="{C7FAA3BD-2877-42B9-8B77-D63FE2AEF21B}"/>
    <hyperlink ref="L60" r:id="rId45" xr:uid="{8CEDB313-FC48-45BA-A691-0F1D94421DF8}"/>
    <hyperlink ref="L61" r:id="rId46" xr:uid="{EE6CF6C1-F072-4481-8ABF-ABAA813DFEF8}"/>
    <hyperlink ref="L62" r:id="rId47" xr:uid="{155DACDB-3E83-4B1B-99F2-D8EAD6AC2E0C}"/>
    <hyperlink ref="L63" r:id="rId48" xr:uid="{CA1715F5-6831-4701-919E-652E824CDEC6}"/>
    <hyperlink ref="L64" r:id="rId49" xr:uid="{82037907-A212-4B2A-B86C-3B4F4D210B04}"/>
    <hyperlink ref="L65" r:id="rId50" xr:uid="{7E2035BC-9BD3-4008-9875-9D856B0E56AB}"/>
    <hyperlink ref="L66" r:id="rId51" xr:uid="{F55C5EC2-15CA-4E2B-9E6F-5743E9331C09}"/>
    <hyperlink ref="L67" r:id="rId52" xr:uid="{CAE038F1-C774-478F-9573-F678F2298BDB}"/>
    <hyperlink ref="L68" r:id="rId53" xr:uid="{3FC9BE3F-F1B8-427E-A616-3402E6C1C48D}"/>
    <hyperlink ref="L69" r:id="rId54" xr:uid="{033F8331-AAF0-4F34-A48E-53A642BE1AA0}"/>
    <hyperlink ref="L70" r:id="rId55" xr:uid="{BD152319-ACA5-408C-A781-CF6471217936}"/>
    <hyperlink ref="L71" r:id="rId56" xr:uid="{8FC5BB37-E8C7-44FD-B34C-CB6A6A59756F}"/>
    <hyperlink ref="L72" r:id="rId57" xr:uid="{2B6E8614-6778-49C9-AC29-E6A07987F23E}"/>
    <hyperlink ref="L73" r:id="rId58" xr:uid="{AB24A068-EA44-4E2B-9548-BE8B487F5DE7}"/>
    <hyperlink ref="L74" r:id="rId59" xr:uid="{CA31B4D3-A63E-486B-AB16-65A685C5B173}"/>
    <hyperlink ref="L75" r:id="rId60" xr:uid="{0073D54F-B36C-4571-B415-39C88FEB7562}"/>
    <hyperlink ref="L76" r:id="rId61" xr:uid="{9CAA8A68-614C-4AE8-B399-0509E178D69B}"/>
    <hyperlink ref="L77" r:id="rId62" xr:uid="{91068DDC-BFF3-4188-865A-D71062D982F9}"/>
    <hyperlink ref="L78" r:id="rId63" xr:uid="{6234F882-3CB7-461B-AA09-DD36D6E1BCD4}"/>
    <hyperlink ref="L79" r:id="rId64" xr:uid="{706B2AD0-5F60-4322-8BB3-3D5A2E5FDF54}"/>
    <hyperlink ref="L80" r:id="rId65" xr:uid="{074FE080-F85C-4A76-A8CD-EE2ACEB889BD}"/>
    <hyperlink ref="L81" r:id="rId66" xr:uid="{B3858397-080B-4556-A4D0-01FA1B7D63AD}"/>
    <hyperlink ref="L82" r:id="rId67" xr:uid="{FEDA6FB6-D796-4C70-8645-5F9FD782AFDA}"/>
    <hyperlink ref="L83" r:id="rId68" xr:uid="{22BA427E-1F15-40B3-8AF4-95895B409801}"/>
    <hyperlink ref="L84" r:id="rId69" xr:uid="{2C493ADB-4403-41A9-9A6D-6C0BC32C45E8}"/>
    <hyperlink ref="L85" r:id="rId70" xr:uid="{DDD77F9C-BAA1-4EE5-B03C-6EA2FC248D36}"/>
    <hyperlink ref="L86" r:id="rId71" xr:uid="{3209B136-A169-4B5D-8CB2-DB58D257D155}"/>
    <hyperlink ref="L87" r:id="rId72" xr:uid="{4002B384-79D5-40FB-9842-2504B10F5709}"/>
    <hyperlink ref="L88" r:id="rId73" xr:uid="{11BF868D-51FA-4C44-A4BF-0CE1C2CD287B}"/>
    <hyperlink ref="L89" r:id="rId74" xr:uid="{395D5037-0334-43D7-8BB9-D3407A726793}"/>
    <hyperlink ref="L90" r:id="rId75" xr:uid="{7554E71B-032B-4828-9C4A-DEC7BC68C51F}"/>
    <hyperlink ref="L91" r:id="rId76" xr:uid="{0E97E05B-DCB8-4816-B0B3-B1CAADA18969}"/>
    <hyperlink ref="L92" r:id="rId77" xr:uid="{FBF7D968-58CA-40FD-9D33-900D74877436}"/>
    <hyperlink ref="L93" r:id="rId78" xr:uid="{7365B424-2728-4F05-AC35-57D2DA5F855F}"/>
    <hyperlink ref="L94" r:id="rId79" xr:uid="{82C7ACE3-CE9F-4627-B328-C18F1F6422AB}"/>
    <hyperlink ref="L95" r:id="rId80" xr:uid="{15914ADC-1A02-471E-9302-341E23957F3A}"/>
    <hyperlink ref="L96" r:id="rId81" xr:uid="{D553528E-0F1D-47CA-A052-4DFEDD92A5F8}"/>
    <hyperlink ref="L97" r:id="rId82" xr:uid="{5336C99F-4A1C-4355-B77A-44F2704EA481}"/>
    <hyperlink ref="L98" r:id="rId83" xr:uid="{E72D37C0-7817-45A7-AA5A-7CB60A704267}"/>
    <hyperlink ref="L99" r:id="rId84" xr:uid="{A4639327-DD18-407C-8132-F9F8ED64330C}"/>
    <hyperlink ref="L100" r:id="rId85" xr:uid="{FBE54B8D-BE17-4A1A-9336-C25B83F62539}"/>
    <hyperlink ref="L101" r:id="rId86" xr:uid="{8817EBC7-485B-4E7C-A0AA-CE36BBB0CF19}"/>
    <hyperlink ref="L102" r:id="rId87" xr:uid="{5A268DC8-C885-4F58-AFA2-E8DEBC85C3BC}"/>
    <hyperlink ref="L103" r:id="rId88" xr:uid="{D63AC0F0-2091-4D0A-AF47-676F48087B97}"/>
    <hyperlink ref="L104" r:id="rId89" xr:uid="{BF58F2CA-A10C-407C-83AB-C358FACDBA60}"/>
    <hyperlink ref="L105" r:id="rId90" xr:uid="{F3E2B21A-F956-4DB9-9DEB-8153BA3F0D1C}"/>
    <hyperlink ref="L106" r:id="rId91" xr:uid="{2BE90C86-26F5-4381-808E-B706C6517443}"/>
    <hyperlink ref="L107" r:id="rId92" xr:uid="{28558A4E-CA05-4C08-B1BF-91C63BD819CD}"/>
    <hyperlink ref="L109" r:id="rId93" xr:uid="{E5E5B117-178D-4843-9797-953E77639F8B}"/>
    <hyperlink ref="L110" r:id="rId94" xr:uid="{4BEDD1A5-CE09-445A-9DFD-E902A205057E}"/>
    <hyperlink ref="L111" r:id="rId95" xr:uid="{1F14C434-A22B-4C06-9AA9-FD15B6B64DE5}"/>
    <hyperlink ref="L112" r:id="rId96" xr:uid="{543F2293-977C-43CE-B98A-7D5B1F778E2E}"/>
    <hyperlink ref="L113" r:id="rId97" xr:uid="{F3D3C983-C83A-4F03-A587-ED400D2D111F}"/>
    <hyperlink ref="L114" r:id="rId98" xr:uid="{64A210A8-4165-4771-BC1B-69698FD0CD22}"/>
    <hyperlink ref="L115" r:id="rId99" xr:uid="{AF7A28C0-54DF-474D-B3AF-88A8E2D1268D}"/>
    <hyperlink ref="L116" r:id="rId100" xr:uid="{0EBD5166-265B-4E10-A45C-A5866C57E6AC}"/>
    <hyperlink ref="L117" r:id="rId101" xr:uid="{E05961BA-0282-4793-A57E-5AE54DA6FC7F}"/>
    <hyperlink ref="L118" r:id="rId102" xr:uid="{DDFDD683-EDC0-47B3-9A27-A4313453A60C}"/>
    <hyperlink ref="L119" r:id="rId103" xr:uid="{75E44724-C0E3-4187-BC6C-3ED944051BA6}"/>
    <hyperlink ref="L120" r:id="rId104" xr:uid="{10F1EE57-FD8B-4837-BEBB-78AB5AF17AD5}"/>
    <hyperlink ref="L121" r:id="rId105" xr:uid="{8950277B-8791-4EE6-82CD-1BBE08A5E6D7}"/>
    <hyperlink ref="L122" r:id="rId106" xr:uid="{558FE603-3A8A-4F36-AD1A-CB37920FDBBC}"/>
    <hyperlink ref="L123" r:id="rId107" xr:uid="{EA68A776-CA9A-48C6-9E69-D34AA211B5ED}"/>
    <hyperlink ref="L124" r:id="rId108" xr:uid="{DCAD857B-0F51-4A04-A194-7F87D484E66A}"/>
    <hyperlink ref="L125" r:id="rId109" xr:uid="{40FB30AB-5A0C-44E4-87AA-C53CA2420C75}"/>
    <hyperlink ref="L126" r:id="rId110" xr:uid="{F0A0B46A-8D35-4B0A-9801-BBA4A9920469}"/>
    <hyperlink ref="L127" r:id="rId111" xr:uid="{0A5D01E1-5F5A-45C6-80D5-CE47AE9EF5B8}"/>
    <hyperlink ref="L128" r:id="rId112" xr:uid="{97848CBD-932D-47B8-AB6B-32A58C5E217D}"/>
    <hyperlink ref="L129" r:id="rId113" xr:uid="{EC95ECBA-1F5D-4EA0-9732-B713F056E016}"/>
    <hyperlink ref="L130" r:id="rId114" xr:uid="{3CDA05C2-9178-49EF-919B-617CB7119F9A}"/>
    <hyperlink ref="L131" r:id="rId115" xr:uid="{E6CFB4EB-85C8-4930-AA65-AC03DB9B7602}"/>
    <hyperlink ref="L132" r:id="rId116" xr:uid="{EE0FC8CA-72C1-4333-A383-FCAA212539C8}"/>
    <hyperlink ref="L133" r:id="rId117" xr:uid="{F22CDD78-E838-4801-B6F5-635681901FE5}"/>
    <hyperlink ref="L134" r:id="rId118" xr:uid="{02857146-A2D9-4A2D-AF46-AB1A699F8DE2}"/>
    <hyperlink ref="L135" r:id="rId119" xr:uid="{43998CC2-FCD4-471F-9A38-36E52BDB0BF3}"/>
    <hyperlink ref="L136" r:id="rId120" xr:uid="{DCA19C5E-9541-47F1-8E5F-5972F4C1DB00}"/>
    <hyperlink ref="L137" r:id="rId121" xr:uid="{FF419DD8-0E1C-4FDE-B4F9-8A547251EBA5}"/>
    <hyperlink ref="L138" r:id="rId122" xr:uid="{964E45BB-211A-4B68-A009-16CFEF521F3B}"/>
    <hyperlink ref="L139" r:id="rId123" xr:uid="{F5435A2C-6988-4CF4-9028-2859C82A8B2D}"/>
    <hyperlink ref="L140" r:id="rId124" xr:uid="{7EEF9848-A095-4E13-B0D8-2396147962A3}"/>
    <hyperlink ref="L141" r:id="rId125" xr:uid="{B52A80E1-72F2-47B9-9BC8-6ED7E26CA9A4}"/>
    <hyperlink ref="L142" r:id="rId126" xr:uid="{2B4126CF-E9F1-410F-A173-88F843A3D74E}"/>
    <hyperlink ref="L143" r:id="rId127" xr:uid="{E4BBE7C5-40CE-4C79-8ECD-8587E2671244}"/>
    <hyperlink ref="L144" r:id="rId128" xr:uid="{36759D7C-925B-4A78-9D92-E8D2E8775112}"/>
    <hyperlink ref="L145" r:id="rId129" xr:uid="{A696F344-C707-4A03-9957-747068ADED86}"/>
    <hyperlink ref="L146" r:id="rId130" xr:uid="{672348E7-198F-460B-AAB0-D215FC0DA31C}"/>
    <hyperlink ref="L147" r:id="rId131" xr:uid="{B27FD8F4-8E5D-4EB9-9BB1-0DADEFD67998}"/>
    <hyperlink ref="L148" r:id="rId132" xr:uid="{DAB0F1E5-4324-4925-BAF5-8444CA57412C}"/>
    <hyperlink ref="L149" r:id="rId133" xr:uid="{90B9431C-8123-4C64-9FBC-477FB0491CE2}"/>
    <hyperlink ref="L150" r:id="rId134" xr:uid="{A525955E-0A80-43FA-963E-1FFB53DD246F}"/>
    <hyperlink ref="L151" r:id="rId135" xr:uid="{F79F08F7-D98D-4054-88EA-3A1325ED67B8}"/>
    <hyperlink ref="L152" r:id="rId136" xr:uid="{F4CD6E23-892B-4009-850F-02A40C2FD1DB}"/>
    <hyperlink ref="L153" r:id="rId137" xr:uid="{6A45F70B-4E82-4E83-897D-AD2C56A07E78}"/>
    <hyperlink ref="L154" r:id="rId138" xr:uid="{31EF453A-0211-4B15-B1D2-7672E4E5B03D}"/>
    <hyperlink ref="L155" r:id="rId139" xr:uid="{BE6BA77F-90FB-4CB9-9038-757289A8096B}"/>
    <hyperlink ref="L156" r:id="rId140" xr:uid="{9021CFE3-CE84-4E53-8D66-9A6CDF30A5A5}"/>
    <hyperlink ref="L157" r:id="rId141" xr:uid="{903D9FBF-7B84-43FB-97DB-5C53D65948E4}"/>
    <hyperlink ref="L158" r:id="rId142" xr:uid="{134C9E9A-59C3-40AA-B05C-2B2F4340C078}"/>
    <hyperlink ref="L159" r:id="rId143" xr:uid="{FFE0E36C-C3C6-455B-85CA-101AB2FAB3FD}"/>
    <hyperlink ref="L160" r:id="rId144" xr:uid="{8961D542-27BB-408B-8204-8DD32414357F}"/>
    <hyperlink ref="L161" r:id="rId145" xr:uid="{CE2873C1-339A-46A2-B955-4F792F888188}"/>
  </hyperlinks>
  <pageMargins left="0.7" right="0.7" top="0.75" bottom="0.75" header="0.3" footer="0.3"/>
  <pageSetup orientation="portrait" r:id="rId14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1EFF-46C1-410C-B8C5-BDF7DDEF41E2}">
  <sheetPr published="0"/>
  <dimension ref="A1:M162"/>
  <sheetViews>
    <sheetView zoomScaleNormal="100" workbookViewId="0">
      <selection activeCell="E5" sqref="E5"/>
    </sheetView>
  </sheetViews>
  <sheetFormatPr defaultRowHeight="15"/>
  <cols>
    <col min="1" max="1" width="13" customWidth="1"/>
    <col min="2" max="2" width="9.5703125" customWidth="1"/>
    <col min="3" max="3" width="19.140625" bestFit="1" customWidth="1"/>
    <col min="4" max="4" width="13.5703125" customWidth="1"/>
    <col min="5" max="5" width="19.7109375" customWidth="1"/>
    <col min="6" max="6" width="24.140625" bestFit="1" customWidth="1"/>
    <col min="7" max="7" width="101.28515625" bestFit="1" customWidth="1"/>
    <col min="8" max="8" width="11.28515625" bestFit="1" customWidth="1"/>
    <col min="9" max="9" width="7.5703125" bestFit="1" customWidth="1"/>
    <col min="10" max="10" width="19.42578125" bestFit="1" customWidth="1"/>
    <col min="11" max="11" width="137.5703125" bestFit="1" customWidth="1"/>
    <col min="12" max="12" width="58.5703125" customWidth="1"/>
  </cols>
  <sheetData>
    <row r="1" spans="1:13">
      <c r="A1" s="122" t="s">
        <v>1547</v>
      </c>
      <c r="B1" s="123"/>
      <c r="C1" s="123"/>
      <c r="D1" s="123"/>
      <c r="E1" s="123"/>
      <c r="F1" s="123"/>
    </row>
    <row r="2" spans="1:13">
      <c r="A2" s="124" t="s">
        <v>1548</v>
      </c>
      <c r="B2" s="106"/>
      <c r="C2" s="106"/>
      <c r="D2" s="106"/>
      <c r="E2" s="106"/>
      <c r="F2" s="106"/>
    </row>
    <row r="3" spans="1:13">
      <c r="A3" s="124" t="s">
        <v>1549</v>
      </c>
      <c r="B3" s="106"/>
      <c r="C3" s="106"/>
      <c r="D3" s="106"/>
      <c r="E3" s="106"/>
      <c r="F3" s="106"/>
    </row>
    <row r="4" spans="1:13">
      <c r="A4" s="124" t="s">
        <v>1550</v>
      </c>
      <c r="B4" s="106"/>
      <c r="C4" s="106"/>
      <c r="D4" s="106"/>
      <c r="E4" s="106"/>
      <c r="F4" s="106"/>
    </row>
    <row r="5" spans="1:13">
      <c r="A5" s="124" t="s">
        <v>1565</v>
      </c>
      <c r="B5" s="106"/>
      <c r="C5" s="106"/>
      <c r="D5" s="106"/>
      <c r="E5" s="106"/>
      <c r="F5" s="106"/>
    </row>
    <row r="6" spans="1:13">
      <c r="A6" s="124" t="s">
        <v>1563</v>
      </c>
      <c r="B6" s="106"/>
      <c r="C6" s="106"/>
      <c r="D6" s="106"/>
      <c r="E6" s="106"/>
      <c r="F6" s="106"/>
    </row>
    <row r="7" spans="1:13">
      <c r="A7" s="124"/>
      <c r="B7" s="106"/>
      <c r="C7" s="106"/>
      <c r="D7" s="106"/>
      <c r="E7" s="106"/>
      <c r="F7" s="106"/>
    </row>
    <row r="8" spans="1:13">
      <c r="A8" s="128" t="s">
        <v>1590</v>
      </c>
      <c r="B8" s="126"/>
      <c r="C8" s="106"/>
      <c r="D8" s="106"/>
      <c r="E8" s="106"/>
      <c r="F8" s="106"/>
    </row>
    <row r="9" spans="1:13">
      <c r="A9" t="s">
        <v>1589</v>
      </c>
      <c r="B9" s="106"/>
      <c r="C9" s="106"/>
      <c r="D9" s="106"/>
      <c r="E9" s="106"/>
      <c r="F9" s="106"/>
    </row>
    <row r="10" spans="1:13">
      <c r="A10" t="s">
        <v>1594</v>
      </c>
      <c r="B10" s="106"/>
      <c r="C10" s="106"/>
      <c r="D10" s="106"/>
      <c r="E10" s="106"/>
      <c r="F10" s="106"/>
    </row>
    <row r="11" spans="1:13">
      <c r="A11" t="s">
        <v>1591</v>
      </c>
      <c r="B11" s="106"/>
      <c r="C11" s="106"/>
      <c r="D11" s="106"/>
      <c r="E11" s="106"/>
      <c r="F11" s="106"/>
    </row>
    <row r="12" spans="1:13">
      <c r="A12" t="s">
        <v>1592</v>
      </c>
      <c r="B12" s="106"/>
      <c r="C12" s="106"/>
      <c r="D12" s="106"/>
      <c r="E12" s="106"/>
      <c r="F12" s="106"/>
    </row>
    <row r="13" spans="1:13">
      <c r="A13" s="124"/>
      <c r="B13" s="106"/>
      <c r="C13" s="106"/>
      <c r="D13" s="106"/>
      <c r="E13" s="106"/>
      <c r="F13" s="106"/>
    </row>
    <row r="14" spans="1:13" ht="15.75" thickBot="1"/>
    <row r="15" spans="1:13" ht="48" thickBot="1">
      <c r="A15" s="108" t="s">
        <v>1583</v>
      </c>
      <c r="B15" s="108" t="s">
        <v>1471</v>
      </c>
      <c r="C15" s="108" t="s">
        <v>467</v>
      </c>
      <c r="D15" s="108" t="s">
        <v>1466</v>
      </c>
      <c r="E15" s="108" t="s">
        <v>1554</v>
      </c>
      <c r="F15" s="108" t="s">
        <v>1555</v>
      </c>
      <c r="G15" s="108" t="s">
        <v>1461</v>
      </c>
      <c r="H15" s="119" t="s">
        <v>1470</v>
      </c>
      <c r="I15" s="119" t="s">
        <v>1469</v>
      </c>
      <c r="J15" s="108" t="s">
        <v>1467</v>
      </c>
      <c r="K15" s="108" t="s">
        <v>1468</v>
      </c>
      <c r="L15" s="108" t="s">
        <v>1464</v>
      </c>
      <c r="M15" s="110"/>
    </row>
    <row r="16" spans="1:13">
      <c r="A16" s="110">
        <v>2010</v>
      </c>
      <c r="B16" s="110">
        <v>2022</v>
      </c>
      <c r="C16" s="110" t="s">
        <v>1101</v>
      </c>
      <c r="D16" s="110" t="s">
        <v>1105</v>
      </c>
      <c r="E16" s="110"/>
      <c r="F16" s="110" t="s">
        <v>463</v>
      </c>
      <c r="G16" s="110" t="s">
        <v>1097</v>
      </c>
      <c r="H16" s="111">
        <v>134</v>
      </c>
      <c r="I16" s="111">
        <v>174.2</v>
      </c>
      <c r="J16" s="112"/>
      <c r="K16" s="110"/>
      <c r="L16" s="113" t="s">
        <v>1104</v>
      </c>
      <c r="M16" s="110"/>
    </row>
    <row r="17" spans="1:13">
      <c r="A17" s="110">
        <v>2010</v>
      </c>
      <c r="B17" s="110">
        <v>2022</v>
      </c>
      <c r="C17" s="110" t="s">
        <v>1101</v>
      </c>
      <c r="D17" s="110" t="s">
        <v>1103</v>
      </c>
      <c r="E17" s="110" t="s">
        <v>410</v>
      </c>
      <c r="F17" s="110" t="s">
        <v>410</v>
      </c>
      <c r="G17" s="110" t="s">
        <v>1097</v>
      </c>
      <c r="H17" s="111">
        <v>64</v>
      </c>
      <c r="I17" s="111">
        <v>83.2</v>
      </c>
      <c r="J17" s="112"/>
      <c r="K17" s="110"/>
      <c r="L17" s="113" t="s">
        <v>1102</v>
      </c>
      <c r="M17" s="110"/>
    </row>
    <row r="18" spans="1:13">
      <c r="A18" s="110">
        <v>2010</v>
      </c>
      <c r="B18" s="110">
        <v>2022</v>
      </c>
      <c r="C18" s="110" t="s">
        <v>1101</v>
      </c>
      <c r="D18" s="110" t="s">
        <v>1100</v>
      </c>
      <c r="E18" s="110" t="s">
        <v>410</v>
      </c>
      <c r="F18" s="110" t="s">
        <v>410</v>
      </c>
      <c r="G18" s="110" t="s">
        <v>1097</v>
      </c>
      <c r="H18" s="111">
        <v>94</v>
      </c>
      <c r="I18" s="111">
        <v>122</v>
      </c>
      <c r="J18" s="112"/>
      <c r="K18" s="110"/>
      <c r="L18" s="113" t="s">
        <v>1096</v>
      </c>
      <c r="M18" s="110"/>
    </row>
    <row r="19" spans="1:13">
      <c r="A19" s="114">
        <v>2018</v>
      </c>
      <c r="B19" s="114">
        <v>2021</v>
      </c>
      <c r="C19" s="114" t="s">
        <v>1396</v>
      </c>
      <c r="D19" s="114" t="s">
        <v>1456</v>
      </c>
      <c r="E19" s="114" t="s">
        <v>1556</v>
      </c>
      <c r="F19" s="107" t="s">
        <v>1564</v>
      </c>
      <c r="G19" s="110" t="s">
        <v>1221</v>
      </c>
      <c r="H19" s="111">
        <v>185</v>
      </c>
      <c r="I19" s="111">
        <v>259</v>
      </c>
      <c r="J19" s="112">
        <v>0.5</v>
      </c>
      <c r="K19" s="110" t="s">
        <v>1171</v>
      </c>
      <c r="L19" s="113" t="s">
        <v>1455</v>
      </c>
      <c r="M19" s="110"/>
    </row>
    <row r="20" spans="1:13">
      <c r="A20" s="114">
        <v>2018</v>
      </c>
      <c r="B20" s="114">
        <v>2021</v>
      </c>
      <c r="C20" s="114" t="s">
        <v>1396</v>
      </c>
      <c r="D20" s="114" t="s">
        <v>1411</v>
      </c>
      <c r="E20" s="114" t="s">
        <v>1556</v>
      </c>
      <c r="F20" s="114" t="s">
        <v>1562</v>
      </c>
      <c r="G20" s="110" t="s">
        <v>1116</v>
      </c>
      <c r="H20" s="111">
        <v>185</v>
      </c>
      <c r="I20" s="111">
        <v>259</v>
      </c>
      <c r="J20" s="112">
        <v>0.5</v>
      </c>
      <c r="K20" s="110" t="s">
        <v>1107</v>
      </c>
      <c r="L20" s="113" t="s">
        <v>1410</v>
      </c>
      <c r="M20" s="110"/>
    </row>
    <row r="21" spans="1:13">
      <c r="A21" s="114">
        <v>2018</v>
      </c>
      <c r="B21" s="114">
        <v>2021</v>
      </c>
      <c r="C21" s="110" t="s">
        <v>1396</v>
      </c>
      <c r="D21" s="110" t="s">
        <v>1409</v>
      </c>
      <c r="E21" s="114" t="s">
        <v>1556</v>
      </c>
      <c r="F21" s="129" t="s">
        <v>1593</v>
      </c>
      <c r="G21" s="110" t="s">
        <v>1407</v>
      </c>
      <c r="H21" s="111">
        <v>249</v>
      </c>
      <c r="I21" s="111">
        <v>349</v>
      </c>
      <c r="J21" s="112">
        <v>0.5</v>
      </c>
      <c r="K21" s="110" t="s">
        <v>1107</v>
      </c>
      <c r="L21" s="113" t="s">
        <v>1406</v>
      </c>
      <c r="M21" s="110"/>
    </row>
    <row r="22" spans="1:13">
      <c r="A22" s="114">
        <v>2022</v>
      </c>
      <c r="B22" s="114">
        <v>2022</v>
      </c>
      <c r="C22" s="114" t="s">
        <v>1396</v>
      </c>
      <c r="D22" s="114" t="s">
        <v>1454</v>
      </c>
      <c r="E22" s="114" t="s">
        <v>1556</v>
      </c>
      <c r="F22" s="107" t="s">
        <v>1564</v>
      </c>
      <c r="G22" s="110" t="s">
        <v>1221</v>
      </c>
      <c r="H22" s="111">
        <v>185</v>
      </c>
      <c r="I22" s="111">
        <v>259</v>
      </c>
      <c r="J22" s="112">
        <v>0.5</v>
      </c>
      <c r="K22" s="110" t="s">
        <v>1171</v>
      </c>
      <c r="L22" s="113" t="s">
        <v>1453</v>
      </c>
      <c r="M22" s="110"/>
    </row>
    <row r="23" spans="1:13">
      <c r="A23" s="114">
        <v>2018</v>
      </c>
      <c r="B23" s="114">
        <v>2021</v>
      </c>
      <c r="C23" s="114" t="s">
        <v>1396</v>
      </c>
      <c r="D23" s="114" t="s">
        <v>1421</v>
      </c>
      <c r="E23" s="114" t="s">
        <v>1556</v>
      </c>
      <c r="F23" s="114" t="s">
        <v>1559</v>
      </c>
      <c r="G23" s="110" t="s">
        <v>1167</v>
      </c>
      <c r="H23" s="111">
        <v>75</v>
      </c>
      <c r="I23" s="111">
        <v>97.5</v>
      </c>
      <c r="J23" s="112">
        <v>0.5</v>
      </c>
      <c r="K23" s="110" t="s">
        <v>1162</v>
      </c>
      <c r="L23" s="113" t="s">
        <v>1420</v>
      </c>
      <c r="M23" s="110"/>
    </row>
    <row r="24" spans="1:13">
      <c r="A24" s="114">
        <v>2018</v>
      </c>
      <c r="B24" s="114">
        <v>2021</v>
      </c>
      <c r="C24" s="114" t="s">
        <v>1396</v>
      </c>
      <c r="D24" s="114" t="s">
        <v>1419</v>
      </c>
      <c r="E24" s="114" t="s">
        <v>1556</v>
      </c>
      <c r="F24" s="114" t="s">
        <v>1559</v>
      </c>
      <c r="G24" s="110" t="s">
        <v>1164</v>
      </c>
      <c r="H24" s="111">
        <v>680.6</v>
      </c>
      <c r="I24" s="111">
        <v>884.78</v>
      </c>
      <c r="J24" s="112">
        <v>0.5</v>
      </c>
      <c r="K24" s="110" t="s">
        <v>1162</v>
      </c>
      <c r="L24" s="113" t="s">
        <v>1418</v>
      </c>
      <c r="M24" s="110"/>
    </row>
    <row r="25" spans="1:13">
      <c r="A25" s="114">
        <v>2018</v>
      </c>
      <c r="B25" s="114">
        <v>2021</v>
      </c>
      <c r="C25" s="110" t="s">
        <v>1396</v>
      </c>
      <c r="D25" s="110" t="s">
        <v>1405</v>
      </c>
      <c r="E25" s="114" t="s">
        <v>1556</v>
      </c>
      <c r="F25" s="129" t="s">
        <v>1593</v>
      </c>
      <c r="G25" s="118" t="s">
        <v>1128</v>
      </c>
      <c r="H25" s="111">
        <v>185</v>
      </c>
      <c r="I25" s="111">
        <v>259</v>
      </c>
      <c r="J25" s="112">
        <v>0.5</v>
      </c>
      <c r="K25" s="110" t="s">
        <v>1107</v>
      </c>
      <c r="L25" s="113" t="s">
        <v>1493</v>
      </c>
      <c r="M25" s="110"/>
    </row>
    <row r="26" spans="1:13">
      <c r="A26" s="114">
        <v>2018</v>
      </c>
      <c r="B26" s="114">
        <v>2021</v>
      </c>
      <c r="C26" s="114" t="s">
        <v>1396</v>
      </c>
      <c r="D26" s="114" t="s">
        <v>1417</v>
      </c>
      <c r="E26" s="114" t="s">
        <v>1556</v>
      </c>
      <c r="F26" s="114" t="s">
        <v>1559</v>
      </c>
      <c r="G26" s="110" t="s">
        <v>1152</v>
      </c>
      <c r="H26" s="111">
        <v>185</v>
      </c>
      <c r="I26" s="111">
        <v>259</v>
      </c>
      <c r="J26" s="112">
        <v>0.5</v>
      </c>
      <c r="K26" s="116" t="s">
        <v>1150</v>
      </c>
      <c r="L26" s="113" t="s">
        <v>1416</v>
      </c>
      <c r="M26" s="110"/>
    </row>
    <row r="27" spans="1:13">
      <c r="A27" s="114">
        <v>2018</v>
      </c>
      <c r="B27" s="114">
        <v>2021</v>
      </c>
      <c r="C27" s="114" t="s">
        <v>1396</v>
      </c>
      <c r="D27" s="114" t="s">
        <v>1452</v>
      </c>
      <c r="E27" s="114" t="s">
        <v>1556</v>
      </c>
      <c r="F27" s="107" t="s">
        <v>1564</v>
      </c>
      <c r="G27" s="116" t="s">
        <v>1212</v>
      </c>
      <c r="H27" s="111">
        <v>185</v>
      </c>
      <c r="I27" s="111">
        <v>259</v>
      </c>
      <c r="J27" s="112">
        <v>0.5</v>
      </c>
      <c r="K27" s="110"/>
      <c r="L27" s="113" t="s">
        <v>1475</v>
      </c>
      <c r="M27" s="110"/>
    </row>
    <row r="28" spans="1:13">
      <c r="A28" s="114">
        <v>2018</v>
      </c>
      <c r="B28" s="114">
        <v>2021</v>
      </c>
      <c r="C28" s="114" t="s">
        <v>1396</v>
      </c>
      <c r="D28" s="114" t="s">
        <v>1451</v>
      </c>
      <c r="E28" s="114" t="s">
        <v>1556</v>
      </c>
      <c r="F28" s="107" t="s">
        <v>1564</v>
      </c>
      <c r="G28" s="116" t="s">
        <v>1190</v>
      </c>
      <c r="H28" s="111">
        <v>185</v>
      </c>
      <c r="I28" s="111">
        <v>259</v>
      </c>
      <c r="J28" s="112">
        <v>0.5</v>
      </c>
      <c r="K28" s="117" t="s">
        <v>1188</v>
      </c>
      <c r="L28" s="113" t="s">
        <v>1476</v>
      </c>
      <c r="M28" s="110"/>
    </row>
    <row r="29" spans="1:13">
      <c r="A29" s="114">
        <v>2018</v>
      </c>
      <c r="B29" s="114">
        <v>2021</v>
      </c>
      <c r="C29" s="114" t="s">
        <v>1396</v>
      </c>
      <c r="D29" s="114" t="s">
        <v>1450</v>
      </c>
      <c r="E29" s="114" t="s">
        <v>1556</v>
      </c>
      <c r="F29" s="107" t="s">
        <v>1564</v>
      </c>
      <c r="G29" s="110" t="s">
        <v>1184</v>
      </c>
      <c r="H29" s="111">
        <v>75</v>
      </c>
      <c r="I29" s="111">
        <v>99</v>
      </c>
      <c r="J29" s="112">
        <v>0.5</v>
      </c>
      <c r="K29" s="110" t="s">
        <v>1156</v>
      </c>
      <c r="L29" s="113" t="s">
        <v>1449</v>
      </c>
      <c r="M29" s="110"/>
    </row>
    <row r="30" spans="1:13">
      <c r="A30" s="114">
        <v>2018</v>
      </c>
      <c r="B30" s="114">
        <v>2021</v>
      </c>
      <c r="C30" s="114" t="s">
        <v>1396</v>
      </c>
      <c r="D30" s="114" t="s">
        <v>1415</v>
      </c>
      <c r="E30" s="114" t="s">
        <v>1556</v>
      </c>
      <c r="F30" s="114" t="s">
        <v>1559</v>
      </c>
      <c r="G30" s="110" t="s">
        <v>1145</v>
      </c>
      <c r="H30" s="111">
        <v>429</v>
      </c>
      <c r="I30" s="111">
        <v>599</v>
      </c>
      <c r="J30" s="112">
        <v>0.5</v>
      </c>
      <c r="K30" s="110" t="s">
        <v>1143</v>
      </c>
      <c r="L30" s="113" t="s">
        <v>1414</v>
      </c>
      <c r="M30" s="110"/>
    </row>
    <row r="31" spans="1:13">
      <c r="A31" s="114">
        <v>2018</v>
      </c>
      <c r="B31" s="114">
        <v>2021</v>
      </c>
      <c r="C31" s="114" t="s">
        <v>1396</v>
      </c>
      <c r="D31" s="114" t="s">
        <v>1448</v>
      </c>
      <c r="E31" s="114" t="s">
        <v>1556</v>
      </c>
      <c r="F31" s="107" t="s">
        <v>1564</v>
      </c>
      <c r="G31" s="116" t="s">
        <v>1446</v>
      </c>
      <c r="H31" s="111">
        <v>185</v>
      </c>
      <c r="I31" s="111">
        <v>259</v>
      </c>
      <c r="J31" s="112">
        <v>0.5</v>
      </c>
      <c r="K31" s="110" t="s">
        <v>1171</v>
      </c>
      <c r="L31" s="113" t="s">
        <v>1477</v>
      </c>
      <c r="M31" s="110"/>
    </row>
    <row r="32" spans="1:13">
      <c r="A32" s="114">
        <v>2018</v>
      </c>
      <c r="B32" s="114">
        <v>2021</v>
      </c>
      <c r="C32" s="114" t="s">
        <v>1396</v>
      </c>
      <c r="D32" s="114" t="s">
        <v>1445</v>
      </c>
      <c r="E32" s="114" t="s">
        <v>1556</v>
      </c>
      <c r="F32" s="107" t="s">
        <v>1564</v>
      </c>
      <c r="G32" s="116" t="s">
        <v>1443</v>
      </c>
      <c r="H32" s="111">
        <v>185</v>
      </c>
      <c r="I32" s="111">
        <v>259</v>
      </c>
      <c r="J32" s="112">
        <v>0.5</v>
      </c>
      <c r="K32" s="110" t="s">
        <v>1171</v>
      </c>
      <c r="L32" s="113" t="s">
        <v>1478</v>
      </c>
      <c r="M32" s="110"/>
    </row>
    <row r="33" spans="1:13">
      <c r="A33" s="114">
        <v>2018</v>
      </c>
      <c r="B33" s="114">
        <v>2021</v>
      </c>
      <c r="C33" s="114" t="s">
        <v>1396</v>
      </c>
      <c r="D33" s="114" t="s">
        <v>1442</v>
      </c>
      <c r="E33" s="114" t="s">
        <v>1556</v>
      </c>
      <c r="F33" s="107" t="s">
        <v>1564</v>
      </c>
      <c r="G33" s="116" t="s">
        <v>1173</v>
      </c>
      <c r="H33" s="111">
        <v>325</v>
      </c>
      <c r="I33" s="111">
        <v>449</v>
      </c>
      <c r="J33" s="112">
        <v>0.5</v>
      </c>
      <c r="K33" s="110" t="s">
        <v>1171</v>
      </c>
      <c r="L33" s="113" t="s">
        <v>1441</v>
      </c>
      <c r="M33" s="110"/>
    </row>
    <row r="34" spans="1:13">
      <c r="A34" s="114">
        <v>2018</v>
      </c>
      <c r="B34" s="114">
        <v>2021</v>
      </c>
      <c r="C34" s="114" t="s">
        <v>1396</v>
      </c>
      <c r="D34" s="114" t="s">
        <v>1440</v>
      </c>
      <c r="E34" s="114" t="s">
        <v>1556</v>
      </c>
      <c r="F34" s="107" t="s">
        <v>1564</v>
      </c>
      <c r="G34" s="110" t="s">
        <v>1209</v>
      </c>
      <c r="H34" s="111">
        <v>185</v>
      </c>
      <c r="I34" s="111">
        <v>259</v>
      </c>
      <c r="J34" s="112">
        <v>0.5</v>
      </c>
      <c r="K34" s="110" t="s">
        <v>1171</v>
      </c>
      <c r="L34" s="113" t="s">
        <v>1479</v>
      </c>
      <c r="M34" s="110"/>
    </row>
    <row r="35" spans="1:13">
      <c r="A35" s="114">
        <v>2018</v>
      </c>
      <c r="B35" s="114">
        <v>2021</v>
      </c>
      <c r="C35" s="110" t="s">
        <v>1396</v>
      </c>
      <c r="D35" s="110" t="s">
        <v>1404</v>
      </c>
      <c r="E35" s="114" t="s">
        <v>1556</v>
      </c>
      <c r="F35" s="129" t="s">
        <v>1593</v>
      </c>
      <c r="G35" s="110" t="s">
        <v>1116</v>
      </c>
      <c r="H35" s="111">
        <v>185</v>
      </c>
      <c r="I35" s="111">
        <v>259</v>
      </c>
      <c r="J35" s="112">
        <v>0.5</v>
      </c>
      <c r="K35" s="110" t="s">
        <v>1107</v>
      </c>
      <c r="L35" s="113" t="s">
        <v>1494</v>
      </c>
      <c r="M35" s="110"/>
    </row>
    <row r="36" spans="1:13">
      <c r="A36" s="114">
        <v>2018</v>
      </c>
      <c r="B36" s="114">
        <v>2021</v>
      </c>
      <c r="C36" s="110" t="s">
        <v>1396</v>
      </c>
      <c r="D36" s="110" t="s">
        <v>1403</v>
      </c>
      <c r="E36" s="114" t="s">
        <v>1556</v>
      </c>
      <c r="F36" s="129" t="s">
        <v>1593</v>
      </c>
      <c r="G36" s="110" t="s">
        <v>1109</v>
      </c>
      <c r="H36" s="111">
        <v>185</v>
      </c>
      <c r="I36" s="111">
        <v>259</v>
      </c>
      <c r="J36" s="112">
        <v>0.5</v>
      </c>
      <c r="K36" s="110" t="s">
        <v>1107</v>
      </c>
      <c r="L36" s="113" t="s">
        <v>1495</v>
      </c>
      <c r="M36" s="110"/>
    </row>
    <row r="37" spans="1:13">
      <c r="A37" s="114">
        <v>2022</v>
      </c>
      <c r="B37" s="114">
        <v>2022</v>
      </c>
      <c r="C37" s="114" t="s">
        <v>1396</v>
      </c>
      <c r="D37" s="114" t="s">
        <v>1402</v>
      </c>
      <c r="E37" s="114" t="s">
        <v>1556</v>
      </c>
      <c r="F37" s="129" t="s">
        <v>1593</v>
      </c>
      <c r="G37" s="118" t="s">
        <v>1128</v>
      </c>
      <c r="H37" s="111">
        <v>185</v>
      </c>
      <c r="I37" s="111">
        <v>259</v>
      </c>
      <c r="J37" s="112">
        <v>0.5</v>
      </c>
      <c r="K37" s="110" t="s">
        <v>1107</v>
      </c>
      <c r="L37" s="113" t="s">
        <v>1496</v>
      </c>
      <c r="M37" s="110"/>
    </row>
    <row r="38" spans="1:13">
      <c r="A38" s="114">
        <v>2022</v>
      </c>
      <c r="B38" s="114">
        <v>2022</v>
      </c>
      <c r="C38" s="114" t="s">
        <v>1396</v>
      </c>
      <c r="D38" s="114" t="s">
        <v>1413</v>
      </c>
      <c r="E38" s="114" t="s">
        <v>1556</v>
      </c>
      <c r="F38" s="114" t="s">
        <v>1559</v>
      </c>
      <c r="G38" s="110" t="s">
        <v>1299</v>
      </c>
      <c r="H38" s="111">
        <v>185</v>
      </c>
      <c r="I38" s="111">
        <v>259</v>
      </c>
      <c r="J38" s="112">
        <v>0.5</v>
      </c>
      <c r="K38" s="110" t="s">
        <v>1150</v>
      </c>
      <c r="L38" s="113" t="s">
        <v>1491</v>
      </c>
      <c r="M38" s="110"/>
    </row>
    <row r="39" spans="1:13">
      <c r="A39" s="114">
        <v>2022</v>
      </c>
      <c r="B39" s="114">
        <v>2022</v>
      </c>
      <c r="C39" s="114" t="s">
        <v>1396</v>
      </c>
      <c r="D39" s="114" t="s">
        <v>1412</v>
      </c>
      <c r="E39" s="114" t="s">
        <v>1556</v>
      </c>
      <c r="F39" s="114" t="s">
        <v>1559</v>
      </c>
      <c r="G39" s="110" t="s">
        <v>1152</v>
      </c>
      <c r="H39" s="111">
        <v>185</v>
      </c>
      <c r="I39" s="111">
        <v>259</v>
      </c>
      <c r="J39" s="112">
        <v>0.5</v>
      </c>
      <c r="K39" s="110" t="s">
        <v>1150</v>
      </c>
      <c r="L39" s="113" t="s">
        <v>1492</v>
      </c>
      <c r="M39" s="110"/>
    </row>
    <row r="40" spans="1:13">
      <c r="A40" s="114">
        <v>2022</v>
      </c>
      <c r="B40" s="114">
        <v>2022</v>
      </c>
      <c r="C40" s="114" t="s">
        <v>1396</v>
      </c>
      <c r="D40" s="114" t="s">
        <v>1439</v>
      </c>
      <c r="E40" s="114" t="s">
        <v>1556</v>
      </c>
      <c r="F40" s="107" t="s">
        <v>1564</v>
      </c>
      <c r="G40" s="110" t="s">
        <v>1437</v>
      </c>
      <c r="H40" s="111">
        <v>185</v>
      </c>
      <c r="I40" s="111">
        <v>259</v>
      </c>
      <c r="J40" s="112">
        <v>0.5</v>
      </c>
      <c r="K40" s="110" t="s">
        <v>1171</v>
      </c>
      <c r="L40" s="113" t="s">
        <v>1480</v>
      </c>
      <c r="M40" s="110"/>
    </row>
    <row r="41" spans="1:13">
      <c r="A41" s="114">
        <v>2022</v>
      </c>
      <c r="B41" s="114">
        <v>2022</v>
      </c>
      <c r="C41" s="114" t="s">
        <v>1396</v>
      </c>
      <c r="D41" s="114" t="s">
        <v>1436</v>
      </c>
      <c r="E41" s="114" t="s">
        <v>1556</v>
      </c>
      <c r="F41" s="107" t="s">
        <v>1564</v>
      </c>
      <c r="G41" s="110" t="s">
        <v>1434</v>
      </c>
      <c r="H41" s="111">
        <v>225</v>
      </c>
      <c r="I41" s="111">
        <v>319</v>
      </c>
      <c r="J41" s="112">
        <v>0.5</v>
      </c>
      <c r="K41" s="110" t="s">
        <v>1171</v>
      </c>
      <c r="L41" s="113" t="s">
        <v>1481</v>
      </c>
      <c r="M41" s="110"/>
    </row>
    <row r="42" spans="1:13">
      <c r="A42" s="114">
        <v>2022</v>
      </c>
      <c r="B42" s="114">
        <v>2022</v>
      </c>
      <c r="C42" s="114" t="s">
        <v>1396</v>
      </c>
      <c r="D42" s="114" t="s">
        <v>1433</v>
      </c>
      <c r="E42" s="114" t="s">
        <v>1556</v>
      </c>
      <c r="F42" s="107" t="s">
        <v>1564</v>
      </c>
      <c r="G42" s="110" t="s">
        <v>1431</v>
      </c>
      <c r="H42" s="111">
        <v>185</v>
      </c>
      <c r="I42" s="111">
        <v>259</v>
      </c>
      <c r="J42" s="112">
        <v>0.5</v>
      </c>
      <c r="K42" s="110" t="s">
        <v>1171</v>
      </c>
      <c r="L42" s="113" t="s">
        <v>1482</v>
      </c>
      <c r="M42" s="110"/>
    </row>
    <row r="43" spans="1:13">
      <c r="A43" s="114">
        <v>2022</v>
      </c>
      <c r="B43" s="114">
        <v>2022</v>
      </c>
      <c r="C43" s="114" t="s">
        <v>1396</v>
      </c>
      <c r="D43" s="114" t="s">
        <v>1430</v>
      </c>
      <c r="E43" s="114" t="s">
        <v>1556</v>
      </c>
      <c r="F43" s="107" t="s">
        <v>1564</v>
      </c>
      <c r="G43" s="110" t="s">
        <v>1212</v>
      </c>
      <c r="H43" s="111">
        <v>185</v>
      </c>
      <c r="I43" s="111">
        <v>259</v>
      </c>
      <c r="J43" s="112">
        <v>0.5</v>
      </c>
      <c r="K43" s="110" t="s">
        <v>1171</v>
      </c>
      <c r="L43" s="113" t="s">
        <v>1483</v>
      </c>
      <c r="M43" s="110"/>
    </row>
    <row r="44" spans="1:13">
      <c r="A44" s="114">
        <v>2022</v>
      </c>
      <c r="B44" s="114">
        <v>2022</v>
      </c>
      <c r="C44" s="114" t="s">
        <v>1396</v>
      </c>
      <c r="D44" s="114" t="s">
        <v>1429</v>
      </c>
      <c r="E44" s="114" t="s">
        <v>1556</v>
      </c>
      <c r="F44" s="107" t="s">
        <v>1564</v>
      </c>
      <c r="G44" s="110" t="s">
        <v>1184</v>
      </c>
      <c r="H44" s="111">
        <v>75</v>
      </c>
      <c r="I44" s="111">
        <v>99</v>
      </c>
      <c r="J44" s="112">
        <v>0.5</v>
      </c>
      <c r="K44" s="110" t="s">
        <v>1156</v>
      </c>
      <c r="L44" s="113" t="s">
        <v>1484</v>
      </c>
      <c r="M44" s="110"/>
    </row>
    <row r="45" spans="1:13">
      <c r="A45" s="114">
        <v>2022</v>
      </c>
      <c r="B45" s="114">
        <v>2022</v>
      </c>
      <c r="C45" s="110" t="s">
        <v>1396</v>
      </c>
      <c r="D45" s="110" t="s">
        <v>1401</v>
      </c>
      <c r="E45" s="114" t="s">
        <v>1556</v>
      </c>
      <c r="F45" s="129" t="s">
        <v>1593</v>
      </c>
      <c r="G45" s="110" t="s">
        <v>1281</v>
      </c>
      <c r="H45" s="111">
        <v>185</v>
      </c>
      <c r="I45" s="111">
        <v>259</v>
      </c>
      <c r="J45" s="112">
        <v>0.5</v>
      </c>
      <c r="K45" s="110" t="s">
        <v>1107</v>
      </c>
      <c r="L45" s="113" t="s">
        <v>1497</v>
      </c>
      <c r="M45" s="110"/>
    </row>
    <row r="46" spans="1:13">
      <c r="A46" s="114">
        <v>2022</v>
      </c>
      <c r="B46" s="114">
        <v>2022</v>
      </c>
      <c r="C46" s="114" t="s">
        <v>1396</v>
      </c>
      <c r="D46" s="114" t="s">
        <v>1428</v>
      </c>
      <c r="E46" s="114" t="s">
        <v>1556</v>
      </c>
      <c r="F46" s="107" t="s">
        <v>1564</v>
      </c>
      <c r="G46" s="110" t="s">
        <v>1209</v>
      </c>
      <c r="H46" s="111">
        <v>185</v>
      </c>
      <c r="I46" s="111">
        <v>259</v>
      </c>
      <c r="J46" s="112">
        <v>0.5</v>
      </c>
      <c r="K46" s="110" t="s">
        <v>1171</v>
      </c>
      <c r="L46" s="113" t="s">
        <v>1546</v>
      </c>
      <c r="M46" s="110"/>
    </row>
    <row r="47" spans="1:13">
      <c r="A47" s="114">
        <v>2022</v>
      </c>
      <c r="B47" s="114">
        <v>2022</v>
      </c>
      <c r="C47" s="110" t="s">
        <v>1396</v>
      </c>
      <c r="D47" s="110" t="s">
        <v>1400</v>
      </c>
      <c r="E47" s="114" t="s">
        <v>1556</v>
      </c>
      <c r="F47" s="129" t="s">
        <v>1593</v>
      </c>
      <c r="G47" s="110" t="s">
        <v>1277</v>
      </c>
      <c r="H47" s="111">
        <v>185</v>
      </c>
      <c r="I47" s="111">
        <v>259</v>
      </c>
      <c r="J47" s="112">
        <v>0.5</v>
      </c>
      <c r="K47" s="110" t="s">
        <v>1107</v>
      </c>
      <c r="L47" s="113" t="s">
        <v>1399</v>
      </c>
      <c r="M47" s="110"/>
    </row>
    <row r="48" spans="1:13">
      <c r="A48" s="114">
        <v>2022</v>
      </c>
      <c r="B48" s="114">
        <v>2022</v>
      </c>
      <c r="C48" s="114" t="s">
        <v>1396</v>
      </c>
      <c r="D48" s="114" t="s">
        <v>1398</v>
      </c>
      <c r="E48" s="114" t="s">
        <v>1556</v>
      </c>
      <c r="F48" s="129" t="s">
        <v>1593</v>
      </c>
      <c r="G48" s="110" t="s">
        <v>1116</v>
      </c>
      <c r="H48" s="111">
        <v>185</v>
      </c>
      <c r="I48" s="111">
        <v>259</v>
      </c>
      <c r="J48" s="112">
        <v>0.5</v>
      </c>
      <c r="K48" s="110" t="s">
        <v>1107</v>
      </c>
      <c r="L48" s="113" t="s">
        <v>1498</v>
      </c>
      <c r="M48" s="110"/>
    </row>
    <row r="49" spans="1:13">
      <c r="A49" s="114">
        <v>2022</v>
      </c>
      <c r="B49" s="114">
        <v>2022</v>
      </c>
      <c r="C49" s="114" t="s">
        <v>1396</v>
      </c>
      <c r="D49" s="114" t="s">
        <v>1397</v>
      </c>
      <c r="E49" s="114" t="s">
        <v>1556</v>
      </c>
      <c r="F49" s="129" t="s">
        <v>1593</v>
      </c>
      <c r="G49" s="110" t="s">
        <v>1109</v>
      </c>
      <c r="H49" s="111">
        <v>185</v>
      </c>
      <c r="I49" s="111">
        <v>259</v>
      </c>
      <c r="J49" s="112">
        <v>0.5</v>
      </c>
      <c r="K49" s="110" t="s">
        <v>1107</v>
      </c>
      <c r="L49" s="113" t="s">
        <v>1499</v>
      </c>
      <c r="M49" s="110"/>
    </row>
    <row r="50" spans="1:13">
      <c r="A50" s="114">
        <v>2022</v>
      </c>
      <c r="B50" s="114">
        <v>2022</v>
      </c>
      <c r="C50" s="110" t="s">
        <v>1396</v>
      </c>
      <c r="D50" s="110" t="s">
        <v>1395</v>
      </c>
      <c r="E50" s="114" t="s">
        <v>1556</v>
      </c>
      <c r="F50" s="129" t="s">
        <v>1593</v>
      </c>
      <c r="G50" s="110" t="s">
        <v>1272</v>
      </c>
      <c r="H50" s="111">
        <v>185</v>
      </c>
      <c r="I50" s="111">
        <v>259</v>
      </c>
      <c r="J50" s="112">
        <v>0.5</v>
      </c>
      <c r="K50" s="110" t="s">
        <v>1107</v>
      </c>
      <c r="L50" s="113" t="s">
        <v>1500</v>
      </c>
      <c r="M50" s="110"/>
    </row>
    <row r="51" spans="1:13">
      <c r="A51" s="114">
        <v>2018</v>
      </c>
      <c r="B51" s="114">
        <v>2021</v>
      </c>
      <c r="C51" s="114" t="s">
        <v>1396</v>
      </c>
      <c r="D51" s="114" t="s">
        <v>1427</v>
      </c>
      <c r="E51" s="114" t="s">
        <v>1556</v>
      </c>
      <c r="F51" s="107" t="s">
        <v>1564</v>
      </c>
      <c r="G51" s="110" t="s">
        <v>1425</v>
      </c>
      <c r="H51" s="111">
        <v>185</v>
      </c>
      <c r="I51" s="111">
        <v>259</v>
      </c>
      <c r="J51" s="112">
        <v>0.5</v>
      </c>
      <c r="K51" s="110" t="s">
        <v>1171</v>
      </c>
      <c r="L51" s="113" t="s">
        <v>1490</v>
      </c>
      <c r="M51" s="110"/>
    </row>
    <row r="52" spans="1:13">
      <c r="A52" s="114">
        <v>2018</v>
      </c>
      <c r="B52" s="114">
        <v>2021</v>
      </c>
      <c r="C52" s="114" t="s">
        <v>1396</v>
      </c>
      <c r="D52" s="114" t="s">
        <v>1424</v>
      </c>
      <c r="E52" s="114" t="s">
        <v>1556</v>
      </c>
      <c r="F52" s="107" t="s">
        <v>1564</v>
      </c>
      <c r="G52" s="110" t="s">
        <v>1422</v>
      </c>
      <c r="H52" s="111">
        <v>185</v>
      </c>
      <c r="I52" s="111">
        <v>259</v>
      </c>
      <c r="J52" s="112">
        <v>0.5</v>
      </c>
      <c r="K52" s="110" t="s">
        <v>1171</v>
      </c>
      <c r="L52" s="113" t="s">
        <v>1489</v>
      </c>
      <c r="M52" s="110"/>
    </row>
    <row r="53" spans="1:13">
      <c r="A53" s="114">
        <v>2011</v>
      </c>
      <c r="B53" s="114">
        <v>2018</v>
      </c>
      <c r="C53" s="114" t="s">
        <v>1375</v>
      </c>
      <c r="D53" s="114" t="s">
        <v>1385</v>
      </c>
      <c r="E53" s="114" t="s">
        <v>1556</v>
      </c>
      <c r="F53" s="114" t="s">
        <v>1559</v>
      </c>
      <c r="G53" s="110" t="s">
        <v>1167</v>
      </c>
      <c r="H53" s="111">
        <v>75</v>
      </c>
      <c r="I53" s="111">
        <v>97.5</v>
      </c>
      <c r="J53" s="112">
        <v>0.5</v>
      </c>
      <c r="K53" s="110" t="s">
        <v>1162</v>
      </c>
      <c r="L53" s="113" t="s">
        <v>1384</v>
      </c>
      <c r="M53" s="110"/>
    </row>
    <row r="54" spans="1:13">
      <c r="A54" s="114">
        <v>2011</v>
      </c>
      <c r="B54" s="114">
        <v>2018</v>
      </c>
      <c r="C54" s="114" t="s">
        <v>1375</v>
      </c>
      <c r="D54" s="114" t="s">
        <v>1383</v>
      </c>
      <c r="E54" s="114" t="s">
        <v>1556</v>
      </c>
      <c r="F54" s="114" t="s">
        <v>1559</v>
      </c>
      <c r="G54" s="110" t="s">
        <v>1164</v>
      </c>
      <c r="H54" s="111">
        <v>680.6</v>
      </c>
      <c r="I54" s="111">
        <v>884.78</v>
      </c>
      <c r="J54" s="112">
        <v>0.5</v>
      </c>
      <c r="K54" s="110" t="s">
        <v>1162</v>
      </c>
      <c r="L54" s="113" t="s">
        <v>1382</v>
      </c>
      <c r="M54" s="110"/>
    </row>
    <row r="55" spans="1:13">
      <c r="A55" s="114">
        <v>2008</v>
      </c>
      <c r="B55" s="114">
        <v>2018</v>
      </c>
      <c r="C55" s="114" t="s">
        <v>1375</v>
      </c>
      <c r="D55" s="114" t="s">
        <v>1394</v>
      </c>
      <c r="E55" s="114" t="s">
        <v>1556</v>
      </c>
      <c r="F55" s="107" t="s">
        <v>1564</v>
      </c>
      <c r="G55" s="110" t="s">
        <v>1180</v>
      </c>
      <c r="H55" s="111">
        <v>125</v>
      </c>
      <c r="I55" s="111">
        <v>162.5</v>
      </c>
      <c r="J55" s="112">
        <v>0.5</v>
      </c>
      <c r="K55" s="110" t="s">
        <v>1178</v>
      </c>
      <c r="L55" s="113" t="s">
        <v>1393</v>
      </c>
      <c r="M55" s="110"/>
    </row>
    <row r="56" spans="1:13">
      <c r="A56" s="114">
        <v>2008</v>
      </c>
      <c r="B56" s="114">
        <v>2018</v>
      </c>
      <c r="C56" s="114" t="s">
        <v>1375</v>
      </c>
      <c r="D56" s="114" t="s">
        <v>1392</v>
      </c>
      <c r="E56" s="114" t="s">
        <v>1556</v>
      </c>
      <c r="F56" s="107" t="s">
        <v>1564</v>
      </c>
      <c r="G56" s="110" t="s">
        <v>1390</v>
      </c>
      <c r="H56" s="111">
        <v>96.6</v>
      </c>
      <c r="I56" s="111">
        <v>125.58</v>
      </c>
      <c r="J56" s="112">
        <v>0.5</v>
      </c>
      <c r="K56" s="110" t="s">
        <v>1171</v>
      </c>
      <c r="L56" s="113" t="s">
        <v>1501</v>
      </c>
      <c r="M56" s="110"/>
    </row>
    <row r="57" spans="1:13">
      <c r="A57" s="114">
        <v>2008</v>
      </c>
      <c r="B57" s="114">
        <v>2018</v>
      </c>
      <c r="C57" s="114" t="s">
        <v>1375</v>
      </c>
      <c r="D57" s="114" t="s">
        <v>1372</v>
      </c>
      <c r="E57" s="114" t="s">
        <v>1556</v>
      </c>
      <c r="F57" s="107" t="s">
        <v>1564</v>
      </c>
      <c r="G57" s="116" t="s">
        <v>1371</v>
      </c>
      <c r="H57" s="111">
        <v>225</v>
      </c>
      <c r="I57" s="111">
        <v>319</v>
      </c>
      <c r="J57" s="112">
        <v>0.5</v>
      </c>
      <c r="K57" s="110" t="s">
        <v>1171</v>
      </c>
      <c r="L57" s="113" t="s">
        <v>1502</v>
      </c>
      <c r="M57" s="110"/>
    </row>
    <row r="58" spans="1:13">
      <c r="A58" s="114">
        <v>2008</v>
      </c>
      <c r="B58" s="114">
        <v>2018</v>
      </c>
      <c r="C58" s="114" t="s">
        <v>1370</v>
      </c>
      <c r="D58" s="114" t="s">
        <v>1372</v>
      </c>
      <c r="E58" s="114" t="s">
        <v>1556</v>
      </c>
      <c r="F58" s="107" t="s">
        <v>1564</v>
      </c>
      <c r="G58" s="116" t="s">
        <v>1371</v>
      </c>
      <c r="H58" s="111">
        <v>225</v>
      </c>
      <c r="I58" s="111">
        <v>319</v>
      </c>
      <c r="J58" s="112">
        <v>0.5</v>
      </c>
      <c r="K58" s="110" t="s">
        <v>1171</v>
      </c>
      <c r="L58" s="113" t="s">
        <v>1502</v>
      </c>
      <c r="M58" s="110"/>
    </row>
    <row r="59" spans="1:13">
      <c r="A59" s="114">
        <v>2008</v>
      </c>
      <c r="B59" s="114">
        <v>2018</v>
      </c>
      <c r="C59" s="114" t="s">
        <v>1375</v>
      </c>
      <c r="D59" s="114" t="s">
        <v>1389</v>
      </c>
      <c r="E59" s="114" t="s">
        <v>1556</v>
      </c>
      <c r="F59" s="107" t="s">
        <v>1564</v>
      </c>
      <c r="G59" s="110" t="s">
        <v>1209</v>
      </c>
      <c r="H59" s="111">
        <v>225</v>
      </c>
      <c r="I59" s="111">
        <v>319</v>
      </c>
      <c r="J59" s="112">
        <v>0.5</v>
      </c>
      <c r="K59" s="110" t="s">
        <v>1171</v>
      </c>
      <c r="L59" s="113" t="s">
        <v>1503</v>
      </c>
      <c r="M59" s="110"/>
    </row>
    <row r="60" spans="1:13">
      <c r="A60" s="114">
        <v>2008</v>
      </c>
      <c r="B60" s="114">
        <v>2018</v>
      </c>
      <c r="C60" s="114" t="s">
        <v>1375</v>
      </c>
      <c r="D60" s="114" t="s">
        <v>1388</v>
      </c>
      <c r="E60" s="114" t="s">
        <v>1556</v>
      </c>
      <c r="F60" s="107" t="s">
        <v>1564</v>
      </c>
      <c r="G60" s="110" t="s">
        <v>1321</v>
      </c>
      <c r="H60" s="111">
        <v>96.6</v>
      </c>
      <c r="I60" s="111">
        <v>125.58</v>
      </c>
      <c r="J60" s="112">
        <v>0.5</v>
      </c>
      <c r="K60" s="110" t="s">
        <v>1171</v>
      </c>
      <c r="L60" s="113" t="s">
        <v>1386</v>
      </c>
      <c r="M60" s="110"/>
    </row>
    <row r="61" spans="1:13">
      <c r="A61" s="114">
        <v>2008</v>
      </c>
      <c r="B61" s="114">
        <v>2017</v>
      </c>
      <c r="C61" s="114" t="s">
        <v>1375</v>
      </c>
      <c r="D61" s="110" t="s">
        <v>1381</v>
      </c>
      <c r="E61" s="114" t="s">
        <v>1556</v>
      </c>
      <c r="F61" s="129" t="s">
        <v>1593</v>
      </c>
      <c r="G61" s="118" t="s">
        <v>1128</v>
      </c>
      <c r="H61" s="111">
        <v>185</v>
      </c>
      <c r="I61" s="111">
        <v>259</v>
      </c>
      <c r="J61" s="112">
        <v>0.5</v>
      </c>
      <c r="K61" s="110" t="s">
        <v>1107</v>
      </c>
      <c r="L61" s="113" t="s">
        <v>1380</v>
      </c>
      <c r="M61" s="110"/>
    </row>
    <row r="62" spans="1:13">
      <c r="A62" s="114">
        <v>2008</v>
      </c>
      <c r="B62" s="114">
        <v>2017</v>
      </c>
      <c r="C62" s="114" t="s">
        <v>1375</v>
      </c>
      <c r="D62" s="110" t="s">
        <v>1369</v>
      </c>
      <c r="E62" s="114" t="s">
        <v>1556</v>
      </c>
      <c r="F62" s="129" t="s">
        <v>1593</v>
      </c>
      <c r="G62" s="110" t="s">
        <v>1124</v>
      </c>
      <c r="H62" s="111">
        <v>185</v>
      </c>
      <c r="I62" s="111">
        <v>259</v>
      </c>
      <c r="J62" s="112">
        <v>0.5</v>
      </c>
      <c r="K62" s="110" t="s">
        <v>1107</v>
      </c>
      <c r="L62" s="113" t="s">
        <v>1368</v>
      </c>
      <c r="M62" s="110"/>
    </row>
    <row r="63" spans="1:13">
      <c r="A63" s="114">
        <v>2008</v>
      </c>
      <c r="B63" s="114">
        <v>2017</v>
      </c>
      <c r="C63" s="114" t="s">
        <v>1370</v>
      </c>
      <c r="D63" s="110" t="s">
        <v>1369</v>
      </c>
      <c r="E63" s="114" t="s">
        <v>1556</v>
      </c>
      <c r="F63" s="129" t="s">
        <v>1593</v>
      </c>
      <c r="G63" s="110" t="s">
        <v>1124</v>
      </c>
      <c r="H63" s="111">
        <v>185</v>
      </c>
      <c r="I63" s="111">
        <v>259</v>
      </c>
      <c r="J63" s="112">
        <v>0.5</v>
      </c>
      <c r="K63" s="110" t="s">
        <v>1107</v>
      </c>
      <c r="L63" s="113" t="s">
        <v>1368</v>
      </c>
      <c r="M63" s="110"/>
    </row>
    <row r="64" spans="1:13">
      <c r="A64" s="114">
        <v>2008</v>
      </c>
      <c r="B64" s="114">
        <v>2017</v>
      </c>
      <c r="C64" s="114" t="s">
        <v>1375</v>
      </c>
      <c r="D64" s="110" t="s">
        <v>1379</v>
      </c>
      <c r="E64" s="114" t="s">
        <v>1556</v>
      </c>
      <c r="F64" s="129" t="s">
        <v>1593</v>
      </c>
      <c r="G64" s="110" t="s">
        <v>1120</v>
      </c>
      <c r="H64" s="111">
        <v>185</v>
      </c>
      <c r="I64" s="111">
        <v>259</v>
      </c>
      <c r="J64" s="112">
        <v>0.5</v>
      </c>
      <c r="K64" s="110" t="s">
        <v>1107</v>
      </c>
      <c r="L64" s="113" t="s">
        <v>1378</v>
      </c>
      <c r="M64" s="110"/>
    </row>
    <row r="65" spans="1:13">
      <c r="A65" s="114">
        <v>2008</v>
      </c>
      <c r="B65" s="114">
        <v>2017</v>
      </c>
      <c r="C65" s="114" t="s">
        <v>1375</v>
      </c>
      <c r="D65" s="110" t="s">
        <v>1377</v>
      </c>
      <c r="E65" s="114" t="s">
        <v>1556</v>
      </c>
      <c r="F65" s="129" t="s">
        <v>1593</v>
      </c>
      <c r="G65" s="110" t="s">
        <v>1116</v>
      </c>
      <c r="H65" s="111">
        <v>185</v>
      </c>
      <c r="I65" s="111">
        <v>259</v>
      </c>
      <c r="J65" s="112">
        <v>0.5</v>
      </c>
      <c r="K65" s="110" t="s">
        <v>1107</v>
      </c>
      <c r="L65" s="113" t="s">
        <v>1376</v>
      </c>
      <c r="M65" s="110"/>
    </row>
    <row r="66" spans="1:13">
      <c r="A66" s="114">
        <v>2016</v>
      </c>
      <c r="B66" s="114">
        <v>2017</v>
      </c>
      <c r="C66" s="114" t="s">
        <v>1375</v>
      </c>
      <c r="D66" s="110" t="s">
        <v>1374</v>
      </c>
      <c r="E66" s="110" t="s">
        <v>1557</v>
      </c>
      <c r="F66" s="107" t="s">
        <v>1564</v>
      </c>
      <c r="G66" s="116" t="s">
        <v>1228</v>
      </c>
      <c r="H66" s="111">
        <v>225</v>
      </c>
      <c r="I66" s="111">
        <v>319</v>
      </c>
      <c r="J66" s="112">
        <v>0.5</v>
      </c>
      <c r="K66" s="110" t="s">
        <v>1226</v>
      </c>
      <c r="L66" s="113" t="s">
        <v>1373</v>
      </c>
      <c r="M66" s="110"/>
    </row>
    <row r="67" spans="1:13">
      <c r="A67" s="110">
        <v>2017</v>
      </c>
      <c r="B67" s="110">
        <v>2022</v>
      </c>
      <c r="C67" s="110" t="s">
        <v>1355</v>
      </c>
      <c r="D67" s="110" t="s">
        <v>1354</v>
      </c>
      <c r="E67" s="114" t="s">
        <v>1556</v>
      </c>
      <c r="F67" s="129" t="s">
        <v>1593</v>
      </c>
      <c r="G67" s="110" t="s">
        <v>1120</v>
      </c>
      <c r="H67" s="111">
        <v>185</v>
      </c>
      <c r="I67" s="111">
        <v>259</v>
      </c>
      <c r="J67" s="112">
        <v>0.5</v>
      </c>
      <c r="K67" s="110" t="s">
        <v>1107</v>
      </c>
      <c r="L67" s="113" t="s">
        <v>1353</v>
      </c>
      <c r="M67" s="110"/>
    </row>
    <row r="68" spans="1:13">
      <c r="A68" s="110">
        <v>2014</v>
      </c>
      <c r="B68" s="110">
        <v>2022</v>
      </c>
      <c r="C68" s="110" t="s">
        <v>466</v>
      </c>
      <c r="D68" s="110" t="s">
        <v>1363</v>
      </c>
      <c r="E68" s="114" t="s">
        <v>1556</v>
      </c>
      <c r="F68" s="129" t="s">
        <v>1593</v>
      </c>
      <c r="G68" s="118" t="s">
        <v>1128</v>
      </c>
      <c r="H68" s="111">
        <v>185</v>
      </c>
      <c r="I68" s="111">
        <v>259</v>
      </c>
      <c r="J68" s="112">
        <v>0.5</v>
      </c>
      <c r="K68" s="110" t="s">
        <v>1107</v>
      </c>
      <c r="L68" s="113" t="s">
        <v>1504</v>
      </c>
      <c r="M68" s="110"/>
    </row>
    <row r="69" spans="1:13">
      <c r="A69" s="110">
        <v>2014</v>
      </c>
      <c r="B69" s="110">
        <v>2020</v>
      </c>
      <c r="C69" s="110" t="s">
        <v>466</v>
      </c>
      <c r="D69" s="114" t="s">
        <v>1367</v>
      </c>
      <c r="E69" s="114" t="s">
        <v>1556</v>
      </c>
      <c r="F69" s="114" t="s">
        <v>1559</v>
      </c>
      <c r="G69" s="110" t="s">
        <v>1299</v>
      </c>
      <c r="H69" s="111">
        <v>185</v>
      </c>
      <c r="I69" s="111">
        <v>259</v>
      </c>
      <c r="J69" s="112">
        <v>0.5</v>
      </c>
      <c r="K69" s="110" t="s">
        <v>1150</v>
      </c>
      <c r="L69" s="113" t="s">
        <v>1366</v>
      </c>
      <c r="M69" s="110"/>
    </row>
    <row r="70" spans="1:13">
      <c r="A70" s="110">
        <v>2014</v>
      </c>
      <c r="B70" s="110">
        <v>2022</v>
      </c>
      <c r="C70" s="110" t="s">
        <v>466</v>
      </c>
      <c r="D70" s="110" t="s">
        <v>1362</v>
      </c>
      <c r="E70" s="114" t="s">
        <v>1556</v>
      </c>
      <c r="F70" s="129" t="s">
        <v>1593</v>
      </c>
      <c r="G70" s="110" t="s">
        <v>1124</v>
      </c>
      <c r="H70" s="111">
        <v>185</v>
      </c>
      <c r="I70" s="111">
        <v>259</v>
      </c>
      <c r="J70" s="112">
        <v>0.5</v>
      </c>
      <c r="K70" s="110" t="s">
        <v>1107</v>
      </c>
      <c r="L70" s="113" t="s">
        <v>1505</v>
      </c>
      <c r="M70" s="110"/>
    </row>
    <row r="71" spans="1:13">
      <c r="A71" s="110">
        <v>2014</v>
      </c>
      <c r="B71" s="110">
        <v>2022</v>
      </c>
      <c r="C71" s="110" t="s">
        <v>466</v>
      </c>
      <c r="D71" s="110" t="s">
        <v>1358</v>
      </c>
      <c r="E71" s="110" t="s">
        <v>1557</v>
      </c>
      <c r="F71" s="107" t="s">
        <v>1564</v>
      </c>
      <c r="G71" s="116" t="s">
        <v>1228</v>
      </c>
      <c r="H71" s="111">
        <v>185</v>
      </c>
      <c r="I71" s="111">
        <v>259</v>
      </c>
      <c r="J71" s="112">
        <v>0.5</v>
      </c>
      <c r="K71" s="110" t="s">
        <v>1226</v>
      </c>
      <c r="L71" s="113" t="s">
        <v>1509</v>
      </c>
      <c r="M71" s="110"/>
    </row>
    <row r="72" spans="1:13">
      <c r="A72" s="110">
        <v>2014</v>
      </c>
      <c r="B72" s="110">
        <v>2022</v>
      </c>
      <c r="C72" s="110" t="s">
        <v>466</v>
      </c>
      <c r="D72" s="114" t="s">
        <v>1365</v>
      </c>
      <c r="E72" s="114" t="s">
        <v>1556</v>
      </c>
      <c r="F72" s="114" t="s">
        <v>1559</v>
      </c>
      <c r="G72" s="110" t="s">
        <v>1158</v>
      </c>
      <c r="H72" s="111">
        <v>99</v>
      </c>
      <c r="I72" s="111">
        <v>128.69999999999999</v>
      </c>
      <c r="J72" s="112">
        <v>0.5</v>
      </c>
      <c r="K72" s="110" t="s">
        <v>1156</v>
      </c>
      <c r="L72" s="113" t="s">
        <v>1364</v>
      </c>
      <c r="M72" s="110"/>
    </row>
    <row r="73" spans="1:13">
      <c r="A73" s="110">
        <v>2014</v>
      </c>
      <c r="B73" s="110">
        <v>2022</v>
      </c>
      <c r="C73" s="110" t="s">
        <v>466</v>
      </c>
      <c r="D73" s="110" t="s">
        <v>1361</v>
      </c>
      <c r="E73" s="114" t="s">
        <v>1556</v>
      </c>
      <c r="F73" s="129" t="s">
        <v>1593</v>
      </c>
      <c r="G73" s="110" t="s">
        <v>1120</v>
      </c>
      <c r="H73" s="111">
        <v>185</v>
      </c>
      <c r="I73" s="111">
        <v>259</v>
      </c>
      <c r="J73" s="112">
        <v>0.5</v>
      </c>
      <c r="K73" s="110" t="s">
        <v>1107</v>
      </c>
      <c r="L73" s="113" t="s">
        <v>1506</v>
      </c>
      <c r="M73" s="110"/>
    </row>
    <row r="74" spans="1:13">
      <c r="A74" s="110">
        <v>2014</v>
      </c>
      <c r="B74" s="110">
        <v>2022</v>
      </c>
      <c r="C74" s="110" t="s">
        <v>466</v>
      </c>
      <c r="D74" s="110" t="s">
        <v>1360</v>
      </c>
      <c r="E74" s="114" t="s">
        <v>1556</v>
      </c>
      <c r="F74" s="129" t="s">
        <v>1593</v>
      </c>
      <c r="G74" s="110" t="s">
        <v>1116</v>
      </c>
      <c r="H74" s="111">
        <v>185</v>
      </c>
      <c r="I74" s="111">
        <v>259</v>
      </c>
      <c r="J74" s="112">
        <v>0.5</v>
      </c>
      <c r="K74" s="110" t="s">
        <v>1107</v>
      </c>
      <c r="L74" s="113" t="s">
        <v>1507</v>
      </c>
      <c r="M74" s="110"/>
    </row>
    <row r="75" spans="1:13">
      <c r="A75" s="110">
        <v>2014</v>
      </c>
      <c r="B75" s="110">
        <v>2022</v>
      </c>
      <c r="C75" s="110" t="s">
        <v>466</v>
      </c>
      <c r="D75" s="110" t="s">
        <v>1359</v>
      </c>
      <c r="E75" s="114" t="s">
        <v>1556</v>
      </c>
      <c r="F75" s="129" t="s">
        <v>1593</v>
      </c>
      <c r="G75" s="110" t="s">
        <v>1109</v>
      </c>
      <c r="H75" s="111">
        <v>185</v>
      </c>
      <c r="I75" s="111">
        <v>259</v>
      </c>
      <c r="J75" s="112">
        <v>0.5</v>
      </c>
      <c r="K75" s="110" t="s">
        <v>1107</v>
      </c>
      <c r="L75" s="113" t="s">
        <v>1508</v>
      </c>
      <c r="M75" s="110"/>
    </row>
    <row r="76" spans="1:13">
      <c r="A76" s="110">
        <v>2014</v>
      </c>
      <c r="B76" s="110">
        <v>2022</v>
      </c>
      <c r="C76" s="110" t="s">
        <v>466</v>
      </c>
      <c r="D76" s="110" t="s">
        <v>1357</v>
      </c>
      <c r="E76" s="114" t="s">
        <v>1556</v>
      </c>
      <c r="F76" s="114" t="s">
        <v>1559</v>
      </c>
      <c r="G76" s="110" t="s">
        <v>1145</v>
      </c>
      <c r="H76" s="111">
        <v>429</v>
      </c>
      <c r="I76" s="111">
        <v>599</v>
      </c>
      <c r="J76" s="112">
        <v>0.5</v>
      </c>
      <c r="K76" s="110" t="s">
        <v>1143</v>
      </c>
      <c r="L76" s="113" t="s">
        <v>1356</v>
      </c>
      <c r="M76" s="110"/>
    </row>
    <row r="77" spans="1:13">
      <c r="A77" s="110">
        <v>2018</v>
      </c>
      <c r="B77" s="110">
        <v>2022</v>
      </c>
      <c r="C77" s="110" t="s">
        <v>1355</v>
      </c>
      <c r="D77" s="110" t="s">
        <v>1357</v>
      </c>
      <c r="E77" s="114" t="s">
        <v>1556</v>
      </c>
      <c r="F77" s="114" t="s">
        <v>1559</v>
      </c>
      <c r="G77" s="110" t="s">
        <v>1145</v>
      </c>
      <c r="H77" s="111">
        <v>429</v>
      </c>
      <c r="I77" s="111">
        <v>599</v>
      </c>
      <c r="J77" s="112">
        <v>0.5</v>
      </c>
      <c r="K77" s="110" t="s">
        <v>1143</v>
      </c>
      <c r="L77" s="113" t="s">
        <v>1356</v>
      </c>
      <c r="M77" s="110"/>
    </row>
    <row r="78" spans="1:13">
      <c r="A78" s="110">
        <v>2016</v>
      </c>
      <c r="B78" s="110">
        <v>2021</v>
      </c>
      <c r="C78" s="114" t="s">
        <v>1258</v>
      </c>
      <c r="D78" s="110" t="s">
        <v>1352</v>
      </c>
      <c r="E78" s="114" t="s">
        <v>1556</v>
      </c>
      <c r="F78" s="107" t="s">
        <v>1564</v>
      </c>
      <c r="G78" s="110" t="s">
        <v>1221</v>
      </c>
      <c r="H78" s="111">
        <v>185</v>
      </c>
      <c r="I78" s="111">
        <v>259</v>
      </c>
      <c r="J78" s="112">
        <v>0.5</v>
      </c>
      <c r="K78" s="110" t="s">
        <v>1171</v>
      </c>
      <c r="L78" s="113" t="s">
        <v>1510</v>
      </c>
      <c r="M78" s="110"/>
    </row>
    <row r="79" spans="1:13">
      <c r="A79" s="110">
        <v>2016</v>
      </c>
      <c r="B79" s="110">
        <v>2021</v>
      </c>
      <c r="C79" s="114" t="s">
        <v>1258</v>
      </c>
      <c r="D79" s="110" t="s">
        <v>1297</v>
      </c>
      <c r="E79" s="114" t="s">
        <v>1556</v>
      </c>
      <c r="F79" s="129" t="s">
        <v>1593</v>
      </c>
      <c r="G79" s="110" t="s">
        <v>1116</v>
      </c>
      <c r="H79" s="111">
        <v>185</v>
      </c>
      <c r="I79" s="111">
        <v>259</v>
      </c>
      <c r="J79" s="112">
        <v>0.5</v>
      </c>
      <c r="K79" s="110" t="s">
        <v>1107</v>
      </c>
      <c r="L79" s="113" t="s">
        <v>1296</v>
      </c>
      <c r="M79" s="110"/>
    </row>
    <row r="80" spans="1:13">
      <c r="A80" s="114">
        <v>2022</v>
      </c>
      <c r="B80" s="114">
        <v>2022</v>
      </c>
      <c r="C80" s="114" t="s">
        <v>1258</v>
      </c>
      <c r="D80" s="110" t="s">
        <v>1351</v>
      </c>
      <c r="E80" s="114" t="s">
        <v>1556</v>
      </c>
      <c r="F80" s="107" t="s">
        <v>1564</v>
      </c>
      <c r="G80" s="110" t="s">
        <v>1221</v>
      </c>
      <c r="H80" s="111">
        <v>185</v>
      </c>
      <c r="I80" s="111">
        <v>259</v>
      </c>
      <c r="J80" s="112">
        <v>0.5</v>
      </c>
      <c r="K80" s="110" t="s">
        <v>1171</v>
      </c>
      <c r="L80" s="113" t="s">
        <v>1350</v>
      </c>
      <c r="M80" s="110"/>
    </row>
    <row r="81" spans="1:13">
      <c r="A81" s="114">
        <v>2022</v>
      </c>
      <c r="B81" s="114">
        <v>2022</v>
      </c>
      <c r="C81" s="114" t="s">
        <v>1258</v>
      </c>
      <c r="D81" s="110" t="s">
        <v>1349</v>
      </c>
      <c r="E81" s="114" t="s">
        <v>1556</v>
      </c>
      <c r="F81" s="107" t="s">
        <v>1564</v>
      </c>
      <c r="G81" s="110" t="s">
        <v>1221</v>
      </c>
      <c r="H81" s="111">
        <v>185</v>
      </c>
      <c r="I81" s="111">
        <v>259</v>
      </c>
      <c r="J81" s="112">
        <v>0.5</v>
      </c>
      <c r="K81" s="110" t="s">
        <v>1171</v>
      </c>
      <c r="L81" s="113" t="s">
        <v>1348</v>
      </c>
      <c r="M81" s="110"/>
    </row>
    <row r="82" spans="1:13">
      <c r="A82" s="114">
        <v>2022</v>
      </c>
      <c r="B82" s="114">
        <v>2022</v>
      </c>
      <c r="C82" s="114" t="s">
        <v>1258</v>
      </c>
      <c r="D82" s="114" t="s">
        <v>1295</v>
      </c>
      <c r="E82" s="114" t="s">
        <v>1556</v>
      </c>
      <c r="F82" s="129" t="s">
        <v>1593</v>
      </c>
      <c r="G82" s="110" t="s">
        <v>1116</v>
      </c>
      <c r="H82" s="111">
        <v>185</v>
      </c>
      <c r="I82" s="111">
        <v>259</v>
      </c>
      <c r="J82" s="112">
        <v>0.5</v>
      </c>
      <c r="K82" s="110" t="s">
        <v>1107</v>
      </c>
      <c r="L82" s="113" t="s">
        <v>1522</v>
      </c>
      <c r="M82" s="110"/>
    </row>
    <row r="83" spans="1:13">
      <c r="A83" s="110">
        <v>2018</v>
      </c>
      <c r="B83" s="114">
        <v>2022</v>
      </c>
      <c r="C83" s="114" t="s">
        <v>1232</v>
      </c>
      <c r="D83" s="110" t="s">
        <v>1238</v>
      </c>
      <c r="E83" s="110" t="s">
        <v>1558</v>
      </c>
      <c r="F83" s="107" t="s">
        <v>1564</v>
      </c>
      <c r="G83" s="110" t="s">
        <v>1235</v>
      </c>
      <c r="H83" s="111">
        <v>385</v>
      </c>
      <c r="I83" s="111">
        <v>539</v>
      </c>
      <c r="J83" s="112">
        <v>0.5</v>
      </c>
      <c r="K83" s="110" t="s">
        <v>1233</v>
      </c>
      <c r="L83" s="113" t="s">
        <v>1535</v>
      </c>
      <c r="M83" s="110"/>
    </row>
    <row r="84" spans="1:13">
      <c r="A84" s="110">
        <v>2018</v>
      </c>
      <c r="B84" s="114">
        <v>2022</v>
      </c>
      <c r="C84" s="114" t="s">
        <v>1232</v>
      </c>
      <c r="D84" s="110" t="s">
        <v>1231</v>
      </c>
      <c r="E84" s="110" t="s">
        <v>1557</v>
      </c>
      <c r="F84" s="107" t="s">
        <v>1564</v>
      </c>
      <c r="G84" s="116" t="s">
        <v>1228</v>
      </c>
      <c r="H84" s="111">
        <v>225</v>
      </c>
      <c r="I84" s="111">
        <v>319</v>
      </c>
      <c r="J84" s="112">
        <v>0.5</v>
      </c>
      <c r="K84" s="110" t="s">
        <v>1226</v>
      </c>
      <c r="L84" s="113" t="s">
        <v>1536</v>
      </c>
      <c r="M84" s="110"/>
    </row>
    <row r="85" spans="1:13">
      <c r="A85" s="110">
        <v>2018</v>
      </c>
      <c r="B85" s="114">
        <v>2022</v>
      </c>
      <c r="C85" s="114" t="s">
        <v>1232</v>
      </c>
      <c r="D85" s="110" t="s">
        <v>1255</v>
      </c>
      <c r="E85" s="114" t="s">
        <v>1556</v>
      </c>
      <c r="F85" s="107" t="s">
        <v>1564</v>
      </c>
      <c r="G85" s="110" t="s">
        <v>1184</v>
      </c>
      <c r="H85" s="111">
        <v>75</v>
      </c>
      <c r="I85" s="111">
        <v>99</v>
      </c>
      <c r="J85" s="112">
        <v>0.5</v>
      </c>
      <c r="K85" s="110" t="s">
        <v>1156</v>
      </c>
      <c r="L85" s="113" t="s">
        <v>1254</v>
      </c>
      <c r="M85" s="110"/>
    </row>
    <row r="86" spans="1:13">
      <c r="A86" s="110">
        <v>2018</v>
      </c>
      <c r="B86" s="114">
        <v>2022</v>
      </c>
      <c r="C86" s="114" t="s">
        <v>1232</v>
      </c>
      <c r="D86" s="110" t="s">
        <v>1244</v>
      </c>
      <c r="E86" s="114" t="s">
        <v>1556</v>
      </c>
      <c r="F86" s="114" t="s">
        <v>1559</v>
      </c>
      <c r="G86" s="110" t="s">
        <v>1158</v>
      </c>
      <c r="H86" s="111">
        <v>125</v>
      </c>
      <c r="I86" s="111">
        <v>162.5</v>
      </c>
      <c r="J86" s="112">
        <v>0.5</v>
      </c>
      <c r="K86" s="110" t="s">
        <v>1156</v>
      </c>
      <c r="L86" s="113" t="s">
        <v>1531</v>
      </c>
      <c r="M86" s="110"/>
    </row>
    <row r="87" spans="1:13">
      <c r="A87" s="110">
        <v>2018</v>
      </c>
      <c r="B87" s="114">
        <v>2022</v>
      </c>
      <c r="C87" s="114" t="s">
        <v>1232</v>
      </c>
      <c r="D87" s="110" t="s">
        <v>1241</v>
      </c>
      <c r="E87" s="114" t="s">
        <v>1556</v>
      </c>
      <c r="F87" s="114" t="s">
        <v>1562</v>
      </c>
      <c r="G87" s="118" t="s">
        <v>1128</v>
      </c>
      <c r="H87" s="111">
        <v>185</v>
      </c>
      <c r="I87" s="111">
        <v>259</v>
      </c>
      <c r="J87" s="112">
        <v>0.5</v>
      </c>
      <c r="K87" s="110" t="s">
        <v>1107</v>
      </c>
      <c r="L87" s="113" t="s">
        <v>1532</v>
      </c>
      <c r="M87" s="110"/>
    </row>
    <row r="88" spans="1:13">
      <c r="A88" s="110">
        <v>2018</v>
      </c>
      <c r="B88" s="114">
        <v>2022</v>
      </c>
      <c r="C88" s="114" t="s">
        <v>1232</v>
      </c>
      <c r="D88" s="110" t="s">
        <v>1253</v>
      </c>
      <c r="E88" s="114" t="s">
        <v>1556</v>
      </c>
      <c r="F88" s="107" t="s">
        <v>1564</v>
      </c>
      <c r="G88" s="110" t="s">
        <v>1251</v>
      </c>
      <c r="H88" s="111">
        <v>429</v>
      </c>
      <c r="I88" s="111">
        <v>599</v>
      </c>
      <c r="J88" s="112">
        <v>0.5</v>
      </c>
      <c r="K88" s="110" t="s">
        <v>1246</v>
      </c>
      <c r="L88" s="113" t="s">
        <v>1530</v>
      </c>
      <c r="M88" s="110"/>
    </row>
    <row r="89" spans="1:13">
      <c r="A89" s="110">
        <v>2018</v>
      </c>
      <c r="B89" s="114">
        <v>2022</v>
      </c>
      <c r="C89" s="114" t="s">
        <v>1232</v>
      </c>
      <c r="D89" s="110" t="s">
        <v>1250</v>
      </c>
      <c r="E89" s="114" t="s">
        <v>1556</v>
      </c>
      <c r="F89" s="107" t="s">
        <v>1564</v>
      </c>
      <c r="G89" s="110" t="s">
        <v>1248</v>
      </c>
      <c r="H89" s="111">
        <v>385</v>
      </c>
      <c r="I89" s="111">
        <v>539</v>
      </c>
      <c r="J89" s="112">
        <v>0.5</v>
      </c>
      <c r="K89" s="110" t="s">
        <v>1246</v>
      </c>
      <c r="L89" s="113" t="s">
        <v>1245</v>
      </c>
      <c r="M89" s="110"/>
    </row>
    <row r="90" spans="1:13">
      <c r="A90" s="110">
        <v>2018</v>
      </c>
      <c r="B90" s="114">
        <v>2022</v>
      </c>
      <c r="C90" s="114" t="s">
        <v>1232</v>
      </c>
      <c r="D90" s="110" t="s">
        <v>1243</v>
      </c>
      <c r="E90" s="114" t="s">
        <v>1556</v>
      </c>
      <c r="F90" s="114" t="s">
        <v>1559</v>
      </c>
      <c r="G90" s="110" t="s">
        <v>1145</v>
      </c>
      <c r="H90" s="111">
        <v>429</v>
      </c>
      <c r="I90" s="111">
        <v>599</v>
      </c>
      <c r="J90" s="112">
        <v>0.5</v>
      </c>
      <c r="K90" s="110" t="s">
        <v>1143</v>
      </c>
      <c r="L90" s="113" t="s">
        <v>1242</v>
      </c>
      <c r="M90" s="110"/>
    </row>
    <row r="91" spans="1:13">
      <c r="A91" s="110">
        <v>2018</v>
      </c>
      <c r="B91" s="114">
        <v>2022</v>
      </c>
      <c r="C91" s="114" t="s">
        <v>1232</v>
      </c>
      <c r="D91" s="110" t="s">
        <v>1240</v>
      </c>
      <c r="E91" s="114" t="s">
        <v>1556</v>
      </c>
      <c r="F91" s="114" t="s">
        <v>1562</v>
      </c>
      <c r="G91" s="110" t="s">
        <v>1120</v>
      </c>
      <c r="H91" s="111">
        <v>185</v>
      </c>
      <c r="I91" s="111">
        <v>259</v>
      </c>
      <c r="J91" s="112">
        <v>0.5</v>
      </c>
      <c r="K91" s="110" t="s">
        <v>1107</v>
      </c>
      <c r="L91" s="113" t="s">
        <v>1533</v>
      </c>
      <c r="M91" s="110"/>
    </row>
    <row r="92" spans="1:13">
      <c r="A92" s="110">
        <v>2018</v>
      </c>
      <c r="B92" s="114">
        <v>2022</v>
      </c>
      <c r="C92" s="114" t="s">
        <v>1232</v>
      </c>
      <c r="D92" s="110" t="s">
        <v>1239</v>
      </c>
      <c r="E92" s="114" t="s">
        <v>1556</v>
      </c>
      <c r="F92" s="114" t="s">
        <v>1562</v>
      </c>
      <c r="G92" s="110" t="s">
        <v>1116</v>
      </c>
      <c r="H92" s="111">
        <v>185</v>
      </c>
      <c r="I92" s="111">
        <v>259</v>
      </c>
      <c r="J92" s="112">
        <v>0.5</v>
      </c>
      <c r="K92" s="110" t="s">
        <v>1107</v>
      </c>
      <c r="L92" s="113" t="s">
        <v>1534</v>
      </c>
      <c r="M92" s="110"/>
    </row>
    <row r="93" spans="1:13">
      <c r="A93" s="110">
        <v>2014</v>
      </c>
      <c r="B93" s="110">
        <v>2021</v>
      </c>
      <c r="C93" s="114" t="s">
        <v>1258</v>
      </c>
      <c r="D93" s="110" t="s">
        <v>1318</v>
      </c>
      <c r="E93" s="114" t="s">
        <v>1556</v>
      </c>
      <c r="F93" s="114" t="s">
        <v>1559</v>
      </c>
      <c r="G93" s="110" t="s">
        <v>1158</v>
      </c>
      <c r="H93" s="111">
        <v>99</v>
      </c>
      <c r="I93" s="111">
        <v>128.69999999999999</v>
      </c>
      <c r="J93" s="112">
        <v>0.5</v>
      </c>
      <c r="K93" s="110" t="s">
        <v>1156</v>
      </c>
      <c r="L93" s="113" t="s">
        <v>1317</v>
      </c>
      <c r="M93" s="110"/>
    </row>
    <row r="94" spans="1:13">
      <c r="A94" s="110">
        <v>2016</v>
      </c>
      <c r="B94" s="110">
        <v>2021</v>
      </c>
      <c r="C94" s="114" t="s">
        <v>1258</v>
      </c>
      <c r="D94" s="110" t="s">
        <v>1316</v>
      </c>
      <c r="E94" s="114" t="s">
        <v>1556</v>
      </c>
      <c r="F94" s="114" t="s">
        <v>1559</v>
      </c>
      <c r="G94" s="110" t="s">
        <v>1167</v>
      </c>
      <c r="H94" s="111">
        <v>75</v>
      </c>
      <c r="I94" s="111">
        <v>97.5</v>
      </c>
      <c r="J94" s="112">
        <v>0.5</v>
      </c>
      <c r="K94" s="110" t="s">
        <v>1162</v>
      </c>
      <c r="L94" s="113" t="s">
        <v>1315</v>
      </c>
      <c r="M94" s="110"/>
    </row>
    <row r="95" spans="1:13">
      <c r="A95" s="110">
        <v>2016</v>
      </c>
      <c r="B95" s="110">
        <v>2021</v>
      </c>
      <c r="C95" s="114" t="s">
        <v>1258</v>
      </c>
      <c r="D95" s="110" t="s">
        <v>1314</v>
      </c>
      <c r="E95" s="114" t="s">
        <v>1556</v>
      </c>
      <c r="F95" s="114" t="s">
        <v>1559</v>
      </c>
      <c r="G95" s="110" t="s">
        <v>1164</v>
      </c>
      <c r="H95" s="111">
        <v>680.6</v>
      </c>
      <c r="I95" s="111">
        <v>884.78</v>
      </c>
      <c r="J95" s="112">
        <v>0.5</v>
      </c>
      <c r="K95" s="110" t="s">
        <v>1162</v>
      </c>
      <c r="L95" s="113" t="s">
        <v>1313</v>
      </c>
      <c r="M95" s="110"/>
    </row>
    <row r="96" spans="1:13">
      <c r="A96" s="110">
        <v>2016</v>
      </c>
      <c r="B96" s="110">
        <v>2021</v>
      </c>
      <c r="C96" s="114" t="s">
        <v>1258</v>
      </c>
      <c r="D96" s="110" t="s">
        <v>1294</v>
      </c>
      <c r="E96" s="114" t="s">
        <v>1556</v>
      </c>
      <c r="F96" s="114" t="s">
        <v>1562</v>
      </c>
      <c r="G96" s="118" t="s">
        <v>1128</v>
      </c>
      <c r="H96" s="111">
        <v>185</v>
      </c>
      <c r="I96" s="111">
        <v>259</v>
      </c>
      <c r="J96" s="112">
        <v>0.5</v>
      </c>
      <c r="K96" s="110" t="s">
        <v>1107</v>
      </c>
      <c r="L96" s="113" t="s">
        <v>1293</v>
      </c>
      <c r="M96" s="110"/>
    </row>
    <row r="97" spans="1:13">
      <c r="A97" s="110">
        <v>2016</v>
      </c>
      <c r="B97" s="110">
        <v>2021</v>
      </c>
      <c r="C97" s="114" t="s">
        <v>1258</v>
      </c>
      <c r="D97" s="110" t="s">
        <v>1312</v>
      </c>
      <c r="E97" s="114" t="s">
        <v>1556</v>
      </c>
      <c r="F97" s="114" t="s">
        <v>1559</v>
      </c>
      <c r="G97" s="110" t="s">
        <v>1299</v>
      </c>
      <c r="H97" s="111">
        <v>185</v>
      </c>
      <c r="I97" s="111">
        <v>259</v>
      </c>
      <c r="J97" s="112">
        <v>0.5</v>
      </c>
      <c r="K97" s="110" t="s">
        <v>1150</v>
      </c>
      <c r="L97" s="113" t="s">
        <v>1311</v>
      </c>
      <c r="M97" s="110"/>
    </row>
    <row r="98" spans="1:13">
      <c r="A98" s="110">
        <v>2016</v>
      </c>
      <c r="B98" s="110">
        <v>2021</v>
      </c>
      <c r="C98" s="114" t="s">
        <v>1258</v>
      </c>
      <c r="D98" s="110" t="s">
        <v>1310</v>
      </c>
      <c r="E98" s="114" t="s">
        <v>1556</v>
      </c>
      <c r="F98" s="114" t="s">
        <v>1559</v>
      </c>
      <c r="G98" s="110" t="s">
        <v>1152</v>
      </c>
      <c r="H98" s="111">
        <v>185</v>
      </c>
      <c r="I98" s="111">
        <v>259</v>
      </c>
      <c r="J98" s="112">
        <v>0.5</v>
      </c>
      <c r="K98" s="110" t="s">
        <v>1150</v>
      </c>
      <c r="L98" s="113" t="s">
        <v>1309</v>
      </c>
      <c r="M98" s="110"/>
    </row>
    <row r="99" spans="1:13">
      <c r="A99" s="110">
        <v>2016</v>
      </c>
      <c r="B99" s="110">
        <v>2021</v>
      </c>
      <c r="C99" s="114" t="s">
        <v>1258</v>
      </c>
      <c r="D99" s="110" t="s">
        <v>1347</v>
      </c>
      <c r="E99" s="114" t="s">
        <v>1556</v>
      </c>
      <c r="F99" s="107" t="s">
        <v>1564</v>
      </c>
      <c r="G99" s="110" t="s">
        <v>1184</v>
      </c>
      <c r="H99" s="111">
        <v>75</v>
      </c>
      <c r="I99" s="111">
        <v>99</v>
      </c>
      <c r="J99" s="112">
        <v>0.5</v>
      </c>
      <c r="K99" s="110" t="s">
        <v>1156</v>
      </c>
      <c r="L99" s="113" t="s">
        <v>1346</v>
      </c>
      <c r="M99" s="110"/>
    </row>
    <row r="100" spans="1:13">
      <c r="A100" s="110">
        <v>2018</v>
      </c>
      <c r="B100" s="110">
        <v>2021</v>
      </c>
      <c r="C100" s="114" t="s">
        <v>1258</v>
      </c>
      <c r="D100" s="110" t="s">
        <v>1308</v>
      </c>
      <c r="E100" s="114" t="s">
        <v>1556</v>
      </c>
      <c r="F100" s="114" t="s">
        <v>1559</v>
      </c>
      <c r="G100" s="110" t="s">
        <v>1145</v>
      </c>
      <c r="H100" s="111">
        <v>429</v>
      </c>
      <c r="I100" s="111">
        <v>599</v>
      </c>
      <c r="J100" s="112">
        <v>0.5</v>
      </c>
      <c r="K100" s="110" t="s">
        <v>1143</v>
      </c>
      <c r="L100" s="113" t="s">
        <v>1307</v>
      </c>
      <c r="M100" s="110"/>
    </row>
    <row r="101" spans="1:13">
      <c r="A101" s="110">
        <v>2016</v>
      </c>
      <c r="B101" s="110">
        <v>2021</v>
      </c>
      <c r="C101" s="114" t="s">
        <v>1258</v>
      </c>
      <c r="D101" s="110" t="s">
        <v>1292</v>
      </c>
      <c r="E101" s="114" t="s">
        <v>1556</v>
      </c>
      <c r="F101" s="114" t="s">
        <v>1562</v>
      </c>
      <c r="G101" s="110" t="s">
        <v>1124</v>
      </c>
      <c r="H101" s="111">
        <v>185</v>
      </c>
      <c r="I101" s="111">
        <v>259</v>
      </c>
      <c r="J101" s="112">
        <v>0.5</v>
      </c>
      <c r="K101" s="110" t="s">
        <v>1107</v>
      </c>
      <c r="L101" s="113" t="s">
        <v>1291</v>
      </c>
      <c r="M101" s="110"/>
    </row>
    <row r="102" spans="1:13">
      <c r="A102" s="110">
        <v>2016</v>
      </c>
      <c r="B102" s="110">
        <v>2021</v>
      </c>
      <c r="C102" s="114" t="s">
        <v>1258</v>
      </c>
      <c r="D102" s="110" t="s">
        <v>1290</v>
      </c>
      <c r="E102" s="114" t="s">
        <v>1556</v>
      </c>
      <c r="F102" s="114" t="s">
        <v>1562</v>
      </c>
      <c r="G102" s="110" t="s">
        <v>1120</v>
      </c>
      <c r="H102" s="111">
        <v>185</v>
      </c>
      <c r="I102" s="111">
        <v>259</v>
      </c>
      <c r="J102" s="112">
        <v>0.5</v>
      </c>
      <c r="K102" s="110" t="s">
        <v>1107</v>
      </c>
      <c r="L102" s="113" t="s">
        <v>1289</v>
      </c>
      <c r="M102" s="110"/>
    </row>
    <row r="103" spans="1:13">
      <c r="A103" s="110">
        <v>2016</v>
      </c>
      <c r="B103" s="110">
        <v>2021</v>
      </c>
      <c r="C103" s="114" t="s">
        <v>1258</v>
      </c>
      <c r="D103" s="110" t="s">
        <v>1288</v>
      </c>
      <c r="E103" s="114" t="s">
        <v>1556</v>
      </c>
      <c r="F103" s="114" t="s">
        <v>1562</v>
      </c>
      <c r="G103" s="110" t="s">
        <v>1116</v>
      </c>
      <c r="H103" s="111">
        <v>185</v>
      </c>
      <c r="I103" s="111">
        <v>259</v>
      </c>
      <c r="J103" s="112">
        <v>0.5</v>
      </c>
      <c r="K103" s="110" t="s">
        <v>1107</v>
      </c>
      <c r="L103" s="113" t="s">
        <v>1287</v>
      </c>
      <c r="M103" s="110"/>
    </row>
    <row r="104" spans="1:13">
      <c r="A104" s="110">
        <v>2016</v>
      </c>
      <c r="B104" s="110">
        <v>2021</v>
      </c>
      <c r="C104" s="114" t="s">
        <v>1258</v>
      </c>
      <c r="D104" s="110" t="s">
        <v>1286</v>
      </c>
      <c r="E104" s="114" t="s">
        <v>1556</v>
      </c>
      <c r="F104" s="114" t="s">
        <v>1562</v>
      </c>
      <c r="G104" s="110" t="s">
        <v>1109</v>
      </c>
      <c r="H104" s="111">
        <v>185</v>
      </c>
      <c r="I104" s="111">
        <v>259</v>
      </c>
      <c r="J104" s="112">
        <v>0.5</v>
      </c>
      <c r="K104" s="110" t="s">
        <v>1107</v>
      </c>
      <c r="L104" s="113" t="s">
        <v>1285</v>
      </c>
      <c r="M104" s="110"/>
    </row>
    <row r="105" spans="1:13">
      <c r="A105" s="110">
        <v>2018</v>
      </c>
      <c r="B105" s="110">
        <v>2021</v>
      </c>
      <c r="C105" s="114" t="s">
        <v>1258</v>
      </c>
      <c r="D105" s="110" t="s">
        <v>1345</v>
      </c>
      <c r="E105" s="114" t="s">
        <v>1556</v>
      </c>
      <c r="F105" s="107" t="s">
        <v>1564</v>
      </c>
      <c r="G105" s="116" t="s">
        <v>1173</v>
      </c>
      <c r="H105" s="111">
        <v>325</v>
      </c>
      <c r="I105" s="111">
        <v>449</v>
      </c>
      <c r="J105" s="112">
        <v>0.5</v>
      </c>
      <c r="K105" s="110" t="s">
        <v>1171</v>
      </c>
      <c r="L105" s="113" t="s">
        <v>1344</v>
      </c>
      <c r="M105" s="110"/>
    </row>
    <row r="106" spans="1:13">
      <c r="A106" s="114">
        <v>2022</v>
      </c>
      <c r="B106" s="114">
        <v>2022</v>
      </c>
      <c r="C106" s="114" t="s">
        <v>1258</v>
      </c>
      <c r="D106" s="114" t="s">
        <v>1306</v>
      </c>
      <c r="E106" s="114" t="s">
        <v>1556</v>
      </c>
      <c r="F106" s="114" t="s">
        <v>1559</v>
      </c>
      <c r="G106" s="110" t="s">
        <v>1305</v>
      </c>
      <c r="H106" s="111">
        <v>75</v>
      </c>
      <c r="I106" s="111">
        <v>97.5</v>
      </c>
      <c r="J106" s="112">
        <v>0.5</v>
      </c>
      <c r="K106" s="110" t="s">
        <v>1162</v>
      </c>
      <c r="L106" s="113" t="s">
        <v>1518</v>
      </c>
      <c r="M106" s="110"/>
    </row>
    <row r="107" spans="1:13">
      <c r="A107" s="114">
        <v>2022</v>
      </c>
      <c r="B107" s="114">
        <v>2022</v>
      </c>
      <c r="C107" s="114" t="s">
        <v>1258</v>
      </c>
      <c r="D107" s="110" t="s">
        <v>1304</v>
      </c>
      <c r="E107" s="114" t="s">
        <v>1556</v>
      </c>
      <c r="F107" s="114" t="s">
        <v>1559</v>
      </c>
      <c r="G107" s="110" t="s">
        <v>1302</v>
      </c>
      <c r="H107" s="111">
        <v>99</v>
      </c>
      <c r="I107" s="111">
        <v>128.69999999999999</v>
      </c>
      <c r="J107" s="112">
        <v>0.5</v>
      </c>
      <c r="K107" s="110" t="s">
        <v>1150</v>
      </c>
      <c r="L107" s="113" t="s">
        <v>1519</v>
      </c>
      <c r="M107" s="110"/>
    </row>
    <row r="108" spans="1:13">
      <c r="A108" s="114">
        <v>2022</v>
      </c>
      <c r="B108" s="114">
        <v>2022</v>
      </c>
      <c r="C108" s="114" t="s">
        <v>1258</v>
      </c>
      <c r="D108" s="114" t="s">
        <v>1284</v>
      </c>
      <c r="E108" s="114" t="s">
        <v>1556</v>
      </c>
      <c r="F108" s="114" t="s">
        <v>1562</v>
      </c>
      <c r="G108" s="118" t="s">
        <v>1128</v>
      </c>
      <c r="H108" s="111">
        <v>185</v>
      </c>
      <c r="I108" s="111">
        <v>259</v>
      </c>
      <c r="J108" s="112">
        <v>0.5</v>
      </c>
      <c r="K108" s="110" t="s">
        <v>1107</v>
      </c>
      <c r="L108" s="113"/>
      <c r="M108" s="110"/>
    </row>
    <row r="109" spans="1:13">
      <c r="A109" s="114">
        <v>2022</v>
      </c>
      <c r="B109" s="114">
        <v>2022</v>
      </c>
      <c r="C109" s="114" t="s">
        <v>1258</v>
      </c>
      <c r="D109" s="114" t="s">
        <v>1301</v>
      </c>
      <c r="E109" s="114" t="s">
        <v>1556</v>
      </c>
      <c r="F109" s="114" t="s">
        <v>1559</v>
      </c>
      <c r="G109" s="110" t="s">
        <v>1299</v>
      </c>
      <c r="H109" s="111">
        <v>185</v>
      </c>
      <c r="I109" s="111">
        <v>259</v>
      </c>
      <c r="J109" s="112">
        <v>0.5</v>
      </c>
      <c r="K109" s="110" t="s">
        <v>1150</v>
      </c>
      <c r="L109" s="113" t="s">
        <v>1520</v>
      </c>
      <c r="M109" s="110"/>
    </row>
    <row r="110" spans="1:13">
      <c r="A110" s="114">
        <v>2022</v>
      </c>
      <c r="B110" s="114">
        <v>2022</v>
      </c>
      <c r="C110" s="114" t="s">
        <v>1258</v>
      </c>
      <c r="D110" s="110" t="s">
        <v>1343</v>
      </c>
      <c r="E110" s="114" t="s">
        <v>1556</v>
      </c>
      <c r="F110" s="107" t="s">
        <v>1564</v>
      </c>
      <c r="G110" s="110" t="s">
        <v>1341</v>
      </c>
      <c r="H110" s="111">
        <v>185</v>
      </c>
      <c r="I110" s="111">
        <v>259</v>
      </c>
      <c r="J110" s="112">
        <v>0.5</v>
      </c>
      <c r="K110" s="110" t="s">
        <v>1335</v>
      </c>
      <c r="L110" s="113" t="s">
        <v>1340</v>
      </c>
      <c r="M110" s="110"/>
    </row>
    <row r="111" spans="1:13">
      <c r="A111" s="114">
        <v>2022</v>
      </c>
      <c r="B111" s="114">
        <v>2022</v>
      </c>
      <c r="C111" s="114" t="s">
        <v>1258</v>
      </c>
      <c r="D111" s="110" t="s">
        <v>1339</v>
      </c>
      <c r="E111" s="114" t="s">
        <v>1556</v>
      </c>
      <c r="F111" s="107" t="s">
        <v>1564</v>
      </c>
      <c r="G111" s="110" t="s">
        <v>1337</v>
      </c>
      <c r="H111" s="111">
        <v>99</v>
      </c>
      <c r="I111" s="111">
        <v>128.69999999999999</v>
      </c>
      <c r="J111" s="112">
        <v>0.5</v>
      </c>
      <c r="K111" s="110" t="s">
        <v>1335</v>
      </c>
      <c r="L111" s="113" t="s">
        <v>1511</v>
      </c>
      <c r="M111" s="110"/>
    </row>
    <row r="112" spans="1:13">
      <c r="A112" s="114">
        <v>2022</v>
      </c>
      <c r="B112" s="114">
        <v>2022</v>
      </c>
      <c r="C112" s="114" t="s">
        <v>1258</v>
      </c>
      <c r="D112" s="114" t="s">
        <v>1271</v>
      </c>
      <c r="E112" s="110" t="s">
        <v>1557</v>
      </c>
      <c r="F112" s="107" t="s">
        <v>1564</v>
      </c>
      <c r="G112" s="110" t="s">
        <v>1269</v>
      </c>
      <c r="H112" s="111">
        <v>185</v>
      </c>
      <c r="I112" s="111">
        <v>259</v>
      </c>
      <c r="J112" s="112">
        <v>0.5</v>
      </c>
      <c r="K112" s="110" t="s">
        <v>1226</v>
      </c>
      <c r="L112" s="113" t="s">
        <v>1268</v>
      </c>
      <c r="M112" s="110"/>
    </row>
    <row r="113" spans="1:13">
      <c r="A113" s="114">
        <v>2022</v>
      </c>
      <c r="B113" s="114">
        <v>2022</v>
      </c>
      <c r="C113" s="114" t="s">
        <v>1258</v>
      </c>
      <c r="D113" s="114" t="s">
        <v>1334</v>
      </c>
      <c r="E113" s="114" t="s">
        <v>1556</v>
      </c>
      <c r="F113" s="107" t="s">
        <v>1564</v>
      </c>
      <c r="G113" s="110" t="s">
        <v>1215</v>
      </c>
      <c r="H113" s="111">
        <v>185</v>
      </c>
      <c r="I113" s="111">
        <v>259</v>
      </c>
      <c r="J113" s="112">
        <v>0.5</v>
      </c>
      <c r="K113" s="110" t="s">
        <v>1171</v>
      </c>
      <c r="L113" s="113" t="s">
        <v>1512</v>
      </c>
      <c r="M113" s="110"/>
    </row>
    <row r="114" spans="1:13">
      <c r="A114" s="114">
        <v>2022</v>
      </c>
      <c r="B114" s="114">
        <v>2022</v>
      </c>
      <c r="C114" s="114" t="s">
        <v>1258</v>
      </c>
      <c r="D114" s="114" t="s">
        <v>1333</v>
      </c>
      <c r="E114" s="114" t="s">
        <v>1556</v>
      </c>
      <c r="F114" s="107" t="s">
        <v>1564</v>
      </c>
      <c r="G114" s="110" t="s">
        <v>1212</v>
      </c>
      <c r="H114" s="111">
        <v>185</v>
      </c>
      <c r="I114" s="111">
        <v>259</v>
      </c>
      <c r="J114" s="112">
        <v>0.5</v>
      </c>
      <c r="K114" s="110" t="s">
        <v>1171</v>
      </c>
      <c r="L114" s="113" t="s">
        <v>1332</v>
      </c>
      <c r="M114" s="110"/>
    </row>
    <row r="115" spans="1:13">
      <c r="A115" s="114">
        <v>2022</v>
      </c>
      <c r="B115" s="114">
        <v>2022</v>
      </c>
      <c r="C115" s="114" t="s">
        <v>1258</v>
      </c>
      <c r="D115" s="114" t="s">
        <v>1267</v>
      </c>
      <c r="E115" s="110" t="s">
        <v>1557</v>
      </c>
      <c r="F115" s="107" t="s">
        <v>1564</v>
      </c>
      <c r="G115" s="110" t="s">
        <v>1265</v>
      </c>
      <c r="H115" s="111">
        <v>275</v>
      </c>
      <c r="I115" s="111">
        <v>389</v>
      </c>
      <c r="J115" s="112">
        <v>0.5</v>
      </c>
      <c r="K115" s="110" t="s">
        <v>1226</v>
      </c>
      <c r="L115" s="113" t="s">
        <v>1264</v>
      </c>
      <c r="M115" s="110"/>
    </row>
    <row r="116" spans="1:13">
      <c r="A116" s="114">
        <v>2022</v>
      </c>
      <c r="B116" s="114">
        <v>2022</v>
      </c>
      <c r="C116" s="114" t="s">
        <v>1258</v>
      </c>
      <c r="D116" s="114" t="s">
        <v>1331</v>
      </c>
      <c r="E116" s="114" t="s">
        <v>1556</v>
      </c>
      <c r="F116" s="107" t="s">
        <v>1564</v>
      </c>
      <c r="G116" s="110" t="s">
        <v>1184</v>
      </c>
      <c r="H116" s="111">
        <v>75</v>
      </c>
      <c r="I116" s="111">
        <v>99</v>
      </c>
      <c r="J116" s="112">
        <v>0.5</v>
      </c>
      <c r="K116" s="110" t="s">
        <v>1156</v>
      </c>
      <c r="L116" s="113" t="s">
        <v>1513</v>
      </c>
      <c r="M116" s="110"/>
    </row>
    <row r="117" spans="1:13">
      <c r="A117" s="114">
        <v>2022</v>
      </c>
      <c r="B117" s="114">
        <v>2022</v>
      </c>
      <c r="C117" s="114" t="s">
        <v>1258</v>
      </c>
      <c r="D117" s="114" t="s">
        <v>1283</v>
      </c>
      <c r="E117" s="114" t="s">
        <v>1556</v>
      </c>
      <c r="F117" s="114" t="s">
        <v>1562</v>
      </c>
      <c r="G117" s="110" t="s">
        <v>1281</v>
      </c>
      <c r="H117" s="111">
        <v>185</v>
      </c>
      <c r="I117" s="111">
        <v>259</v>
      </c>
      <c r="J117" s="112">
        <v>0.5</v>
      </c>
      <c r="K117" s="110" t="s">
        <v>1107</v>
      </c>
      <c r="L117" s="113" t="s">
        <v>1523</v>
      </c>
      <c r="M117" s="110"/>
    </row>
    <row r="118" spans="1:13">
      <c r="A118" s="114">
        <v>2022</v>
      </c>
      <c r="B118" s="114">
        <v>2022</v>
      </c>
      <c r="C118" s="114" t="s">
        <v>1258</v>
      </c>
      <c r="D118" s="114" t="s">
        <v>1330</v>
      </c>
      <c r="E118" s="114" t="s">
        <v>1556</v>
      </c>
      <c r="F118" s="107" t="s">
        <v>1564</v>
      </c>
      <c r="G118" s="110" t="s">
        <v>1328</v>
      </c>
      <c r="H118" s="111">
        <v>325</v>
      </c>
      <c r="I118" s="111">
        <v>449</v>
      </c>
      <c r="J118" s="112">
        <v>0.5</v>
      </c>
      <c r="K118" s="110" t="s">
        <v>1178</v>
      </c>
      <c r="L118" s="113" t="s">
        <v>1514</v>
      </c>
      <c r="M118" s="110"/>
    </row>
    <row r="119" spans="1:13">
      <c r="A119" s="114">
        <v>2022</v>
      </c>
      <c r="B119" s="114">
        <v>2022</v>
      </c>
      <c r="C119" s="114" t="s">
        <v>1258</v>
      </c>
      <c r="D119" s="114" t="s">
        <v>1263</v>
      </c>
      <c r="E119" s="110" t="s">
        <v>1557</v>
      </c>
      <c r="F119" s="107" t="s">
        <v>1564</v>
      </c>
      <c r="G119" s="110" t="s">
        <v>1261</v>
      </c>
      <c r="H119" s="111">
        <v>429</v>
      </c>
      <c r="I119" s="111">
        <v>599</v>
      </c>
      <c r="J119" s="112">
        <v>0.5</v>
      </c>
      <c r="K119" s="110" t="s">
        <v>1259</v>
      </c>
      <c r="L119" s="113" t="s">
        <v>1529</v>
      </c>
      <c r="M119" s="110"/>
    </row>
    <row r="120" spans="1:13">
      <c r="A120" s="114">
        <v>2022</v>
      </c>
      <c r="B120" s="114">
        <v>2022</v>
      </c>
      <c r="C120" s="114" t="s">
        <v>1258</v>
      </c>
      <c r="D120" s="114" t="s">
        <v>1327</v>
      </c>
      <c r="E120" s="114" t="s">
        <v>1556</v>
      </c>
      <c r="F120" s="107" t="s">
        <v>1564</v>
      </c>
      <c r="G120" s="110" t="s">
        <v>1325</v>
      </c>
      <c r="H120" s="111">
        <v>185</v>
      </c>
      <c r="I120" s="111">
        <v>259</v>
      </c>
      <c r="J120" s="112">
        <v>0.5</v>
      </c>
      <c r="K120" s="110" t="s">
        <v>1171</v>
      </c>
      <c r="L120" s="113" t="s">
        <v>1515</v>
      </c>
      <c r="M120" s="110"/>
    </row>
    <row r="121" spans="1:13">
      <c r="A121" s="114">
        <v>2022</v>
      </c>
      <c r="B121" s="114">
        <v>2022</v>
      </c>
      <c r="C121" s="114" t="s">
        <v>1258</v>
      </c>
      <c r="D121" s="114" t="s">
        <v>1324</v>
      </c>
      <c r="E121" s="114" t="s">
        <v>1556</v>
      </c>
      <c r="F121" s="107" t="s">
        <v>1564</v>
      </c>
      <c r="G121" s="110" t="s">
        <v>1209</v>
      </c>
      <c r="H121" s="111">
        <v>185</v>
      </c>
      <c r="I121" s="111">
        <v>259</v>
      </c>
      <c r="J121" s="112">
        <v>0.5</v>
      </c>
      <c r="K121" s="110" t="s">
        <v>1171</v>
      </c>
      <c r="L121" s="113" t="s">
        <v>1516</v>
      </c>
      <c r="M121" s="110"/>
    </row>
    <row r="122" spans="1:13">
      <c r="A122" s="114">
        <v>2022</v>
      </c>
      <c r="B122" s="114">
        <v>2022</v>
      </c>
      <c r="C122" s="114" t="s">
        <v>1258</v>
      </c>
      <c r="D122" s="114" t="s">
        <v>1257</v>
      </c>
      <c r="E122" s="110" t="s">
        <v>1557</v>
      </c>
      <c r="F122" s="107" t="s">
        <v>1564</v>
      </c>
      <c r="G122" s="110" t="s">
        <v>1228</v>
      </c>
      <c r="H122" s="111">
        <v>185</v>
      </c>
      <c r="I122" s="111">
        <v>259</v>
      </c>
      <c r="J122" s="112">
        <v>0.5</v>
      </c>
      <c r="K122" s="110" t="s">
        <v>1226</v>
      </c>
      <c r="L122" s="113" t="s">
        <v>1256</v>
      </c>
      <c r="M122" s="110"/>
    </row>
    <row r="123" spans="1:13">
      <c r="A123" s="114">
        <v>2022</v>
      </c>
      <c r="B123" s="114">
        <v>2022</v>
      </c>
      <c r="C123" s="114" t="s">
        <v>1258</v>
      </c>
      <c r="D123" s="114" t="s">
        <v>1298</v>
      </c>
      <c r="E123" s="114" t="s">
        <v>1556</v>
      </c>
      <c r="F123" s="114" t="s">
        <v>1559</v>
      </c>
      <c r="G123" s="110" t="s">
        <v>1158</v>
      </c>
      <c r="H123" s="111">
        <v>99</v>
      </c>
      <c r="I123" s="111">
        <v>128.69999999999999</v>
      </c>
      <c r="J123" s="112">
        <v>0.5</v>
      </c>
      <c r="K123" s="110" t="s">
        <v>1156</v>
      </c>
      <c r="L123" s="113" t="s">
        <v>1521</v>
      </c>
      <c r="M123" s="110"/>
    </row>
    <row r="124" spans="1:13">
      <c r="A124" s="114">
        <v>2022</v>
      </c>
      <c r="B124" s="114">
        <v>2022</v>
      </c>
      <c r="C124" s="114" t="s">
        <v>1258</v>
      </c>
      <c r="D124" s="114" t="s">
        <v>1280</v>
      </c>
      <c r="E124" s="114" t="s">
        <v>1556</v>
      </c>
      <c r="F124" s="114" t="s">
        <v>1562</v>
      </c>
      <c r="G124" s="110" t="s">
        <v>1120</v>
      </c>
      <c r="H124" s="111">
        <v>185</v>
      </c>
      <c r="I124" s="111">
        <v>259</v>
      </c>
      <c r="J124" s="112">
        <v>0.5</v>
      </c>
      <c r="K124" s="110" t="s">
        <v>1107</v>
      </c>
      <c r="L124" s="113" t="s">
        <v>1524</v>
      </c>
      <c r="M124" s="110"/>
    </row>
    <row r="125" spans="1:13">
      <c r="A125" s="114">
        <v>2022</v>
      </c>
      <c r="B125" s="114">
        <v>2022</v>
      </c>
      <c r="C125" s="114" t="s">
        <v>1258</v>
      </c>
      <c r="D125" s="110" t="s">
        <v>1323</v>
      </c>
      <c r="E125" s="114" t="s">
        <v>1556</v>
      </c>
      <c r="F125" s="107" t="s">
        <v>1564</v>
      </c>
      <c r="G125" s="110" t="s">
        <v>1321</v>
      </c>
      <c r="H125" s="111">
        <v>99</v>
      </c>
      <c r="I125" s="111">
        <v>128.69999999999999</v>
      </c>
      <c r="J125" s="112">
        <v>0.5</v>
      </c>
      <c r="K125" s="110" t="s">
        <v>1319</v>
      </c>
      <c r="L125" s="113" t="s">
        <v>1517</v>
      </c>
      <c r="M125" s="110"/>
    </row>
    <row r="126" spans="1:13">
      <c r="A126" s="114">
        <v>2022</v>
      </c>
      <c r="B126" s="114">
        <v>2022</v>
      </c>
      <c r="C126" s="114" t="s">
        <v>1258</v>
      </c>
      <c r="D126" s="114" t="s">
        <v>1279</v>
      </c>
      <c r="E126" s="114" t="s">
        <v>1556</v>
      </c>
      <c r="F126" s="114" t="s">
        <v>1562</v>
      </c>
      <c r="G126" s="110" t="s">
        <v>1277</v>
      </c>
      <c r="H126" s="111">
        <v>185</v>
      </c>
      <c r="I126" s="111">
        <v>259</v>
      </c>
      <c r="J126" s="112">
        <v>0.5</v>
      </c>
      <c r="K126" s="110" t="s">
        <v>1107</v>
      </c>
      <c r="L126" s="113" t="s">
        <v>1525</v>
      </c>
      <c r="M126" s="110"/>
    </row>
    <row r="127" spans="1:13">
      <c r="A127" s="114">
        <v>2022</v>
      </c>
      <c r="B127" s="114">
        <v>2022</v>
      </c>
      <c r="C127" s="114" t="s">
        <v>1258</v>
      </c>
      <c r="D127" s="114" t="s">
        <v>1276</v>
      </c>
      <c r="E127" s="114" t="s">
        <v>1556</v>
      </c>
      <c r="F127" s="114" t="s">
        <v>1562</v>
      </c>
      <c r="G127" s="110" t="s">
        <v>1116</v>
      </c>
      <c r="H127" s="111">
        <v>185</v>
      </c>
      <c r="I127" s="111">
        <v>259</v>
      </c>
      <c r="J127" s="112">
        <v>0.5</v>
      </c>
      <c r="K127" s="110" t="s">
        <v>1107</v>
      </c>
      <c r="L127" s="113" t="s">
        <v>1526</v>
      </c>
      <c r="M127" s="110"/>
    </row>
    <row r="128" spans="1:13">
      <c r="A128" s="114">
        <v>2022</v>
      </c>
      <c r="B128" s="114">
        <v>2022</v>
      </c>
      <c r="C128" s="114" t="s">
        <v>1258</v>
      </c>
      <c r="D128" s="114" t="s">
        <v>1275</v>
      </c>
      <c r="E128" s="114" t="s">
        <v>1556</v>
      </c>
      <c r="F128" s="114" t="s">
        <v>1562</v>
      </c>
      <c r="G128" s="110" t="s">
        <v>1109</v>
      </c>
      <c r="H128" s="111">
        <v>185</v>
      </c>
      <c r="I128" s="111">
        <v>259</v>
      </c>
      <c r="J128" s="112">
        <v>0.5</v>
      </c>
      <c r="K128" s="110" t="s">
        <v>1107</v>
      </c>
      <c r="L128" s="113" t="s">
        <v>1527</v>
      </c>
      <c r="M128" s="110"/>
    </row>
    <row r="129" spans="1:13">
      <c r="A129" s="114">
        <v>2022</v>
      </c>
      <c r="B129" s="114">
        <v>2022</v>
      </c>
      <c r="C129" s="114" t="s">
        <v>1258</v>
      </c>
      <c r="D129" s="114" t="s">
        <v>1274</v>
      </c>
      <c r="E129" s="114" t="s">
        <v>1556</v>
      </c>
      <c r="F129" s="114" t="s">
        <v>1562</v>
      </c>
      <c r="G129" s="110" t="s">
        <v>1272</v>
      </c>
      <c r="H129" s="111">
        <v>185</v>
      </c>
      <c r="I129" s="111">
        <v>259</v>
      </c>
      <c r="J129" s="112">
        <v>0.5</v>
      </c>
      <c r="K129" s="110" t="s">
        <v>1107</v>
      </c>
      <c r="L129" s="113" t="s">
        <v>1528</v>
      </c>
      <c r="M129" s="110"/>
    </row>
    <row r="130" spans="1:13">
      <c r="A130" s="110">
        <v>2011</v>
      </c>
      <c r="B130" s="110">
        <v>2019</v>
      </c>
      <c r="C130" s="110" t="s">
        <v>1114</v>
      </c>
      <c r="D130" s="110" t="s">
        <v>1141</v>
      </c>
      <c r="E130" s="114" t="s">
        <v>1556</v>
      </c>
      <c r="F130" s="114" t="s">
        <v>1562</v>
      </c>
      <c r="G130" s="110" t="s">
        <v>1116</v>
      </c>
      <c r="H130" s="111">
        <v>185</v>
      </c>
      <c r="I130" s="111">
        <v>259</v>
      </c>
      <c r="J130" s="112">
        <v>0.5</v>
      </c>
      <c r="K130" s="110" t="s">
        <v>1107</v>
      </c>
      <c r="L130" s="113" t="s">
        <v>1140</v>
      </c>
      <c r="M130" s="110"/>
    </row>
    <row r="131" spans="1:13">
      <c r="A131" s="110">
        <v>2011</v>
      </c>
      <c r="B131" s="110">
        <v>2019</v>
      </c>
      <c r="C131" s="110" t="s">
        <v>1114</v>
      </c>
      <c r="D131" s="110" t="s">
        <v>1139</v>
      </c>
      <c r="E131" s="114" t="s">
        <v>1556</v>
      </c>
      <c r="F131" s="114" t="s">
        <v>1562</v>
      </c>
      <c r="G131" s="110" t="s">
        <v>1124</v>
      </c>
      <c r="H131" s="111">
        <v>185</v>
      </c>
      <c r="I131" s="111">
        <v>259</v>
      </c>
      <c r="J131" s="112">
        <v>0.5</v>
      </c>
      <c r="K131" s="110" t="s">
        <v>1107</v>
      </c>
      <c r="L131" s="113" t="s">
        <v>1138</v>
      </c>
      <c r="M131" s="110"/>
    </row>
    <row r="132" spans="1:13">
      <c r="A132" s="110">
        <v>2018</v>
      </c>
      <c r="B132" s="110">
        <v>2019</v>
      </c>
      <c r="C132" s="110" t="s">
        <v>1114</v>
      </c>
      <c r="D132" s="110" t="s">
        <v>1225</v>
      </c>
      <c r="E132" s="114" t="s">
        <v>1556</v>
      </c>
      <c r="F132" s="107" t="s">
        <v>1564</v>
      </c>
      <c r="G132" s="110" t="s">
        <v>1221</v>
      </c>
      <c r="H132" s="111">
        <v>185</v>
      </c>
      <c r="I132" s="111">
        <v>259</v>
      </c>
      <c r="J132" s="112">
        <v>0.5</v>
      </c>
      <c r="K132" s="110" t="s">
        <v>1171</v>
      </c>
      <c r="L132" s="113" t="s">
        <v>1224</v>
      </c>
      <c r="M132" s="110"/>
    </row>
    <row r="133" spans="1:13">
      <c r="A133" s="110">
        <v>2020</v>
      </c>
      <c r="B133" s="110">
        <v>2022</v>
      </c>
      <c r="C133" s="110" t="s">
        <v>1114</v>
      </c>
      <c r="D133" s="110" t="s">
        <v>1223</v>
      </c>
      <c r="E133" s="114" t="s">
        <v>1556</v>
      </c>
      <c r="F133" s="107" t="s">
        <v>1564</v>
      </c>
      <c r="G133" s="110" t="s">
        <v>1221</v>
      </c>
      <c r="H133" s="111">
        <v>185</v>
      </c>
      <c r="I133" s="111">
        <v>259</v>
      </c>
      <c r="J133" s="112">
        <v>0.5</v>
      </c>
      <c r="K133" s="110" t="s">
        <v>1171</v>
      </c>
      <c r="L133" s="113" t="s">
        <v>1220</v>
      </c>
      <c r="M133" s="110"/>
    </row>
    <row r="134" spans="1:13">
      <c r="A134" s="110">
        <v>2020</v>
      </c>
      <c r="B134" s="110">
        <v>2022</v>
      </c>
      <c r="C134" s="110" t="s">
        <v>1114</v>
      </c>
      <c r="D134" s="110" t="s">
        <v>1137</v>
      </c>
      <c r="E134" s="114" t="s">
        <v>1556</v>
      </c>
      <c r="F134" s="114" t="s">
        <v>1562</v>
      </c>
      <c r="G134" s="110" t="s">
        <v>1116</v>
      </c>
      <c r="H134" s="111">
        <v>185</v>
      </c>
      <c r="I134" s="111">
        <v>259</v>
      </c>
      <c r="J134" s="112">
        <v>0.5</v>
      </c>
      <c r="K134" s="110" t="s">
        <v>1107</v>
      </c>
      <c r="L134" s="113" t="s">
        <v>1136</v>
      </c>
      <c r="M134" s="110"/>
    </row>
    <row r="135" spans="1:13">
      <c r="A135" s="110">
        <v>2010</v>
      </c>
      <c r="B135" s="110">
        <v>2019</v>
      </c>
      <c r="C135" s="110" t="s">
        <v>1114</v>
      </c>
      <c r="D135" s="110" t="s">
        <v>1219</v>
      </c>
      <c r="E135" s="114" t="s">
        <v>1556</v>
      </c>
      <c r="F135" s="107" t="s">
        <v>1564</v>
      </c>
      <c r="G135" s="110" t="s">
        <v>1184</v>
      </c>
      <c r="H135" s="111">
        <v>75</v>
      </c>
      <c r="I135" s="111">
        <v>99</v>
      </c>
      <c r="J135" s="112">
        <v>0.5</v>
      </c>
      <c r="K135" s="110" t="s">
        <v>1156</v>
      </c>
      <c r="L135" s="113" t="s">
        <v>1218</v>
      </c>
      <c r="M135" s="110"/>
    </row>
    <row r="136" spans="1:13">
      <c r="A136" s="110">
        <v>2011</v>
      </c>
      <c r="B136" s="110">
        <v>2022</v>
      </c>
      <c r="C136" s="110" t="s">
        <v>1114</v>
      </c>
      <c r="D136" s="110" t="s">
        <v>1169</v>
      </c>
      <c r="E136" s="114" t="s">
        <v>1556</v>
      </c>
      <c r="F136" s="114" t="s">
        <v>1559</v>
      </c>
      <c r="G136" s="110" t="s">
        <v>1167</v>
      </c>
      <c r="H136" s="111">
        <v>75</v>
      </c>
      <c r="I136" s="111">
        <v>97.5</v>
      </c>
      <c r="J136" s="112">
        <v>0.5</v>
      </c>
      <c r="K136" s="110" t="s">
        <v>1162</v>
      </c>
      <c r="L136" s="113" t="s">
        <v>1540</v>
      </c>
      <c r="M136" s="110"/>
    </row>
    <row r="137" spans="1:13">
      <c r="A137" s="110">
        <v>2011</v>
      </c>
      <c r="B137" s="110">
        <v>2022</v>
      </c>
      <c r="C137" s="110" t="s">
        <v>1114</v>
      </c>
      <c r="D137" s="110" t="s">
        <v>1166</v>
      </c>
      <c r="E137" s="114" t="s">
        <v>1556</v>
      </c>
      <c r="F137" s="114" t="s">
        <v>1559</v>
      </c>
      <c r="G137" s="110" t="s">
        <v>1164</v>
      </c>
      <c r="H137" s="111">
        <v>680.6</v>
      </c>
      <c r="I137" s="111">
        <v>884.78</v>
      </c>
      <c r="J137" s="112">
        <v>0.5</v>
      </c>
      <c r="K137" s="110" t="s">
        <v>1162</v>
      </c>
      <c r="L137" s="113" t="s">
        <v>1161</v>
      </c>
      <c r="M137" s="110"/>
    </row>
    <row r="138" spans="1:13">
      <c r="A138" s="110">
        <v>2011</v>
      </c>
      <c r="B138" s="110">
        <v>2019</v>
      </c>
      <c r="C138" s="110" t="s">
        <v>1114</v>
      </c>
      <c r="D138" s="110" t="s">
        <v>1135</v>
      </c>
      <c r="E138" s="114" t="s">
        <v>1556</v>
      </c>
      <c r="F138" s="114" t="s">
        <v>1562</v>
      </c>
      <c r="G138" s="118" t="s">
        <v>1128</v>
      </c>
      <c r="H138" s="111">
        <v>185</v>
      </c>
      <c r="I138" s="111">
        <v>259</v>
      </c>
      <c r="J138" s="112">
        <v>0.5</v>
      </c>
      <c r="K138" s="110" t="s">
        <v>1107</v>
      </c>
      <c r="L138" s="113" t="s">
        <v>1541</v>
      </c>
      <c r="M138" s="110"/>
    </row>
    <row r="139" spans="1:13">
      <c r="A139" s="110">
        <v>2011</v>
      </c>
      <c r="B139" s="110">
        <v>2022</v>
      </c>
      <c r="C139" s="110" t="s">
        <v>1114</v>
      </c>
      <c r="D139" s="110" t="s">
        <v>1217</v>
      </c>
      <c r="E139" s="114" t="s">
        <v>1556</v>
      </c>
      <c r="F139" s="107" t="s">
        <v>1564</v>
      </c>
      <c r="G139" s="110" t="s">
        <v>1215</v>
      </c>
      <c r="H139" s="111">
        <v>185</v>
      </c>
      <c r="I139" s="111">
        <v>259</v>
      </c>
      <c r="J139" s="112">
        <v>0.5</v>
      </c>
      <c r="K139" s="110" t="s">
        <v>1171</v>
      </c>
      <c r="L139" s="113" t="s">
        <v>1537</v>
      </c>
      <c r="M139" s="110"/>
    </row>
    <row r="140" spans="1:13">
      <c r="A140" s="110">
        <v>2011</v>
      </c>
      <c r="B140" s="110">
        <v>2022</v>
      </c>
      <c r="C140" s="110" t="s">
        <v>1114</v>
      </c>
      <c r="D140" s="110" t="s">
        <v>1214</v>
      </c>
      <c r="E140" s="114" t="s">
        <v>1556</v>
      </c>
      <c r="F140" s="107" t="s">
        <v>1564</v>
      </c>
      <c r="G140" s="110" t="s">
        <v>1212</v>
      </c>
      <c r="H140" s="111">
        <v>185</v>
      </c>
      <c r="I140" s="111">
        <v>259</v>
      </c>
      <c r="J140" s="112">
        <v>0.5</v>
      </c>
      <c r="K140" s="110" t="s">
        <v>1171</v>
      </c>
      <c r="L140" s="113" t="s">
        <v>1538</v>
      </c>
      <c r="M140" s="110"/>
    </row>
    <row r="141" spans="1:13">
      <c r="A141" s="110">
        <v>2011</v>
      </c>
      <c r="B141" s="110">
        <v>2019</v>
      </c>
      <c r="C141" s="110" t="s">
        <v>1114</v>
      </c>
      <c r="D141" s="110" t="s">
        <v>1134</v>
      </c>
      <c r="E141" s="114" t="s">
        <v>1556</v>
      </c>
      <c r="F141" s="114" t="s">
        <v>1562</v>
      </c>
      <c r="G141" s="110" t="s">
        <v>1124</v>
      </c>
      <c r="H141" s="111">
        <v>185</v>
      </c>
      <c r="I141" s="111">
        <v>259</v>
      </c>
      <c r="J141" s="112">
        <v>0.5</v>
      </c>
      <c r="K141" s="110" t="s">
        <v>1107</v>
      </c>
      <c r="L141" s="113" t="s">
        <v>1542</v>
      </c>
      <c r="M141" s="110"/>
    </row>
    <row r="142" spans="1:13">
      <c r="A142" s="110">
        <v>2011</v>
      </c>
      <c r="B142" s="110">
        <v>2022</v>
      </c>
      <c r="C142" s="110" t="s">
        <v>1114</v>
      </c>
      <c r="D142" s="110" t="s">
        <v>1211</v>
      </c>
      <c r="E142" s="114" t="s">
        <v>1556</v>
      </c>
      <c r="F142" s="107" t="s">
        <v>1564</v>
      </c>
      <c r="G142" s="110" t="s">
        <v>1209</v>
      </c>
      <c r="H142" s="111">
        <v>185</v>
      </c>
      <c r="I142" s="111">
        <v>259</v>
      </c>
      <c r="J142" s="112">
        <v>0.5</v>
      </c>
      <c r="K142" s="110" t="s">
        <v>1171</v>
      </c>
      <c r="L142" s="113" t="s">
        <v>1208</v>
      </c>
      <c r="M142" s="110"/>
    </row>
    <row r="143" spans="1:13">
      <c r="A143" s="110">
        <v>2011</v>
      </c>
      <c r="B143" s="110">
        <v>2022</v>
      </c>
      <c r="C143" s="110" t="s">
        <v>1114</v>
      </c>
      <c r="D143" s="110" t="s">
        <v>1160</v>
      </c>
      <c r="E143" s="114" t="s">
        <v>1556</v>
      </c>
      <c r="F143" s="114" t="s">
        <v>1559</v>
      </c>
      <c r="G143" s="110" t="s">
        <v>1158</v>
      </c>
      <c r="H143" s="111">
        <v>99</v>
      </c>
      <c r="I143" s="111">
        <v>128.69999999999999</v>
      </c>
      <c r="J143" s="112">
        <v>0.5</v>
      </c>
      <c r="K143" s="110" t="s">
        <v>1156</v>
      </c>
      <c r="L143" s="113" t="s">
        <v>1155</v>
      </c>
      <c r="M143" s="110"/>
    </row>
    <row r="144" spans="1:13">
      <c r="A144" s="110">
        <v>2011</v>
      </c>
      <c r="B144" s="110">
        <v>2019</v>
      </c>
      <c r="C144" s="110" t="s">
        <v>1114</v>
      </c>
      <c r="D144" s="110" t="s">
        <v>1133</v>
      </c>
      <c r="E144" s="114" t="s">
        <v>1556</v>
      </c>
      <c r="F144" s="114" t="s">
        <v>1562</v>
      </c>
      <c r="G144" s="110" t="s">
        <v>1120</v>
      </c>
      <c r="H144" s="111">
        <v>185</v>
      </c>
      <c r="I144" s="111">
        <v>259</v>
      </c>
      <c r="J144" s="112">
        <v>0.5</v>
      </c>
      <c r="K144" s="110" t="s">
        <v>1107</v>
      </c>
      <c r="L144" s="113" t="s">
        <v>1543</v>
      </c>
      <c r="M144" s="110"/>
    </row>
    <row r="145" spans="1:13">
      <c r="A145" s="110">
        <v>2011</v>
      </c>
      <c r="B145" s="110">
        <v>2019</v>
      </c>
      <c r="C145" s="110" t="s">
        <v>1114</v>
      </c>
      <c r="D145" s="110" t="s">
        <v>1132</v>
      </c>
      <c r="E145" s="114" t="s">
        <v>1556</v>
      </c>
      <c r="F145" s="114" t="s">
        <v>1562</v>
      </c>
      <c r="G145" s="110" t="s">
        <v>1116</v>
      </c>
      <c r="H145" s="111">
        <v>185</v>
      </c>
      <c r="I145" s="111">
        <v>259</v>
      </c>
      <c r="J145" s="112">
        <v>0.5</v>
      </c>
      <c r="K145" s="110" t="s">
        <v>1107</v>
      </c>
      <c r="L145" s="113" t="s">
        <v>1544</v>
      </c>
      <c r="M145" s="110"/>
    </row>
    <row r="146" spans="1:13">
      <c r="A146" s="110">
        <v>2011</v>
      </c>
      <c r="B146" s="110">
        <v>2019</v>
      </c>
      <c r="C146" s="110" t="s">
        <v>1114</v>
      </c>
      <c r="D146" s="110" t="s">
        <v>1131</v>
      </c>
      <c r="E146" s="114" t="s">
        <v>1556</v>
      </c>
      <c r="F146" s="114" t="s">
        <v>1562</v>
      </c>
      <c r="G146" s="110" t="s">
        <v>1109</v>
      </c>
      <c r="H146" s="111">
        <v>185</v>
      </c>
      <c r="I146" s="111">
        <v>259</v>
      </c>
      <c r="J146" s="112">
        <v>0.5</v>
      </c>
      <c r="K146" s="110" t="s">
        <v>1107</v>
      </c>
      <c r="L146" s="113" t="s">
        <v>1545</v>
      </c>
      <c r="M146" s="110"/>
    </row>
    <row r="147" spans="1:13">
      <c r="A147" s="110">
        <v>2016</v>
      </c>
      <c r="B147" s="110">
        <v>2019</v>
      </c>
      <c r="C147" s="110" t="s">
        <v>1114</v>
      </c>
      <c r="D147" s="110" t="s">
        <v>1207</v>
      </c>
      <c r="E147" s="114" t="s">
        <v>1556</v>
      </c>
      <c r="F147" s="107" t="s">
        <v>1564</v>
      </c>
      <c r="G147" s="110" t="s">
        <v>1205</v>
      </c>
      <c r="H147" s="111">
        <v>275</v>
      </c>
      <c r="I147" s="111">
        <v>389</v>
      </c>
      <c r="J147" s="112">
        <v>0.5</v>
      </c>
      <c r="K147" s="110" t="s">
        <v>1171</v>
      </c>
      <c r="L147" s="113" t="s">
        <v>1204</v>
      </c>
      <c r="M147" s="110"/>
    </row>
    <row r="148" spans="1:13">
      <c r="A148" s="110">
        <v>2020</v>
      </c>
      <c r="B148" s="110">
        <v>2022</v>
      </c>
      <c r="C148" s="110" t="s">
        <v>1114</v>
      </c>
      <c r="D148" s="110" t="s">
        <v>1203</v>
      </c>
      <c r="E148" s="114" t="s">
        <v>1556</v>
      </c>
      <c r="F148" s="107" t="s">
        <v>1564</v>
      </c>
      <c r="G148" s="110" t="s">
        <v>1201</v>
      </c>
      <c r="H148" s="111">
        <v>75</v>
      </c>
      <c r="I148" s="111">
        <v>99</v>
      </c>
      <c r="J148" s="112">
        <v>0.5</v>
      </c>
      <c r="K148" s="110" t="s">
        <v>1156</v>
      </c>
      <c r="L148" s="113" t="s">
        <v>1200</v>
      </c>
      <c r="M148" s="110"/>
    </row>
    <row r="149" spans="1:13">
      <c r="A149" s="110">
        <v>2020</v>
      </c>
      <c r="B149" s="110">
        <v>2022</v>
      </c>
      <c r="C149" s="110" t="s">
        <v>1114</v>
      </c>
      <c r="D149" s="110" t="s">
        <v>1199</v>
      </c>
      <c r="E149" s="114" t="s">
        <v>1556</v>
      </c>
      <c r="F149" s="107" t="s">
        <v>1564</v>
      </c>
      <c r="G149" s="110" t="s">
        <v>1197</v>
      </c>
      <c r="H149" s="111">
        <v>75</v>
      </c>
      <c r="I149" s="111">
        <v>105</v>
      </c>
      <c r="J149" s="112">
        <v>0.5</v>
      </c>
      <c r="K149" s="110" t="s">
        <v>1156</v>
      </c>
      <c r="L149" s="113" t="s">
        <v>1196</v>
      </c>
      <c r="M149" s="110"/>
    </row>
    <row r="150" spans="1:13">
      <c r="A150" s="110">
        <v>2020</v>
      </c>
      <c r="B150" s="110">
        <v>2022</v>
      </c>
      <c r="C150" s="110" t="s">
        <v>1114</v>
      </c>
      <c r="D150" s="110" t="s">
        <v>1195</v>
      </c>
      <c r="E150" s="114" t="s">
        <v>1556</v>
      </c>
      <c r="F150" s="107" t="s">
        <v>1564</v>
      </c>
      <c r="G150" s="110" t="s">
        <v>1193</v>
      </c>
      <c r="H150" s="111">
        <v>429</v>
      </c>
      <c r="I150" s="111">
        <v>599</v>
      </c>
      <c r="J150" s="112">
        <v>0.5</v>
      </c>
      <c r="K150" s="110" t="s">
        <v>1188</v>
      </c>
      <c r="L150" s="113" t="s">
        <v>1539</v>
      </c>
      <c r="M150" s="110"/>
    </row>
    <row r="151" spans="1:13">
      <c r="A151" s="110">
        <v>2020</v>
      </c>
      <c r="B151" s="110">
        <v>2022</v>
      </c>
      <c r="C151" s="110" t="s">
        <v>1114</v>
      </c>
      <c r="D151" s="110" t="s">
        <v>1130</v>
      </c>
      <c r="E151" s="114" t="s">
        <v>1556</v>
      </c>
      <c r="F151" s="114" t="s">
        <v>1562</v>
      </c>
      <c r="G151" s="118" t="s">
        <v>1128</v>
      </c>
      <c r="H151" s="111">
        <v>185</v>
      </c>
      <c r="I151" s="111">
        <v>259</v>
      </c>
      <c r="J151" s="112">
        <v>0.5</v>
      </c>
      <c r="K151" s="110" t="s">
        <v>1107</v>
      </c>
      <c r="L151" s="113" t="s">
        <v>1127</v>
      </c>
      <c r="M151" s="110"/>
    </row>
    <row r="152" spans="1:13">
      <c r="A152" s="110">
        <v>2020</v>
      </c>
      <c r="B152" s="110">
        <v>2022</v>
      </c>
      <c r="C152" s="110" t="s">
        <v>1114</v>
      </c>
      <c r="D152" s="110" t="s">
        <v>1154</v>
      </c>
      <c r="E152" s="114" t="s">
        <v>1556</v>
      </c>
      <c r="F152" s="114" t="s">
        <v>1559</v>
      </c>
      <c r="G152" s="110" t="s">
        <v>1152</v>
      </c>
      <c r="H152" s="111">
        <v>185</v>
      </c>
      <c r="I152" s="111">
        <v>259</v>
      </c>
      <c r="J152" s="112">
        <v>0.5</v>
      </c>
      <c r="K152" s="110" t="s">
        <v>1150</v>
      </c>
      <c r="L152" s="113" t="s">
        <v>1149</v>
      </c>
      <c r="M152" s="110"/>
    </row>
    <row r="153" spans="1:13">
      <c r="A153" s="110">
        <v>2020</v>
      </c>
      <c r="B153" s="110">
        <v>2022</v>
      </c>
      <c r="C153" s="110" t="s">
        <v>1114</v>
      </c>
      <c r="D153" s="110" t="s">
        <v>1192</v>
      </c>
      <c r="E153" s="114" t="s">
        <v>1556</v>
      </c>
      <c r="F153" s="107" t="s">
        <v>1564</v>
      </c>
      <c r="G153" s="116" t="s">
        <v>1190</v>
      </c>
      <c r="H153" s="111">
        <v>225</v>
      </c>
      <c r="I153" s="111">
        <v>319</v>
      </c>
      <c r="J153" s="112">
        <v>0.5</v>
      </c>
      <c r="K153" s="117" t="s">
        <v>1188</v>
      </c>
      <c r="L153" s="113" t="s">
        <v>1187</v>
      </c>
      <c r="M153" s="110"/>
    </row>
    <row r="154" spans="1:13">
      <c r="A154" s="110">
        <v>2020</v>
      </c>
      <c r="B154" s="110">
        <v>2022</v>
      </c>
      <c r="C154" s="110" t="s">
        <v>1114</v>
      </c>
      <c r="D154" s="110" t="s">
        <v>1186</v>
      </c>
      <c r="E154" s="114" t="s">
        <v>1556</v>
      </c>
      <c r="F154" s="107" t="s">
        <v>1564</v>
      </c>
      <c r="G154" s="110" t="s">
        <v>1184</v>
      </c>
      <c r="H154" s="111">
        <v>75</v>
      </c>
      <c r="I154" s="111">
        <v>99</v>
      </c>
      <c r="J154" s="112">
        <v>0.5</v>
      </c>
      <c r="K154" s="110" t="s">
        <v>1156</v>
      </c>
      <c r="L154" s="113" t="s">
        <v>1183</v>
      </c>
      <c r="M154" s="110"/>
    </row>
    <row r="155" spans="1:13">
      <c r="A155" s="110">
        <v>2020</v>
      </c>
      <c r="B155" s="110">
        <v>2022</v>
      </c>
      <c r="C155" s="110" t="s">
        <v>1114</v>
      </c>
      <c r="D155" s="110" t="s">
        <v>1182</v>
      </c>
      <c r="E155" s="114" t="s">
        <v>1556</v>
      </c>
      <c r="F155" s="107" t="s">
        <v>1564</v>
      </c>
      <c r="G155" s="110" t="s">
        <v>1180</v>
      </c>
      <c r="H155" s="111">
        <v>185</v>
      </c>
      <c r="I155" s="111">
        <v>259</v>
      </c>
      <c r="J155" s="112">
        <v>0.5</v>
      </c>
      <c r="K155" s="110" t="s">
        <v>1178</v>
      </c>
      <c r="L155" s="113" t="s">
        <v>1177</v>
      </c>
      <c r="M155" s="110"/>
    </row>
    <row r="156" spans="1:13">
      <c r="A156" s="110">
        <v>2020</v>
      </c>
      <c r="B156" s="110">
        <v>2022</v>
      </c>
      <c r="C156" s="110" t="s">
        <v>1114</v>
      </c>
      <c r="D156" s="110" t="s">
        <v>1148</v>
      </c>
      <c r="E156" s="114" t="s">
        <v>1556</v>
      </c>
      <c r="F156" s="114" t="s">
        <v>1559</v>
      </c>
      <c r="G156" s="110" t="s">
        <v>1145</v>
      </c>
      <c r="H156" s="111">
        <v>429</v>
      </c>
      <c r="I156" s="111">
        <v>599</v>
      </c>
      <c r="J156" s="112">
        <v>0.5</v>
      </c>
      <c r="K156" s="110" t="s">
        <v>1143</v>
      </c>
      <c r="L156" s="113" t="s">
        <v>1142</v>
      </c>
      <c r="M156" s="110"/>
    </row>
    <row r="157" spans="1:13">
      <c r="A157" s="110">
        <v>2020</v>
      </c>
      <c r="B157" s="110">
        <v>2022</v>
      </c>
      <c r="C157" s="110" t="s">
        <v>1114</v>
      </c>
      <c r="D157" s="110" t="s">
        <v>1126</v>
      </c>
      <c r="E157" s="114" t="s">
        <v>1556</v>
      </c>
      <c r="F157" s="114" t="s">
        <v>1562</v>
      </c>
      <c r="G157" s="110" t="s">
        <v>1124</v>
      </c>
      <c r="H157" s="111">
        <v>185</v>
      </c>
      <c r="I157" s="111">
        <v>259</v>
      </c>
      <c r="J157" s="112">
        <v>0.5</v>
      </c>
      <c r="K157" s="110" t="s">
        <v>1107</v>
      </c>
      <c r="L157" s="113" t="s">
        <v>1123</v>
      </c>
      <c r="M157" s="110"/>
    </row>
    <row r="158" spans="1:13">
      <c r="A158" s="110">
        <v>2020</v>
      </c>
      <c r="B158" s="110">
        <v>2022</v>
      </c>
      <c r="C158" s="110" t="s">
        <v>1114</v>
      </c>
      <c r="D158" s="110" t="s">
        <v>1176</v>
      </c>
      <c r="E158" s="114" t="s">
        <v>1556</v>
      </c>
      <c r="F158" s="107" t="s">
        <v>1564</v>
      </c>
      <c r="G158" s="116" t="s">
        <v>1173</v>
      </c>
      <c r="H158" s="111">
        <v>325</v>
      </c>
      <c r="I158" s="111">
        <v>449</v>
      </c>
      <c r="J158" s="112">
        <v>0.5</v>
      </c>
      <c r="K158" s="110" t="s">
        <v>1171</v>
      </c>
      <c r="L158" s="113" t="s">
        <v>1170</v>
      </c>
      <c r="M158" s="110"/>
    </row>
    <row r="159" spans="1:13">
      <c r="A159" s="110">
        <v>2020</v>
      </c>
      <c r="B159" s="110">
        <v>2022</v>
      </c>
      <c r="C159" s="110" t="s">
        <v>1114</v>
      </c>
      <c r="D159" s="110" t="s">
        <v>1122</v>
      </c>
      <c r="E159" s="114" t="s">
        <v>1556</v>
      </c>
      <c r="F159" s="114" t="s">
        <v>1562</v>
      </c>
      <c r="G159" s="110" t="s">
        <v>1120</v>
      </c>
      <c r="H159" s="111">
        <v>185</v>
      </c>
      <c r="I159" s="111">
        <v>259</v>
      </c>
      <c r="J159" s="112">
        <v>0.5</v>
      </c>
      <c r="K159" s="110" t="s">
        <v>1107</v>
      </c>
      <c r="L159" s="113" t="s">
        <v>1119</v>
      </c>
      <c r="M159" s="110"/>
    </row>
    <row r="160" spans="1:13">
      <c r="A160" s="110">
        <v>2020</v>
      </c>
      <c r="B160" s="110">
        <v>2022</v>
      </c>
      <c r="C160" s="110" t="s">
        <v>1114</v>
      </c>
      <c r="D160" s="110" t="s">
        <v>1118</v>
      </c>
      <c r="E160" s="114" t="s">
        <v>1556</v>
      </c>
      <c r="F160" s="114" t="s">
        <v>1562</v>
      </c>
      <c r="G160" s="110" t="s">
        <v>1116</v>
      </c>
      <c r="H160" s="111">
        <v>185</v>
      </c>
      <c r="I160" s="111">
        <v>259</v>
      </c>
      <c r="J160" s="112">
        <v>0.5</v>
      </c>
      <c r="K160" s="110" t="s">
        <v>1107</v>
      </c>
      <c r="L160" s="113" t="s">
        <v>1115</v>
      </c>
      <c r="M160" s="110"/>
    </row>
    <row r="161" spans="1:13">
      <c r="A161" s="110">
        <v>2020</v>
      </c>
      <c r="B161" s="110">
        <v>2022</v>
      </c>
      <c r="C161" s="110" t="s">
        <v>1114</v>
      </c>
      <c r="D161" s="110" t="s">
        <v>1113</v>
      </c>
      <c r="E161" s="114" t="s">
        <v>1556</v>
      </c>
      <c r="F161" s="114" t="s">
        <v>1562</v>
      </c>
      <c r="G161" s="110" t="s">
        <v>1109</v>
      </c>
      <c r="H161" s="111">
        <v>185</v>
      </c>
      <c r="I161" s="111">
        <v>259</v>
      </c>
      <c r="J161" s="112">
        <v>0.5</v>
      </c>
      <c r="K161" s="110" t="s">
        <v>1107</v>
      </c>
      <c r="L161" s="113" t="s">
        <v>1106</v>
      </c>
      <c r="M161" s="110"/>
    </row>
    <row r="162" spans="1:13">
      <c r="A162" s="110"/>
      <c r="B162" s="110"/>
      <c r="C162" s="110"/>
      <c r="D162" s="120"/>
      <c r="E162" s="110"/>
      <c r="F162" s="110"/>
      <c r="G162" s="110"/>
      <c r="H162" s="121"/>
      <c r="I162" s="121"/>
      <c r="J162" s="112"/>
      <c r="K162" s="110"/>
      <c r="L162" s="110"/>
      <c r="M162" s="110"/>
    </row>
  </sheetData>
  <hyperlinks>
    <hyperlink ref="L16" r:id="rId1" xr:uid="{926F8910-5BFE-481B-81CA-FB2B6EC9ADD2}"/>
    <hyperlink ref="L17" r:id="rId2" xr:uid="{4107A188-7C24-4AA6-BC60-123E35E87880}"/>
    <hyperlink ref="L18" r:id="rId3" xr:uid="{6C7D1085-451D-4247-84DF-68FD84AE5A6C}"/>
    <hyperlink ref="L19" r:id="rId4" xr:uid="{8F65C270-9ED4-480C-9A15-E0FA53E08E9A}"/>
    <hyperlink ref="L20" r:id="rId5" xr:uid="{BF14CC10-9735-4945-9970-7FA4254B976C}"/>
    <hyperlink ref="L21" r:id="rId6" xr:uid="{538C2DBE-9C06-484B-89FA-AE96E1882216}"/>
    <hyperlink ref="L22" r:id="rId7" xr:uid="{099DEEBB-1885-4152-81A1-8DCC5EDDA7CC}"/>
    <hyperlink ref="L23" r:id="rId8" xr:uid="{70B51095-AB58-4B96-BD49-0231C76FD73C}"/>
    <hyperlink ref="L24" r:id="rId9" xr:uid="{DA64DD7E-2FCE-4696-9633-48EE341372AA}"/>
    <hyperlink ref="L25" r:id="rId10" xr:uid="{2D5D4E31-22C3-4293-91E7-EDC2A7400801}"/>
    <hyperlink ref="L26" r:id="rId11" xr:uid="{CC9D66D7-FE2E-42F0-A7C5-FE01B7A64F28}"/>
    <hyperlink ref="L27" r:id="rId12" xr:uid="{2FFB9817-EED3-464F-908D-8C3441AEA050}"/>
    <hyperlink ref="L28" r:id="rId13" xr:uid="{8FA11892-34CB-4C93-AEC4-DC6B608FDA6B}"/>
    <hyperlink ref="L29" r:id="rId14" xr:uid="{11D188FB-72E7-4BE2-B814-E1D956C0E1D9}"/>
    <hyperlink ref="L30" r:id="rId15" xr:uid="{8486D515-D5EE-4114-85BD-A5FDEE70D4A0}"/>
    <hyperlink ref="L31" r:id="rId16" xr:uid="{47939DC5-096B-4D90-A0E0-6B342FB4E8E0}"/>
    <hyperlink ref="L32" r:id="rId17" xr:uid="{B34C53A6-ABD0-415C-AFE0-448892A95BAB}"/>
    <hyperlink ref="L33" r:id="rId18" xr:uid="{6668762F-44F8-4D51-90EF-07602721147B}"/>
    <hyperlink ref="L34" r:id="rId19" xr:uid="{7D99EAFC-9557-4734-8B6E-C5E981CBFE12}"/>
    <hyperlink ref="L35" r:id="rId20" xr:uid="{2A59EE97-105E-4E85-8142-237D2C9DFA14}"/>
    <hyperlink ref="L36" r:id="rId21" xr:uid="{ABD3AB3A-AFF5-474A-9D9F-7C64E3827C48}"/>
    <hyperlink ref="L37" r:id="rId22" xr:uid="{7689C9DE-3557-43C0-8779-AEC8E0ED133A}"/>
    <hyperlink ref="L38" r:id="rId23" xr:uid="{95D5F523-A2EE-48DE-BE5B-530B4D60B6B7}"/>
    <hyperlink ref="L39" r:id="rId24" xr:uid="{DDF81ABE-88A9-4911-8F04-6EF8E409B3D4}"/>
    <hyperlink ref="L40" r:id="rId25" xr:uid="{42DFCDFF-5F81-4E0D-85D7-A08A98C4A67E}"/>
    <hyperlink ref="L41" r:id="rId26" xr:uid="{F1B7F966-C28A-4E5D-ACCF-F13D2DEB2F20}"/>
    <hyperlink ref="L42" r:id="rId27" xr:uid="{0DB47623-09A4-440F-9E32-48F651C9E607}"/>
    <hyperlink ref="L43" r:id="rId28" xr:uid="{98117662-DF14-4588-83FD-3961128C1713}"/>
    <hyperlink ref="L44" r:id="rId29" xr:uid="{70E1D29A-51BE-4AE4-A877-A7B3DD4C0A27}"/>
    <hyperlink ref="L45" r:id="rId30" xr:uid="{489F9301-E68B-42DB-B9FD-CFF8DD54B2A5}"/>
    <hyperlink ref="L46" r:id="rId31" xr:uid="{6ADBB1C1-006B-4730-998F-08B4E340A04D}"/>
    <hyperlink ref="L47" r:id="rId32" xr:uid="{32510757-3F4B-46F9-AD9F-1F7C31D57A3E}"/>
    <hyperlink ref="L48" r:id="rId33" xr:uid="{48AB1ADC-0BB3-4DA4-B4E3-83C1AD3322CB}"/>
    <hyperlink ref="L49" r:id="rId34" xr:uid="{103E977D-E67B-45E5-AA4B-ADFFE29E10EF}"/>
    <hyperlink ref="L50" r:id="rId35" xr:uid="{6AEF6A36-C65A-4573-A259-D369F550C977}"/>
    <hyperlink ref="L51" r:id="rId36" xr:uid="{F1334665-3A50-4EBE-9B23-360B0F517F45}"/>
    <hyperlink ref="L52" r:id="rId37" xr:uid="{886F8AF4-7A1E-447D-80D1-89A0CE8AAF83}"/>
    <hyperlink ref="L53" r:id="rId38" xr:uid="{320C8B2B-7CFA-4EBB-AC96-7CCCB096FA2A}"/>
    <hyperlink ref="L54" r:id="rId39" xr:uid="{EAD96E30-589E-4118-86DB-F06EBA45EB7C}"/>
    <hyperlink ref="L55" r:id="rId40" xr:uid="{28854FCD-92DA-4822-A1F9-39AD2E7ECDEE}"/>
    <hyperlink ref="L56" r:id="rId41" xr:uid="{C104C727-CD7D-4591-A701-D45DE0CC6499}"/>
    <hyperlink ref="L57" r:id="rId42" xr:uid="{8C8B2539-DC14-449D-A3DA-AE447E12937F}"/>
    <hyperlink ref="L58" r:id="rId43" xr:uid="{38DBFD9D-5E2D-42F8-BDD4-90511C533305}"/>
    <hyperlink ref="L59" r:id="rId44" xr:uid="{2E62C05C-C0CB-4FD3-B33B-128B20A27CD6}"/>
    <hyperlink ref="L60" r:id="rId45" xr:uid="{7E216AA0-0818-46EA-B50E-03FB3C53C93F}"/>
    <hyperlink ref="L61" r:id="rId46" xr:uid="{4D4F9563-FADD-4404-9207-6274A647EC7D}"/>
    <hyperlink ref="L62" r:id="rId47" xr:uid="{9E15FFD4-4781-4975-8FBB-F393756B8E4A}"/>
    <hyperlink ref="L63" r:id="rId48" xr:uid="{F7C868A2-E171-49DC-A4EB-3540A666A18E}"/>
    <hyperlink ref="L64" r:id="rId49" xr:uid="{A158A8AC-3B74-45C9-B8CD-C4B835FA29A1}"/>
    <hyperlink ref="L65" r:id="rId50" xr:uid="{9624A17F-4B4E-4313-B382-8210DD8B1E38}"/>
    <hyperlink ref="L66" r:id="rId51" xr:uid="{A5D84070-3A6F-4B98-9958-7D3A5945065F}"/>
    <hyperlink ref="L67" r:id="rId52" xr:uid="{97D8B8A4-C608-4FCF-B895-F4BD3FE8CAAC}"/>
    <hyperlink ref="L68" r:id="rId53" xr:uid="{AA09E2B6-EDA1-41B5-BDB9-ACEBCBFDD59D}"/>
    <hyperlink ref="L69" r:id="rId54" xr:uid="{4EAD63F2-CC95-4D7A-8F06-8C93A9980F32}"/>
    <hyperlink ref="L70" r:id="rId55" xr:uid="{D5693693-0AD8-459B-911D-C30EFB7F1278}"/>
    <hyperlink ref="L71" r:id="rId56" xr:uid="{D6BF8183-3F6C-4A47-85C8-819997EB67DE}"/>
    <hyperlink ref="L72" r:id="rId57" xr:uid="{21669104-899D-4B87-B71C-9ABBA103F0BC}"/>
    <hyperlink ref="L73" r:id="rId58" xr:uid="{FD0EE443-62E0-474B-9B88-3A3ACB9C03CF}"/>
    <hyperlink ref="L74" r:id="rId59" xr:uid="{D165CEF4-507A-4F56-9B33-01630BAD8015}"/>
    <hyperlink ref="L75" r:id="rId60" xr:uid="{15E54483-4D3E-48A3-83A4-2BB789BB2AA7}"/>
    <hyperlink ref="L76" r:id="rId61" xr:uid="{B716EF74-AD68-4DCC-9D62-CB79F5AAB968}"/>
    <hyperlink ref="L77" r:id="rId62" xr:uid="{4A151703-6E98-49C1-956B-978C1435EA60}"/>
    <hyperlink ref="L78" r:id="rId63" xr:uid="{9577D4EE-6E82-4A4B-8E01-D5771F42F5E1}"/>
    <hyperlink ref="L79" r:id="rId64" xr:uid="{A42F9C29-5CEE-4971-8867-73F54FB5BFA9}"/>
    <hyperlink ref="L80" r:id="rId65" xr:uid="{5D8F41D0-02FB-40C3-ADF7-6EA74DDEB9F8}"/>
    <hyperlink ref="L81" r:id="rId66" xr:uid="{F87EB937-AD1E-492B-9874-5D02A8ECC6CB}"/>
    <hyperlink ref="L82" r:id="rId67" xr:uid="{4B5911EB-C715-4988-9723-4C6E54DFF1BD}"/>
    <hyperlink ref="L83" r:id="rId68" xr:uid="{6E239EEB-E69E-4CA4-B873-A4FA96F9F4E8}"/>
    <hyperlink ref="L84" r:id="rId69" xr:uid="{52D290F4-9C47-43AA-B49E-49AB9C6A7F27}"/>
    <hyperlink ref="L85" r:id="rId70" xr:uid="{5FC19F21-7F05-4799-B744-5F1CB6C3E60B}"/>
    <hyperlink ref="L86" r:id="rId71" xr:uid="{4CD01F9C-7C03-4B35-8F1B-A722966E62CF}"/>
    <hyperlink ref="L87" r:id="rId72" xr:uid="{052C435D-59AD-4D9B-AA90-8BA62D0DF241}"/>
    <hyperlink ref="L88" r:id="rId73" xr:uid="{F60B97C1-CF83-4F9D-997F-82EBCC451615}"/>
    <hyperlink ref="L89" r:id="rId74" xr:uid="{A521AB55-8155-47C8-B136-07756BF15987}"/>
    <hyperlink ref="L90" r:id="rId75" xr:uid="{E34DBA2F-7411-4080-B83E-58E3A226E78A}"/>
    <hyperlink ref="L91" r:id="rId76" xr:uid="{A65F18D1-4524-453C-BC78-A7914CC430D9}"/>
    <hyperlink ref="L92" r:id="rId77" xr:uid="{C7190FB3-EF43-4902-87B3-581B312BD1AE}"/>
    <hyperlink ref="L93" r:id="rId78" xr:uid="{240043E3-0DFD-4C4A-8CBC-9A1DED6B07E8}"/>
    <hyperlink ref="L94" r:id="rId79" xr:uid="{589A10B8-F6F4-42C1-B7A1-06E6680ECF70}"/>
    <hyperlink ref="L95" r:id="rId80" xr:uid="{E7BB4A8C-E665-4388-948A-263E70A1F4FD}"/>
    <hyperlink ref="L96" r:id="rId81" xr:uid="{C25D13C4-5655-49D8-9F07-FEDA67209008}"/>
    <hyperlink ref="L97" r:id="rId82" xr:uid="{49A0F005-E6E2-4A4E-9F38-55AF48F4528A}"/>
    <hyperlink ref="L98" r:id="rId83" xr:uid="{FC5BB883-CEC1-4F10-A670-E79E97B50319}"/>
    <hyperlink ref="L99" r:id="rId84" xr:uid="{51FB9569-026D-4A3B-BF01-948562C3024B}"/>
    <hyperlink ref="L100" r:id="rId85" xr:uid="{C38BE003-BEBF-499D-A35B-6C0E414CD36F}"/>
    <hyperlink ref="L101" r:id="rId86" xr:uid="{54806587-FD46-4437-A148-551607AC53E6}"/>
    <hyperlink ref="L102" r:id="rId87" xr:uid="{D67DC89F-8228-4C54-8D3F-1D4102A3261B}"/>
    <hyperlink ref="L103" r:id="rId88" xr:uid="{51740F0E-8A23-4551-BACF-8DDF5AD00EA0}"/>
    <hyperlink ref="L104" r:id="rId89" xr:uid="{1264EBCD-F840-4A2A-87CC-6783D52093A4}"/>
    <hyperlink ref="L105" r:id="rId90" xr:uid="{E56BCE3A-20C3-440B-BFAC-4CF651EB712B}"/>
    <hyperlink ref="L106" r:id="rId91" xr:uid="{44D65476-10CF-49E5-B7F6-B9E17CBF1A54}"/>
    <hyperlink ref="L107" r:id="rId92" xr:uid="{1578FD5A-F6EC-464F-8AEC-30C4337FFCA0}"/>
    <hyperlink ref="L109" r:id="rId93" xr:uid="{049266A5-708F-41FD-97E1-7B51B8E8EFD5}"/>
    <hyperlink ref="L110" r:id="rId94" xr:uid="{42393DDB-B58A-4DFC-9256-CCBAED28F5E4}"/>
    <hyperlink ref="L111" r:id="rId95" xr:uid="{32E84996-6F06-4506-A73E-5E8F431AF32B}"/>
    <hyperlink ref="L112" r:id="rId96" xr:uid="{ED058864-37CA-45E2-B0F7-E5A31C000CBD}"/>
    <hyperlink ref="L113" r:id="rId97" xr:uid="{8BBE98AA-CBB4-44E1-926E-EF15103396DB}"/>
    <hyperlink ref="L114" r:id="rId98" xr:uid="{7A2DAFA0-AF30-4DAA-8A62-A71E1F74BC81}"/>
    <hyperlink ref="L115" r:id="rId99" xr:uid="{FD329627-BCD9-4B62-A376-097610468FBC}"/>
    <hyperlink ref="L116" r:id="rId100" xr:uid="{26502795-2D23-4BBC-809F-25934B9DA389}"/>
    <hyperlink ref="L117" r:id="rId101" xr:uid="{18E12684-E5B0-46DA-9187-3C6530C849D2}"/>
    <hyperlink ref="L118" r:id="rId102" xr:uid="{97F21FF2-E27D-411B-9901-7DA668255C36}"/>
    <hyperlink ref="L119" r:id="rId103" xr:uid="{6F0BBF40-CDCB-4B54-B960-E8AA13795638}"/>
    <hyperlink ref="L120" r:id="rId104" xr:uid="{52A4FF16-BB3D-4DE6-B2D5-3874F06584E9}"/>
    <hyperlink ref="L121" r:id="rId105" xr:uid="{B952DD06-111A-4D8F-9F88-13A4EF5D305B}"/>
    <hyperlink ref="L122" r:id="rId106" xr:uid="{20EB24A2-6FDD-438B-A7F4-4C73CB1E6941}"/>
    <hyperlink ref="L123" r:id="rId107" xr:uid="{1EA9B010-D6A4-47C8-865B-E9AE90B4D83F}"/>
    <hyperlink ref="L124" r:id="rId108" xr:uid="{2D478F27-C507-4BC3-8021-511640E062AD}"/>
    <hyperlink ref="L125" r:id="rId109" xr:uid="{592BF91C-6BFB-46BD-A4E9-C4EF22C86BF0}"/>
    <hyperlink ref="L126" r:id="rId110" xr:uid="{CA463B9B-E6FB-49AF-BB61-5F46D50BA53A}"/>
    <hyperlink ref="L127" r:id="rId111" xr:uid="{B60AACED-73B8-42B1-8BDA-8BBBE5F8150B}"/>
    <hyperlink ref="L128" r:id="rId112" xr:uid="{07C34DEA-AF3D-4497-8533-61476A39819B}"/>
    <hyperlink ref="L129" r:id="rId113" xr:uid="{8CB24677-FEB1-465B-ACEF-97702D110656}"/>
    <hyperlink ref="L130" r:id="rId114" xr:uid="{0F80BE8B-9419-46EB-9626-3631434C2E58}"/>
    <hyperlink ref="L131" r:id="rId115" xr:uid="{85A45B64-314C-46A7-9F9E-86B8901E810F}"/>
    <hyperlink ref="L132" r:id="rId116" xr:uid="{BBF40E39-98A2-42F3-9B16-D2A26750C3BC}"/>
    <hyperlink ref="L133" r:id="rId117" xr:uid="{C45D49C8-23A5-4687-B15B-42FE52052E50}"/>
    <hyperlink ref="L134" r:id="rId118" xr:uid="{8347C469-5E1C-4284-9972-4D429EFF18FE}"/>
    <hyperlink ref="L135" r:id="rId119" xr:uid="{38E24CB2-B6CC-4A93-AA25-53C4244E8897}"/>
    <hyperlink ref="L136" r:id="rId120" xr:uid="{BD19204A-E951-4424-A9DB-53BE39ABA59E}"/>
    <hyperlink ref="L137" r:id="rId121" xr:uid="{A01306E1-5276-46EA-BA13-886606102545}"/>
    <hyperlink ref="L138" r:id="rId122" xr:uid="{3B5360B0-8649-498A-9C82-5B926A646D5E}"/>
    <hyperlink ref="L139" r:id="rId123" xr:uid="{8C15065D-72B6-4F78-A8BB-C803D7D2E94F}"/>
    <hyperlink ref="L140" r:id="rId124" xr:uid="{80769419-4C65-44AF-BB68-4C4DF050AAEC}"/>
    <hyperlink ref="L141" r:id="rId125" xr:uid="{02828AAD-EADF-492F-B61F-42B38BBF48B3}"/>
    <hyperlink ref="L142" r:id="rId126" xr:uid="{69CDA17F-0697-4E65-97C0-F1170CC97864}"/>
    <hyperlink ref="L143" r:id="rId127" xr:uid="{40139FF6-6A45-4D30-B5E3-41DC95617C5B}"/>
    <hyperlink ref="L144" r:id="rId128" xr:uid="{18DC709C-6121-488C-A9D6-BAD0DF2656E5}"/>
    <hyperlink ref="L145" r:id="rId129" xr:uid="{212B74F4-4434-46AE-BEF5-B0B2AA3AD22E}"/>
    <hyperlink ref="L146" r:id="rId130" xr:uid="{FC1AB198-9BC0-4F31-A208-9147786E3213}"/>
    <hyperlink ref="L147" r:id="rId131" xr:uid="{6B143874-79FB-4AF6-B5DC-FCA55FA93ECF}"/>
    <hyperlink ref="L148" r:id="rId132" xr:uid="{ED6ABA0C-F263-45CB-94E3-03887AC5E6FE}"/>
    <hyperlink ref="L149" r:id="rId133" xr:uid="{208BA127-C513-41B6-BA54-3A0D6F70EC44}"/>
    <hyperlink ref="L150" r:id="rId134" xr:uid="{7E6AF119-EBF7-4B65-960A-C59C8FA6816F}"/>
    <hyperlink ref="L151" r:id="rId135" xr:uid="{9B92B9F5-4433-4B3C-ACE5-FB2955B61B7B}"/>
    <hyperlink ref="L152" r:id="rId136" xr:uid="{FC37F0AA-702B-4D26-A267-11B0BF69B263}"/>
    <hyperlink ref="L153" r:id="rId137" xr:uid="{CFA84A85-C18C-42DD-A77C-0C9F8329F692}"/>
    <hyperlink ref="L154" r:id="rId138" xr:uid="{3DC4F3A9-AB7D-4D0E-BA1C-8BDE1A6A8E2C}"/>
    <hyperlink ref="L155" r:id="rId139" xr:uid="{8E56578F-6479-438D-A29E-FBAF0598684D}"/>
    <hyperlink ref="L156" r:id="rId140" xr:uid="{35B84EB2-FB34-4673-B9BA-E71184F3E84E}"/>
    <hyperlink ref="L157" r:id="rId141" xr:uid="{16C525D3-B080-4166-88F4-7BE9A4DE6A9F}"/>
    <hyperlink ref="L158" r:id="rId142" xr:uid="{7701C12E-DE4C-47EA-8C67-C14009D98133}"/>
    <hyperlink ref="L159" r:id="rId143" xr:uid="{C0039BA0-190B-417A-9979-02010C5EE588}"/>
    <hyperlink ref="L160" r:id="rId144" xr:uid="{868A1D4E-47FE-4926-BBAC-8980E7F566E5}"/>
    <hyperlink ref="L161" r:id="rId145" xr:uid="{EE54AF43-8EA3-43AE-9CE3-FD3BEAC5775B}"/>
  </hyperlinks>
  <pageMargins left="0.7" right="0.7" top="0.75" bottom="0.75" header="0.3" footer="0.3"/>
  <pageSetup orientation="portrait" r:id="rId1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2026 PHEV</vt:lpstr>
      <vt:lpstr>2026 Outlander</vt:lpstr>
      <vt:lpstr>2026 Eclipse Cross</vt:lpstr>
      <vt:lpstr>2026 RVR</vt:lpstr>
      <vt:lpstr>2025 Outlander </vt:lpstr>
      <vt:lpstr>2025 PHEV</vt:lpstr>
      <vt:lpstr>2025 Eclipse Cross</vt:lpstr>
      <vt:lpstr>2025 RVR</vt:lpstr>
      <vt:lpstr>2024 PHEV</vt:lpstr>
      <vt:lpstr>2024 Mirage</vt:lpstr>
      <vt:lpstr>2020 RVR</vt:lpstr>
      <vt:lpstr>Luxwood English</vt:lpstr>
      <vt:lpstr>Luxwood French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Ferreira</dc:creator>
  <cp:keywords>Alliance;A-I;Alliance Internal</cp:keywords>
  <cp:lastModifiedBy>Carlos Hageleit</cp:lastModifiedBy>
  <dcterms:created xsi:type="dcterms:W3CDTF">2015-06-25T17:46:18Z</dcterms:created>
  <dcterms:modified xsi:type="dcterms:W3CDTF">2026-02-03T22:03:31Z</dcterms:modified>
  <cp:category>A-I</cp:category>
</cp:coreProperties>
</file>